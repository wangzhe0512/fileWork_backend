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codeName="ThisWorkbook"/>
  <mc:AlternateContent xmlns:mc="http://schemas.openxmlformats.org/markup-compatibility/2006">
    <mc:Choice Requires="x15">
      <x15ac:absPath xmlns:x15ac="http://schemas.microsoft.com/office/spreadsheetml/2010/11/ac" url="D:\其他事务\TPD系统测试\"/>
    </mc:Choice>
  </mc:AlternateContent>
  <xr:revisionPtr revIDLastSave="0" documentId="13_ncr:1_{2630038D-8D73-470D-AC57-9E8A5943B55A}" xr6:coauthVersionLast="47" xr6:coauthVersionMax="47" xr10:uidLastSave="{00000000-0000-0000-0000-000000000000}"/>
  <bookViews>
    <workbookView xWindow="-110" yWindow="-110" windowWidth="19420" windowHeight="11620" tabRatio="823" xr2:uid="{00000000-000D-0000-FFFF-FFFF00000000}"/>
  </bookViews>
  <sheets>
    <sheet name="数据表" sheetId="21" r:id="rId1"/>
    <sheet name="集团背景情况" sheetId="23" r:id="rId2"/>
    <sheet name="公司经营背景资料" sheetId="24" r:id="rId3"/>
    <sheet name="主要产品" sheetId="26" r:id="rId4"/>
    <sheet name="行业情况" sheetId="27" r:id="rId5"/>
    <sheet name="被测关联交易" sheetId="25" r:id="rId6"/>
    <sheet name="资料清单" sheetId="18" r:id="rId7"/>
    <sheet name="1 组织结构及管理架构" sheetId="16" r:id="rId8"/>
    <sheet name="2 关联公司信息" sheetId="7" r:id="rId9"/>
    <sheet name="关联方个人信息" sheetId="28" r:id="rId10"/>
    <sheet name="关联关系变化情况" sheetId="29" r:id="rId11"/>
    <sheet name="3 分部财务数据" sheetId="8" r:id="rId12"/>
    <sheet name="关联交易汇总表" sheetId="30" r:id="rId13"/>
    <sheet name="4 供应商清单" sheetId="12" r:id="rId14"/>
    <sheet name="5 客户清单" sheetId="13" r:id="rId15"/>
    <sheet name="6 劳务交易表" sheetId="20" r:id="rId16"/>
    <sheet name="劳务成本归集" sheetId="31" r:id="rId17"/>
    <sheet name="资金融通" sheetId="32" r:id="rId18"/>
    <sheet name="公司间资金融通交易总结" sheetId="36" r:id="rId19"/>
    <sheet name="有形资产信息" sheetId="33" r:id="rId20"/>
    <sheet name="功能风险汇总表" sheetId="34" r:id="rId21"/>
    <sheet name="PL" sheetId="19" r:id="rId22"/>
    <sheet name="PL含特殊因素调整" sheetId="35"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s>
  <definedNames>
    <definedName name="\A" localSheetId="21">#REF!</definedName>
    <definedName name="\A">#REF!</definedName>
    <definedName name="_">'[1]046 Fixed Ass. mov.'!#REF!</definedName>
    <definedName name="__PC1">'[2]Physical Count'!$A$1:$B$65536</definedName>
    <definedName name="_CRA" localSheetId="6">[3]U40!#REF!</definedName>
    <definedName name="_CRA">[3]U40!#REF!</definedName>
    <definedName name="_DAT5">[4]SFG_ND!#REF!</definedName>
    <definedName name="_DAT7">[4]SFG_ND!#REF!</definedName>
    <definedName name="_DAT8">[4]SFG_ND!#REF!</definedName>
    <definedName name="_ftn1" localSheetId="11">'3 分部财务数据'!#REF!</definedName>
    <definedName name="_ftnref1" localSheetId="11">'3 分部财务数据'!#REF!</definedName>
    <definedName name="_Order1" hidden="1">255</definedName>
    <definedName name="_Order2" hidden="1">255</definedName>
    <definedName name="_Table1_In1" localSheetId="21" hidden="1">#REF!</definedName>
    <definedName name="_Table1_In1" hidden="1">#REF!</definedName>
    <definedName name="_Table1_Out" localSheetId="21" hidden="1">#REF!</definedName>
    <definedName name="_Table1_Out" hidden="1">#REF!</definedName>
    <definedName name="_Toc106357774" localSheetId="4">行业情况!$B$6</definedName>
    <definedName name="_W_DMOP_Billing_report_Jul_02">#REF!</definedName>
    <definedName name="A" localSheetId="21">#REF!</definedName>
    <definedName name="A">#REF!</definedName>
    <definedName name="aa">#REF!</definedName>
    <definedName name="aaa">#REF!</definedName>
    <definedName name="ACCOUNT">[5]Bank!$C$2:$C$99</definedName>
    <definedName name="AccountDesc">[6]Accounts!$A$1:$A$386</definedName>
    <definedName name="APTTL">[7]BKD!$N$573</definedName>
    <definedName name="AR" localSheetId="21">#REF!</definedName>
    <definedName name="AR">#REF!</definedName>
    <definedName name="AR_Summary_SGD_Currency" localSheetId="21">#REF!</definedName>
    <definedName name="AR_Summary_SGD_Currency">#REF!</definedName>
    <definedName name="AR_Summary_Source_Currency" localSheetId="21">#REF!</definedName>
    <definedName name="AR_Summary_Source_Currency">#REF!</definedName>
    <definedName name="ARUTL" localSheetId="21">#REF!</definedName>
    <definedName name="ARUTL">#REF!</definedName>
    <definedName name="as">[8]Input!$D$4</definedName>
    <definedName name="AS2DocOpenMode" hidden="1">"AS2DocumentEdit"</definedName>
    <definedName name="Automobiles">#REF!</definedName>
    <definedName name="b" localSheetId="21">#REF!</definedName>
    <definedName name="b">#REF!</definedName>
    <definedName name="brec0396">[9]jun94!#REF!</definedName>
    <definedName name="building">#REF!</definedName>
    <definedName name="Category" localSheetId="21">#REF!</definedName>
    <definedName name="Category">#REF!</definedName>
    <definedName name="CC">#REF!</definedName>
    <definedName name="CLIENT_NAME">#REF!</definedName>
    <definedName name="CNAME">[5]Bank!$B$2:$B$99</definedName>
    <definedName name="COA">#REF!</definedName>
    <definedName name="cost1">[2]Cost!$A$1:$P$65536</definedName>
    <definedName name="Cr">#REF!</definedName>
    <definedName name="Custom1">'[10]Drill-Down Lists'!$H$2:$H$3</definedName>
    <definedName name="Custom2">'[10]Drill-Down Lists'!$I$2:$I$544</definedName>
    <definedName name="Custom3">'[10]Drill-Down Lists'!$J$2:$J$3</definedName>
    <definedName name="Custom4">'[10]Drill-Down Lists'!$K$2:$K$3</definedName>
    <definedName name="Customer_Master_File" localSheetId="21">#REF!</definedName>
    <definedName name="Customer_Master_File">#REF!</definedName>
    <definedName name="CYCLES">[11]JobDetails!$A$56:$A$90</definedName>
    <definedName name="DA_1990314306000000334" hidden="1">#REF!</definedName>
    <definedName name="DA_2302403568800003470" hidden="1">#REF!</definedName>
    <definedName name="DA_3187383536500002726" hidden="1">#REF!</definedName>
    <definedName name="DA_3187383536500002757" hidden="1">#REF!</definedName>
    <definedName name="DA_3187383536500002822" hidden="1">#REF!</definedName>
    <definedName name="DA_3187383536500002829" hidden="1">#REF!</definedName>
    <definedName name="DA_3572313671800000379" hidden="1">#REF!</definedName>
    <definedName name="DA_3584495742900000988" hidden="1">#REF!</definedName>
    <definedName name="DA_3584495742900000994" hidden="1">#REF!</definedName>
    <definedName name="DA_3584495742900000998" hidden="1">#REF!</definedName>
    <definedName name="DA_3584495742900001004" hidden="1">#REF!</definedName>
    <definedName name="DA_3586127595300001053" hidden="1">#REF!</definedName>
    <definedName name="DA_3586127595300001062" hidden="1">#REF!</definedName>
    <definedName name="DA_3586127595300001068" hidden="1">#REF!</definedName>
    <definedName name="DA_3586127595300001072" hidden="1">#REF!</definedName>
    <definedName name="DA_3586127595300001077" hidden="1">#REF!</definedName>
    <definedName name="DA_3586127595300001082" hidden="1">#REF!</definedName>
    <definedName name="DA_3586127595300001243" hidden="1">#REF!</definedName>
    <definedName name="DA_3586127595300001257" hidden="1">#REF!</definedName>
    <definedName name="DA_3586127595300001262" hidden="1">#REF!</definedName>
    <definedName name="DA_3586127595300001266" hidden="1">#REF!</definedName>
    <definedName name="DA_3586127595300001726" hidden="1">#REF!</definedName>
    <definedName name="DA_3586127595300001886" hidden="1">#REF!</definedName>
    <definedName name="DA_3586127595300001896" hidden="1">#REF!</definedName>
    <definedName name="DA_3586127595300001901" hidden="1">#REF!</definedName>
    <definedName name="DA_3586127595300001905" hidden="1">#REF!</definedName>
    <definedName name="DA_3705332064700000098" hidden="1">#REF!</definedName>
    <definedName name="DA_3705332064700000102" hidden="1">#REF!</definedName>
    <definedName name="DA_3705332064700000108" hidden="1">#REF!</definedName>
    <definedName name="DA_3705332064700000110" hidden="1">#REF!</definedName>
    <definedName name="_xlnm.Database">#REF!</definedName>
    <definedName name="dddddddddddddd" hidden="1">{#N/A,#N/A,FALSE,"Aging Summary";#N/A,#N/A,FALSE,"Ratio Analysis";#N/A,#N/A,FALSE,"Test 120 Day Accts";#N/A,#N/A,FALSE,"Tickmarks"}</definedName>
    <definedName name="dfd">#REF!</definedName>
    <definedName name="Doubt_Debt" localSheetId="21">#REF!</definedName>
    <definedName name="Doubt_Debt">#REF!</definedName>
    <definedName name="Dr">#REF!</definedName>
    <definedName name="e">#REF!</definedName>
    <definedName name="e_data">OFFSET(#REF!,1,0,COUNTA(#REF!)-1,2)</definedName>
    <definedName name="e_empindex">#REF!</definedName>
    <definedName name="ee">#REF!</definedName>
    <definedName name="eeeefffff">'[1]046 Fixed Ass. mov.'!#REF!</definedName>
    <definedName name="Electrical">#REF!</definedName>
    <definedName name="ENAME">[5]Bank!$A$2:$A$99</definedName>
    <definedName name="entities">[6]Entities!$B$2:$B$909</definedName>
    <definedName name="Entity">'[12]Dropdown List'!$A$2:$A$22</definedName>
    <definedName name="Equipment">#REF!</definedName>
    <definedName name="excel">#REF!</definedName>
    <definedName name="Exchange_Rate" localSheetId="21">#REF!</definedName>
    <definedName name="Exchange_Rate">#REF!</definedName>
    <definedName name="fdcperiod">[8]Input!$A$8</definedName>
    <definedName name="ff">#REF!</definedName>
    <definedName name="fff" hidden="1">{#N/A,#N/A,FALSE,"Aging Summary";#N/A,#N/A,FALSE,"Ratio Analysis";#N/A,#N/A,FALSE,"Test 120 Day Accts";#N/A,#N/A,FALSE,"Tickmarks"}</definedName>
    <definedName name="furniture">#REF!</definedName>
    <definedName name="HEADER">#REF!</definedName>
    <definedName name="Hyperlink186">#REF!</definedName>
    <definedName name="Hyperlink194">#REF!</definedName>
    <definedName name="Hyperlink195">#REF!</definedName>
    <definedName name="ICP">'[10]Drill-Down Lists'!$G$2:$G$3</definedName>
    <definedName name="icp_entities">[6]Entities!$C$1:$C$753</definedName>
    <definedName name="INDEXES">[11]JobDetails!$A$56:$C$90</definedName>
    <definedName name="InputPL">[8]Input!$G$10</definedName>
    <definedName name="intangibleassets">#REF!</definedName>
    <definedName name="intass">#REF!</definedName>
    <definedName name="io">'[1]046 Fixed Ass. mov.'!#REF!</definedName>
    <definedName name="ITT_Rate">[13]Property!$F$18:$H$26</definedName>
    <definedName name="Macro1">[14]Macro1!$A$1</definedName>
    <definedName name="Macro10" localSheetId="21">#REF!</definedName>
    <definedName name="Macro10">#REF!</definedName>
    <definedName name="Macro11" localSheetId="21">#REF!</definedName>
    <definedName name="Macro11">#REF!</definedName>
    <definedName name="Macro12" localSheetId="21">#REF!</definedName>
    <definedName name="Macro12">#REF!</definedName>
    <definedName name="Macro2">[14]Macro1!$A$8</definedName>
    <definedName name="Macro3">[14]Macro1!$A$15</definedName>
    <definedName name="Macro4">[14]Macro1!$A$22</definedName>
    <definedName name="Macro5">[14]Macro1!$A$29</definedName>
    <definedName name="Macro6" localSheetId="21">#REF!</definedName>
    <definedName name="Macro6">#REF!</definedName>
    <definedName name="Macro7" localSheetId="21">#REF!</definedName>
    <definedName name="Macro7">#REF!</definedName>
    <definedName name="Macro8" localSheetId="21">#REF!</definedName>
    <definedName name="Macro8">#REF!</definedName>
    <definedName name="Macro9" localSheetId="21">#REF!</definedName>
    <definedName name="Macro9">#REF!</definedName>
    <definedName name="Month">[8]Input!$D$5</definedName>
    <definedName name="N8aAccrual06" localSheetId="21">#REF!</definedName>
    <definedName name="N8aAccrual06">#REF!</definedName>
    <definedName name="Note3" localSheetId="21">#REF!</definedName>
    <definedName name="Note3">#REF!</definedName>
    <definedName name="note3c" localSheetId="21">#REF!</definedName>
    <definedName name="note3c">#REF!</definedName>
    <definedName name="o90077545fjkl">'[1]046 Fixed Ass. mov.'!#REF!</definedName>
    <definedName name="officeequipm">#REF!</definedName>
    <definedName name="OLE_LINK5" localSheetId="6">资料清单!#REF!</definedName>
    <definedName name="OUTPUT">#REF!</definedName>
    <definedName name="overview">#REF!</definedName>
    <definedName name="p_list">OFFSET(#REF!,1,0,COUNTA(#REF!)-1,2)</definedName>
    <definedName name="PC">'[15]Physical Count'!$A$1:$B$65536</definedName>
    <definedName name="Pd">[6]Pd!$A$1:$A$24</definedName>
    <definedName name="Period">[16]MasterData!$A$2:$A$368</definedName>
    <definedName name="PERIOD_END">#REF!</definedName>
    <definedName name="PM">[17]Masterdata!$A$1:$A$12</definedName>
    <definedName name="poiudncd">'[1]046 Fixed Ass. mov.'!#REF!</definedName>
    <definedName name="Pos._121.100">'[1]046 Fixed Ass. mov.'!#REF!</definedName>
    <definedName name="Pos._121.200">'[1]046 Fixed Ass. mov.'!#REF!</definedName>
    <definedName name="Pos._121.300">'[1]046 Fixed Ass. mov.'!#REF!</definedName>
    <definedName name="Pos._122.110">'[1]046 Fixed Ass. mov.'!#REF!</definedName>
    <definedName name="Pos._122.120">'[1]046 Fixed Ass. mov.'!#REF!</definedName>
    <definedName name="Pos._122.130">'[1]046 Fixed Ass. mov.'!#REF!</definedName>
    <definedName name="Pos._122.140">'[1]046 Fixed Ass. mov.'!#REF!</definedName>
    <definedName name="Pos._122.200">'[1]046 Fixed Ass. mov.'!#REF!</definedName>
    <definedName name="Pos._122.310">'[1]046 Fixed Ass. mov.'!#REF!</definedName>
    <definedName name="Pos._122.320">'[1]046 Fixed Ass. mov.'!#REF!</definedName>
    <definedName name="Pos._122.400">'[1]046 Fixed Ass. mov.'!#REF!</definedName>
    <definedName name="Pos._122.510">'[1]046 Fixed Ass. mov.'!#REF!</definedName>
    <definedName name="Pos._122.520">'[1]046 Fixed Ass. mov.'!#REF!</definedName>
    <definedName name="Pos._123.100">'[1]046 Fixed Ass. mov.'!#REF!</definedName>
    <definedName name="Pos._123.200">'[1]046 Fixed Ass. mov.'!#REF!</definedName>
    <definedName name="Pos._123.310">'[1]046 Fixed Ass. mov.'!#REF!</definedName>
    <definedName name="Pos._123.320">'[1]046 Fixed Ass. mov.'!#REF!</definedName>
    <definedName name="Pos._123.410">'[1]046 Fixed Ass. mov.'!#REF!</definedName>
    <definedName name="Pos._123.420">'[1]046 Fixed Ass. mov.'!#REF!</definedName>
    <definedName name="Pos._123.510">'[1]046 Fixed Ass. mov.'!#REF!</definedName>
    <definedName name="Pos._123.520">'[1]046 Fixed Ass. mov.'!#REF!</definedName>
    <definedName name="Pos._123.600">'[1]046 Fixed Ass. mov.'!#REF!</definedName>
    <definedName name="ppe">#REF!</definedName>
    <definedName name="PRC">[18]SUAD!$C$1:$O$45</definedName>
    <definedName name="PREPARED_BY">#REF!</definedName>
    <definedName name="PREPARED_DATE">#REF!</definedName>
    <definedName name="_xlnm.Print_Area" localSheetId="7">'1 组织结构及管理架构'!$A$1:$E$11</definedName>
    <definedName name="_xlnm.Print_Area" localSheetId="8">'2 关联公司信息'!$A$1:$J$12</definedName>
    <definedName name="_xlnm.Print_Area" localSheetId="11">'3 分部财务数据'!$A$1:$K$27</definedName>
    <definedName name="_xlnm.Print_Area" localSheetId="13">'4 供应商清单'!$A$1:$J$39</definedName>
    <definedName name="_xlnm.Print_Area" localSheetId="14">'5 客户清单'!$A$1:$J$40</definedName>
    <definedName name="_xlnm.Print_Area" localSheetId="6">资料清单!$A$1:$B$21</definedName>
    <definedName name="_xlnm.Print_Area">#REF!</definedName>
    <definedName name="Print_Area_MI" localSheetId="21">#REF!</definedName>
    <definedName name="Print_Area_MI">#REF!</definedName>
    <definedName name="_xlnm.Print_Titles" localSheetId="6">资料清单!$9:$9</definedName>
    <definedName name="Print_Titles_MI" localSheetId="21">#REF!</definedName>
    <definedName name="Print_Titles_MI">#REF!</definedName>
    <definedName name="Recover">[19]Macro1!$A$99</definedName>
    <definedName name="Rindx">MATCH("Grand Total",[20]AR3rd!1:1,0)</definedName>
    <definedName name="Scenario">'[12]Dropdown List'!$F$2:$F$14</definedName>
    <definedName name="Selection1">#REF!</definedName>
    <definedName name="Social_Benefit">[13]Property!$C$4:$O$15</definedName>
    <definedName name="software">#REF!</definedName>
    <definedName name="SRM" localSheetId="21">#REF!</definedName>
    <definedName name="SRM">#REF!</definedName>
    <definedName name="table2">'[21]ex.rate 07'!$B$5:$C$34</definedName>
    <definedName name="TableName">"Dummy"</definedName>
    <definedName name="tatcol" localSheetId="21">#REF!</definedName>
    <definedName name="tatcol">#REF!</definedName>
    <definedName name="tatpl" localSheetId="21">#REF!</definedName>
    <definedName name="tatpl">#REF!</definedName>
    <definedName name="tatrow" localSheetId="21">#REF!</definedName>
    <definedName name="tatrow">#REF!</definedName>
    <definedName name="TB054ebf94_076e_4b0c_a574_08c63ef03255" hidden="1">#REF!</definedName>
    <definedName name="TB055c7a7f_970d_4dd0_a99e_9fdcc214e267" hidden="1">#REF!</definedName>
    <definedName name="TB07993ad8_5e39_4554_8471_39e70c3d24b3" hidden="1">#REF!</definedName>
    <definedName name="TB09b176ce_809c_4e34_b083_fd761f002b32" hidden="1">#REF!</definedName>
    <definedName name="TB0c0e4d50_2708_403b_ab2a_1ebc2de23568" hidden="1">#REF!</definedName>
    <definedName name="TB0d989772_5550_43b4_aa86_4b25a8375563" hidden="1">#REF!</definedName>
    <definedName name="TB122e65ad_04c0_43a8_bb99_e4f3c36b0fa2" hidden="1">#REF!</definedName>
    <definedName name="TB14eaffb3_e29c_4b47_a7ef_c65625332e86" hidden="1">#REF!</definedName>
    <definedName name="TB1b978e21_5e1c_446a_ab4c_a55b9dfa176a" hidden="1">#REF!</definedName>
    <definedName name="TB22375bc3_1761_434b_8d68_b740d9fbc833" hidden="1">#REF!</definedName>
    <definedName name="TB346926fb_6e4e_44c5_9769_e54c1f63a4ef" hidden="1">#REF!</definedName>
    <definedName name="TB347391bd_3299_49da_8a6a_63a12cd1e003" hidden="1">#REF!</definedName>
    <definedName name="TB38c26054_18ed_4f47_b856_80a7fd6fb06e" hidden="1">#REF!</definedName>
    <definedName name="TB4d67d454_3754_478d_9a9a_df6ef34651c0" hidden="1">#REF!</definedName>
    <definedName name="TB54c1ad53_3bfc_4692_9967_68456daf4b9c" hidden="1">#REF!</definedName>
    <definedName name="TB560fd9e4_b094_4aba_bbed_a5dda5350ebb" hidden="1">#REF!</definedName>
    <definedName name="TB627f4597_8c48_42c3_8b82_8ebe27c6fda2" hidden="1">#REF!</definedName>
    <definedName name="TB6d9c4745_5177_4aa9_b4b1_004262cf0a87" hidden="1">#REF!</definedName>
    <definedName name="TB711bf41c_6045_43d1_a915_0f4daa3b61e4" hidden="1">#REF!</definedName>
    <definedName name="TB7914ea31_d061_479e_907f_08d1de792271" hidden="1">#REF!</definedName>
    <definedName name="TB8615ede6_a872_489f_9cf4_b683c30ea1fe" hidden="1">#REF!</definedName>
    <definedName name="TB89293879_027d_4180_a5fb_d97495a8ca88" hidden="1">#REF!</definedName>
    <definedName name="TB8ac11e84_f9d3_4b34_a94e_378beb11d3cf" hidden="1">#REF!</definedName>
    <definedName name="TBa3a32538_b413_4217_abd8_eecbafd6ef34" hidden="1">#REF!</definedName>
    <definedName name="TBa57f1364_b8f9_4ada_baf2_c0593dc120cf" hidden="1">#REF!</definedName>
    <definedName name="TBa63fbfbf_c509_4757_aa02_021e3749610d" hidden="1">#REF!</definedName>
    <definedName name="TBa6bba863_46a3_46fd_82bf_d3df08a60d17" hidden="1">#REF!</definedName>
    <definedName name="TBa9f4a28f_da14_4422_931e_012915b1873a" hidden="1">#REF!</definedName>
    <definedName name="TBbf0154d1_cbbb_4a64_ab3b_e0a227ad10b7" hidden="1">#REF!</definedName>
    <definedName name="TBdd29fd48_64d0_4f70_b462_5db84e34460f" hidden="1">#REF!</definedName>
    <definedName name="TBdeecaec3_eedb_49d3_9ee7_7db89ae669fd" hidden="1">#REF!</definedName>
    <definedName name="TBef357745_961c_4d3c_9d21_fb1848ec3ead" hidden="1">#REF!</definedName>
    <definedName name="TBf29de241_b68d_48b6_9ee3_496dd4c07272" hidden="1">#REF!</definedName>
    <definedName name="TBfecf5cc0_23f7_48fa_bd8c_926c232eefa9" hidden="1">#REF!</definedName>
    <definedName name="TextRefCopy1">#REF!</definedName>
    <definedName name="TextRefCopy10">'[22]Sales-Customer'!#REF!</definedName>
    <definedName name="TextRefCopy100">#REF!</definedName>
    <definedName name="TextRefCopy101">#REF!</definedName>
    <definedName name="TextRefCopy108">'[23]Staff adv.'!$E$35</definedName>
    <definedName name="TextRefCopy11">#REF!</definedName>
    <definedName name="TextRefCopy12">'[22]Sales-Customer'!#REF!</definedName>
    <definedName name="TextRefCopy13">#REF!</definedName>
    <definedName name="TextRefCopy14">'[22]Sales-Customer'!#REF!</definedName>
    <definedName name="TextRefCopy15">#REF!</definedName>
    <definedName name="TextRefCopy16">#REF!</definedName>
    <definedName name="TextRefCopy162">'[22]Sales-Product'!#REF!</definedName>
    <definedName name="TextRefCopy168">'[22]Sales-Product'!#REF!</definedName>
    <definedName name="TextRefCopy17">#REF!</definedName>
    <definedName name="TextRefCopy18">[24]建信置业!#REF!</definedName>
    <definedName name="TextRefCopy19">[24]杭州华健!#REF!</definedName>
    <definedName name="TextRefCopy2">#REF!</definedName>
    <definedName name="TextRefCopy20">[24]绍兴信达!#REF!</definedName>
    <definedName name="TextRefCopy21">#REF!</definedName>
    <definedName name="TextRefCopy22">#REF!</definedName>
    <definedName name="TextRefCopy23">[22]PBC!#REF!</definedName>
    <definedName name="TextRefCopy24">#REF!</definedName>
    <definedName name="TextRefCopy25">#REF!</definedName>
    <definedName name="TextRefCopy26">#REF!</definedName>
    <definedName name="TextRefCopy264">#REF!</definedName>
    <definedName name="TextRefCopy269">#REF!</definedName>
    <definedName name="TextRefCopy27">#REF!</definedName>
    <definedName name="TextRefCopy271">#REF!</definedName>
    <definedName name="TextRefCopy272">#REF!</definedName>
    <definedName name="TextRefCopy278">'[22]Sales-Product'!#REF!</definedName>
    <definedName name="TextRefCopy28">#REF!</definedName>
    <definedName name="TextRefCopy281">#REF!</definedName>
    <definedName name="TextRefCopy284">#REF!</definedName>
    <definedName name="TextRefCopy286">#REF!</definedName>
    <definedName name="TextRefCopy288">#REF!</definedName>
    <definedName name="TextRefCopy29">#REF!</definedName>
    <definedName name="TextRefCopy3">#REF!</definedName>
    <definedName name="TextRefCopy30">#REF!</definedName>
    <definedName name="TextRefCopy31">#REF!</definedName>
    <definedName name="TextRefCopy317">'[22]Sales-Customer'!#REF!</definedName>
    <definedName name="TextRefCopy319">'[22]Sales-Customer'!#REF!</definedName>
    <definedName name="TextRefCopy32">#REF!</definedName>
    <definedName name="TextRefCopy321">'[22]Sales-Customer'!#REF!</definedName>
    <definedName name="TextRefCopy33">#REF!</definedName>
    <definedName name="TextRefCopy34">#REF!</definedName>
    <definedName name="TextRefCopy35">#REF!</definedName>
    <definedName name="TextRefCopy36">#REF!</definedName>
    <definedName name="TextRefCopy37">#REF!</definedName>
    <definedName name="TextRefCopy38">#REF!</definedName>
    <definedName name="TextRefCopy39">#REF!</definedName>
    <definedName name="TextRefCopy395">#REF!</definedName>
    <definedName name="TextRefCopy397">#REF!</definedName>
    <definedName name="TextRefCopy398">#REF!</definedName>
    <definedName name="TextRefCopy399">#REF!</definedName>
    <definedName name="TextRefCopy4">#REF!</definedName>
    <definedName name="TextRefCopy40">#REF!</definedName>
    <definedName name="TextRefCopy400">#REF!</definedName>
    <definedName name="TextRefCopy401">#REF!</definedName>
    <definedName name="TextRefCopy402">#REF!</definedName>
    <definedName name="TextRefCopy406">#REF!</definedName>
    <definedName name="TextRefCopy407">#REF!</definedName>
    <definedName name="TextRefCopy408">#REF!</definedName>
    <definedName name="TextRefCopy409">#REF!</definedName>
    <definedName name="TextRefCopy41">#REF!</definedName>
    <definedName name="TextRefCopy411">#REF!</definedName>
    <definedName name="TextRefCopy413">#REF!</definedName>
    <definedName name="TextRefCopy414">#REF!</definedName>
    <definedName name="TextRefCopy42">#REF!</definedName>
    <definedName name="TextRefCopy421">#REF!</definedName>
    <definedName name="TextRefCopy424">#REF!</definedName>
    <definedName name="TextRefCopy426">#REF!</definedName>
    <definedName name="TextRefCopy427">#REF!</definedName>
    <definedName name="TextRefCopy43">#REF!</definedName>
    <definedName name="TextRefCopy430">#REF!</definedName>
    <definedName name="TextRefCopy435">#REF!</definedName>
    <definedName name="TextRefCopy437">#REF!</definedName>
    <definedName name="TextRefCopy439">#REF!</definedName>
    <definedName name="TextRefCopy44">#REF!</definedName>
    <definedName name="TextRefCopy441">#REF!</definedName>
    <definedName name="TextRefCopy442">#REF!</definedName>
    <definedName name="TextRefCopy443">#REF!</definedName>
    <definedName name="TextRefCopy445">#REF!</definedName>
    <definedName name="TextRefCopy446">#REF!</definedName>
    <definedName name="TextRefCopy447">#REF!</definedName>
    <definedName name="TextRefCopy448">#REF!</definedName>
    <definedName name="TextRefCopy45">#REF!</definedName>
    <definedName name="TextRefCopy450">#REF!</definedName>
    <definedName name="TextRefCopy452">#REF!</definedName>
    <definedName name="TextRefCopy454">#REF!</definedName>
    <definedName name="TextRefCopy459">#REF!</definedName>
    <definedName name="TextRefCopy46">#REF!</definedName>
    <definedName name="TextRefCopy463">#REF!</definedName>
    <definedName name="TextRefCopy464">#REF!</definedName>
    <definedName name="TextRefCopy465">#REF!</definedName>
    <definedName name="TextRefCopy467">#REF!</definedName>
    <definedName name="TextRefCopy469">#REF!</definedName>
    <definedName name="TextRefCopy47">'[25]Tax Movement'!#REF!</definedName>
    <definedName name="TextRefCopy470">#REF!</definedName>
    <definedName name="TextRefCopy471">#REF!</definedName>
    <definedName name="TextRefCopy472">#REF!</definedName>
    <definedName name="TextRefCopy474">#REF!</definedName>
    <definedName name="TextRefCopy475">#REF!</definedName>
    <definedName name="TextRefCopy476">#REF!</definedName>
    <definedName name="TextRefCopy48">#REF!</definedName>
    <definedName name="TextRefCopy481">#REF!</definedName>
    <definedName name="TextRefCopy487">#REF!</definedName>
    <definedName name="TextRefCopy489">#REF!</definedName>
    <definedName name="TextRefCopy49">#REF!</definedName>
    <definedName name="TextRefCopy492">#REF!</definedName>
    <definedName name="TextRefCopy495">#REF!</definedName>
    <definedName name="TextRefCopy497">#REF!</definedName>
    <definedName name="TextRefCopy5">#REF!</definedName>
    <definedName name="TextRefCopy50">#REF!</definedName>
    <definedName name="TextRefCopy501">#REF!</definedName>
    <definedName name="TextRefCopy502">#REF!</definedName>
    <definedName name="TextRefCopy505">#REF!</definedName>
    <definedName name="TextRefCopy506">#REF!</definedName>
    <definedName name="TextRefCopy507">#REF!</definedName>
    <definedName name="TextRefCopy509">#REF!</definedName>
    <definedName name="TextRefCopy51">#REF!</definedName>
    <definedName name="TextRefCopy510">#REF!</definedName>
    <definedName name="TextRefCopy511">#REF!</definedName>
    <definedName name="TextRefCopy512">#REF!</definedName>
    <definedName name="TextRefCopy514">#REF!</definedName>
    <definedName name="TextRefCopy516">#REF!</definedName>
    <definedName name="TextRefCopy517">#REF!</definedName>
    <definedName name="TextRefCopy52">#REF!</definedName>
    <definedName name="TextRefCopy522">#REF!</definedName>
    <definedName name="TextRefCopy526">#REF!</definedName>
    <definedName name="TextRefCopy527">#REF!</definedName>
    <definedName name="TextRefCopy528">#REF!</definedName>
    <definedName name="TextRefCopy529">#REF!</definedName>
    <definedName name="TextRefCopy53">#REF!</definedName>
    <definedName name="TextRefCopy531">#REF!</definedName>
    <definedName name="TextRefCopy533">#REF!</definedName>
    <definedName name="TextRefCopy534">#REF!</definedName>
    <definedName name="TextRefCopy535">#REF!</definedName>
    <definedName name="TextRefCopy536">#REF!</definedName>
    <definedName name="TextRefCopy537">#REF!</definedName>
    <definedName name="TextRefCopy538">#REF!</definedName>
    <definedName name="TextRefCopy539">#REF!</definedName>
    <definedName name="TextRefCopy54">#REF!</definedName>
    <definedName name="TextRefCopy55">#REF!</definedName>
    <definedName name="TextRefCopy56">#REF!</definedName>
    <definedName name="TextRefCopy57">'[26]2-1 Confirmation Control'!$I$30</definedName>
    <definedName name="TextRefCopy578">#REF!</definedName>
    <definedName name="TextRefCopy58">#REF!</definedName>
    <definedName name="TextRefCopy59">'[22]Sales-Product'!#REF!</definedName>
    <definedName name="TextRefCopy6">#REF!</definedName>
    <definedName name="TextRefCopy60">#REF!</definedName>
    <definedName name="TextRefCopy61">#REF!</definedName>
    <definedName name="TextRefCopy62">#REF!</definedName>
    <definedName name="TextRefCopy63">#REF!</definedName>
    <definedName name="TextRefCopy64">#REF!</definedName>
    <definedName name="TextRefCopy645">#REF!</definedName>
    <definedName name="TextRefCopy646">#REF!</definedName>
    <definedName name="TextRefCopy65">#REF!</definedName>
    <definedName name="TextRefCopy650">#REF!</definedName>
    <definedName name="TextRefCopy652">#REF!</definedName>
    <definedName name="TextRefCopy654">#REF!</definedName>
    <definedName name="TextRefCopy655">#REF!</definedName>
    <definedName name="TextRefCopy658">#REF!</definedName>
    <definedName name="TextRefCopy66">#REF!</definedName>
    <definedName name="TextRefCopy661">#REF!</definedName>
    <definedName name="TextRefCopy662">#REF!</definedName>
    <definedName name="TextRefCopy664">#REF!</definedName>
    <definedName name="TextRefCopy665">#REF!</definedName>
    <definedName name="TextRefCopy666">#REF!</definedName>
    <definedName name="TextRefCopy67">#REF!</definedName>
    <definedName name="TextRefCopy671">#REF!</definedName>
    <definedName name="TextRefCopy672">#REF!</definedName>
    <definedName name="TextRefCopy679">#REF!</definedName>
    <definedName name="TextRefCopy680">#REF!</definedName>
    <definedName name="TextRefCopy694">#REF!</definedName>
    <definedName name="TextRefCopy696">#REF!</definedName>
    <definedName name="TextRefCopy697">#REF!</definedName>
    <definedName name="TextRefCopy698">#REF!</definedName>
    <definedName name="TextRefCopy699">#REF!</definedName>
    <definedName name="TextRefCopy7">#REF!</definedName>
    <definedName name="TextRefCopy70">'[26]2-RPT Transactions and Balances'!$F$49</definedName>
    <definedName name="TextRefCopy700">#REF!</definedName>
    <definedName name="TextRefCopy701">#REF!</definedName>
    <definedName name="TextRefCopy706">#REF!</definedName>
    <definedName name="TextRefCopy709">#REF!</definedName>
    <definedName name="TextRefCopy71">'[26]2-1 Confirmation Control'!$R$46</definedName>
    <definedName name="TextRefCopy710">#REF!</definedName>
    <definedName name="TextRefCopy711">#REF!</definedName>
    <definedName name="TextRefCopy712">#REF!</definedName>
    <definedName name="TextRefCopy714">#REF!</definedName>
    <definedName name="TextRefCopy716">#REF!</definedName>
    <definedName name="TextRefCopy718">#REF!</definedName>
    <definedName name="TextRefCopy724">#REF!</definedName>
    <definedName name="TextRefCopy725">#REF!</definedName>
    <definedName name="TextRefCopy728">#REF!</definedName>
    <definedName name="TextRefCopy729">#REF!</definedName>
    <definedName name="TextRefCopy730">#REF!</definedName>
    <definedName name="TextRefCopy731">#REF!</definedName>
    <definedName name="TextRefCopy732">#REF!</definedName>
    <definedName name="TextRefCopy733">#REF!</definedName>
    <definedName name="TextRefCopy734">#REF!</definedName>
    <definedName name="TextRefCopy736">#REF!</definedName>
    <definedName name="TextRefCopy737">#REF!</definedName>
    <definedName name="TextRefCopy739">#REF!</definedName>
    <definedName name="TextRefCopy74">'[26]2-RPT Transactions and Balances'!$I$49</definedName>
    <definedName name="TextRefCopy741">#REF!</definedName>
    <definedName name="TextRefCopy743">#REF!</definedName>
    <definedName name="TextRefCopy744">#REF!</definedName>
    <definedName name="TextRefCopy75">'[26]2-1 Confirmation Control'!$S$46</definedName>
    <definedName name="TextRefCopy78">'[26]2-1 Confirmation Control'!$T$46</definedName>
    <definedName name="TextRefCopy79">'[26]2-RPT Transactions and Balances'!$L$49</definedName>
    <definedName name="TextRefCopy8">#REF!</definedName>
    <definedName name="TextRefCopy80">'[23]Staff adv.'!$E$29</definedName>
    <definedName name="TextRefCopy82">'[26]2-1 Confirmation Control'!$U$46</definedName>
    <definedName name="TextRefCopy83">'[26]2-RPT Transactions and Balances'!$N$49</definedName>
    <definedName name="TextRefCopy86">'[26]2-RPT Transactions and Balances'!$P$49</definedName>
    <definedName name="TextRefCopy87">'[26]2-1 Confirmation Control'!$V$46</definedName>
    <definedName name="TextRefCopy9">#REF!</definedName>
    <definedName name="TextRefCopy90">'[26]2-1 Confirmation Control'!$W$46</definedName>
    <definedName name="TextRefCopy91">'[26]2-RPT Transactions and Balances'!$R$49</definedName>
    <definedName name="TextRefCopy94">#REF!</definedName>
    <definedName name="TextRefCopy95">#REF!</definedName>
    <definedName name="TextRefCopy96">#REF!</definedName>
    <definedName name="TextRefCopy97">#REF!</definedName>
    <definedName name="TextRefCopy98">#REF!</definedName>
    <definedName name="TextRefCopy99">#REF!</definedName>
    <definedName name="TextRefCopyRangeCount" hidden="1">745</definedName>
    <definedName name="Toolkit">#REF!</definedName>
    <definedName name="transaction">#REF!</definedName>
    <definedName name="u">OFFSET(#REF!,1,0,COUNTA(#REF!)-1,2)</definedName>
    <definedName name="UFPrn20001129111535">#REF!</definedName>
    <definedName name="UFPrn20011121144933">#REF!</definedName>
    <definedName name="UFPrn20020614084457">#REF!</definedName>
    <definedName name="UnitName">[8]Input!$D$4</definedName>
    <definedName name="UnitNo">[8]Input!$D$3</definedName>
    <definedName name="Value">'[12]Dropdown List'!$C$2:$C$3</definedName>
    <definedName name="View">'[12]Dropdown List'!$B$2:$B$4</definedName>
    <definedName name="VOS_AR" localSheetId="21">#REF!</definedName>
    <definedName name="VOS_AR">#REF!</definedName>
    <definedName name="VOS_AR_SGD" localSheetId="21">#REF!</definedName>
    <definedName name="VOS_AR_SGD">#REF!</definedName>
    <definedName name="VTM_AR_RM" localSheetId="21">#REF!</definedName>
    <definedName name="VTM_AR_RM">#REF!</definedName>
    <definedName name="VTM_AR_Source" localSheetId="21">#REF!</definedName>
    <definedName name="VTM_AR_Source">#REF!</definedName>
    <definedName name="VTS" localSheetId="21">#REF!</definedName>
    <definedName name="VTS">#REF!</definedName>
    <definedName name="VTS_AR" localSheetId="21">#REF!</definedName>
    <definedName name="VTS_AR">#REF!</definedName>
    <definedName name="VTS_AR_SGD" localSheetId="21">#REF!</definedName>
    <definedName name="VTS_AR_SGD">#REF!</definedName>
    <definedName name="VTS_AR_USD" localSheetId="21">#REF!</definedName>
    <definedName name="VTS_AR_USD">#REF!</definedName>
    <definedName name="wrn.Aging._.and._.Trend._.Analysis." hidden="1">{#N/A,#N/A,FALSE,"Aging Summary";#N/A,#N/A,FALSE,"Ratio Analysis";#N/A,#N/A,FALSE,"Test 120 Day Accts";#N/A,#N/A,FALSE,"Tickmarks"}</definedName>
    <definedName name="XREF_COLUMN_1" hidden="1">#REF!</definedName>
    <definedName name="XREF_COLUMN_2" hidden="1">'[27]2009 Breakdown'!#REF!</definedName>
    <definedName name="XREF_COLUMN_3" hidden="1">#REF!</definedName>
    <definedName name="XREF_COLUMN_4" hidden="1">#REF!</definedName>
    <definedName name="XREF_COLUMN_5" hidden="1">#REF!</definedName>
    <definedName name="XRefActiveRow" hidden="1">#REF!</definedName>
    <definedName name="XRefColumnsCount" hidden="1">2</definedName>
    <definedName name="XRefCopy1"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1</definedName>
    <definedName name="xxx">[3]U40!#REF!</definedName>
    <definedName name="xxxx" localSheetId="21" hidden="1">#REF!</definedName>
    <definedName name="xxxx" hidden="1">#REF!</definedName>
    <definedName name="报表" localSheetId="21">#REF!</definedName>
    <definedName name="报表">#REF!</definedName>
    <definedName name="产品成本表">#REF!</definedName>
    <definedName name="存货表">#REF!</definedName>
    <definedName name="当前明细账" localSheetId="21">#REF!</definedName>
    <definedName name="当前明细账">#REF!</definedName>
    <definedName name="附件六" localSheetId="21">#REF!</definedName>
    <definedName name="附件六">#REF!</definedName>
    <definedName name="固定资产表">#REF!</definedName>
    <definedName name="管理费用明细表">#REF!</definedName>
    <definedName name="汇率">#N/A</definedName>
    <definedName name="利润分配表">#REF!</definedName>
    <definedName name="明细分类帐" localSheetId="21">#REF!</definedName>
    <definedName name="明细分类帐">#REF!</definedName>
    <definedName name="三月份">[28]ar!#REF!</definedName>
    <definedName name="生产列1">#N/A</definedName>
    <definedName name="生产列11">#N/A</definedName>
    <definedName name="生产列15">#N/A</definedName>
    <definedName name="生产列16">#N/A</definedName>
    <definedName name="生产列17">#N/A</definedName>
    <definedName name="生产列19">#N/A</definedName>
    <definedName name="生产列2">#N/A</definedName>
    <definedName name="生产列20">#N/A</definedName>
    <definedName name="生产列3">#N/A</definedName>
    <definedName name="生产列4">#N/A</definedName>
    <definedName name="生产列5">#REF!</definedName>
    <definedName name="生产列6">#N/A</definedName>
    <definedName name="生产列7">#N/A</definedName>
    <definedName name="生产列8">#N/A</definedName>
    <definedName name="生产列9">#N/A</definedName>
    <definedName name="生产期">#N/A</definedName>
    <definedName name="生产期1">#N/A</definedName>
    <definedName name="生产期11">#N/A</definedName>
    <definedName name="生产期15">#N/A</definedName>
    <definedName name="生产期16">#N/A</definedName>
    <definedName name="生产期17">#N/A</definedName>
    <definedName name="生产期19">#N/A</definedName>
    <definedName name="生产期2">#N/A</definedName>
    <definedName name="生产期20">#N/A</definedName>
    <definedName name="生产期3">#N/A</definedName>
    <definedName name="生产期4">#N/A</definedName>
    <definedName name="生产期5">#REF!</definedName>
    <definedName name="生产期6">#N/A</definedName>
    <definedName name="生产期7">#N/A</definedName>
    <definedName name="生产期8">#N/A</definedName>
    <definedName name="生产期9">#N/A</definedName>
    <definedName name="十月份">'[29]10-2121'!$L$78</definedName>
    <definedName name="是">#REF!</definedName>
    <definedName name="外币资金情况表">#REF!</definedName>
    <definedName name="无形资产表">#REF!</definedName>
    <definedName name="现金流量表旧二">#REF!</definedName>
    <definedName name="现金流量表旧一">#REF!</definedName>
    <definedName name="现金流量表新二">#REF!</definedName>
    <definedName name="现金流量表新一">[30]现金流量表!#REF!</definedName>
    <definedName name="销售费用明细表">#REF!</definedName>
    <definedName name="应交增值税明细表">#REF!</definedName>
    <definedName name="营业外收支明细表">#REF!</definedName>
    <definedName name="在建工程表">#REF!</definedName>
    <definedName name="制造费用明细表">#REF!</definedName>
    <definedName name="主要产品成本表">#REF!</definedName>
    <definedName name="总分类账">[31]overheads!#REF!</definedName>
  </definedNames>
  <calcPr calcId="191029"/>
  <customWorkbookViews>
    <customWorkbookView name="alayang - Personal View" guid="{5B30B4ED-5909-44BF-8D4E-FED9BA81E830}" personalView="1" maximized="1" windowWidth="1020" windowHeight="603" activeSheetId="0" showComments="commIndAndComment"/>
    <customWorkbookView name="gzheng - Personal View" guid="{03BC3F46-AF92-48CB-8A18-7E1111C99BC6}" personalView="1" maximized="1" windowWidth="1020" windowHeight="539" activeSheetId="0" showComments="commIndAndComment"/>
    <customWorkbookView name="mko - Personal View" guid="{77152DAA-79FA-49D9-B314-FC1D618B1E39}" personalView="1" maximized="1" windowWidth="1276" windowHeight="624"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21" l="1" a="1"/>
  <c r="B2" i="21" s="1"/>
  <c r="C11" i="19"/>
  <c r="C10" i="19"/>
  <c r="C7" i="19"/>
  <c r="C5" i="30"/>
  <c r="D5" i="30"/>
  <c r="B5" i="30"/>
  <c r="B8" i="21"/>
  <c r="B7" i="21"/>
  <c r="B6" i="21"/>
  <c r="B5" i="21"/>
  <c r="B4" i="21"/>
  <c r="B3" i="21"/>
  <c r="B1" i="21"/>
  <c r="B51" i="19"/>
  <c r="E31" i="19"/>
  <c r="E24" i="19"/>
  <c r="E37" i="20"/>
  <c r="E30" i="20"/>
  <c r="E22" i="20"/>
  <c r="E15" i="20"/>
  <c r="E15" i="13"/>
  <c r="E22" i="13"/>
  <c r="E31" i="13"/>
  <c r="E38" i="13"/>
  <c r="E39" i="13" s="1"/>
  <c r="A1" i="13"/>
  <c r="E14" i="12"/>
  <c r="E21" i="12"/>
  <c r="E30" i="12"/>
  <c r="E37" i="12"/>
  <c r="E38" i="12"/>
  <c r="A1" i="12"/>
  <c r="A1" i="8"/>
  <c r="A1" i="7"/>
  <c r="B23" i="16"/>
  <c r="E23" i="13" l="1"/>
  <c r="G23" i="13" s="1"/>
  <c r="E40" i="13"/>
  <c r="F39" i="13" s="1"/>
  <c r="G39" i="13"/>
  <c r="G38" i="13"/>
  <c r="G31" i="13"/>
  <c r="C12" i="19"/>
  <c r="E22" i="12"/>
  <c r="F31" i="13" l="1"/>
  <c r="G22" i="13"/>
  <c r="F23" i="13"/>
  <c r="G15" i="13"/>
  <c r="F38" i="13"/>
  <c r="F15" i="13"/>
  <c r="F22" i="13"/>
  <c r="F40" i="13"/>
  <c r="G22" i="12"/>
  <c r="G21" i="12"/>
  <c r="E39" i="12"/>
  <c r="G14" i="12"/>
  <c r="F39" i="12" l="1"/>
  <c r="F37" i="12"/>
  <c r="F38" i="12"/>
  <c r="F30" i="12"/>
  <c r="F21" i="12"/>
  <c r="F14" i="12"/>
  <c r="F22" i="1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<sst xmlns="http://schemas.openxmlformats.org/spreadsheetml/2006/main" count="459" uniqueCount="328">
  <si>
    <t>【年度】年度转让定价同期资料准备所需基础资料和文件清单</t>
  </si>
  <si>
    <r>
      <rPr>
        <b/>
        <sz val="11"/>
        <color indexed="9"/>
        <rFont val="华文楷体"/>
        <family val="3"/>
        <charset val="134"/>
      </rPr>
      <t>资料清单</t>
    </r>
  </si>
  <si>
    <r>
      <rPr>
        <b/>
        <sz val="11"/>
        <color indexed="9"/>
        <rFont val="华文楷体"/>
        <family val="3"/>
        <charset val="134"/>
      </rPr>
      <t>附注</t>
    </r>
  </si>
  <si>
    <r>
      <rPr>
        <b/>
        <sz val="11"/>
        <color theme="1"/>
        <rFont val="Times New Roman"/>
        <family val="1"/>
      </rPr>
      <t xml:space="preserve">I. </t>
    </r>
    <r>
      <rPr>
        <b/>
        <sz val="11"/>
        <color indexed="8"/>
        <rFont val="华文楷体"/>
        <family val="3"/>
        <charset val="134"/>
      </rPr>
      <t>基本信息</t>
    </r>
  </si>
  <si>
    <r>
      <rPr>
        <sz val="11"/>
        <color theme="1"/>
        <rFont val="Times New Roman"/>
        <family val="1"/>
      </rPr>
      <t xml:space="preserve">1. </t>
    </r>
    <r>
      <rPr>
        <sz val="11"/>
        <color indexed="8"/>
        <rFont val="华文楷体"/>
        <family val="3"/>
        <charset val="134"/>
      </rPr>
      <t>中华人民共和国企业法人营业执照</t>
    </r>
  </si>
  <si>
    <r>
      <rPr>
        <sz val="11"/>
        <color indexed="8"/>
        <rFont val="华文楷体"/>
        <family val="3"/>
        <charset val="134"/>
      </rPr>
      <t>如有更新请提供</t>
    </r>
  </si>
  <si>
    <t>2. 组织结构，包括企业各职能部门的设置、职责范围和雇员数量等（请提供截至【年度】年12月31日时点的组织结构图）</t>
  </si>
  <si>
    <r>
      <rPr>
        <sz val="11"/>
        <color theme="1"/>
        <rFont val="华文楷体"/>
        <family val="3"/>
        <charset val="134"/>
      </rPr>
      <t>请见附件</t>
    </r>
    <r>
      <rPr>
        <sz val="11"/>
        <color theme="1"/>
        <rFont val="Times New Roman"/>
        <family val="1"/>
      </rPr>
      <t>1</t>
    </r>
  </si>
  <si>
    <t>3. 管理架构，包括企业各级管理层的汇报对象以及汇报对象主要办公所在地等（请提供截至【年度】年12月31日时点的信息）</t>
  </si>
  <si>
    <t>4. 【年度】年度关联公司信息</t>
  </si>
  <si>
    <r>
      <rPr>
        <sz val="11"/>
        <color indexed="8"/>
        <rFont val="华文楷体"/>
        <family val="3"/>
        <charset val="134"/>
      </rPr>
      <t>请见附件</t>
    </r>
    <r>
      <rPr>
        <sz val="11"/>
        <color indexed="8"/>
        <rFont val="Times New Roman"/>
        <family val="1"/>
      </rPr>
      <t>2</t>
    </r>
  </si>
  <si>
    <r>
      <rPr>
        <b/>
        <sz val="11"/>
        <color theme="1"/>
        <rFont val="Times New Roman"/>
        <family val="1"/>
      </rPr>
      <t xml:space="preserve">II. </t>
    </r>
    <r>
      <rPr>
        <b/>
        <sz val="11"/>
        <color indexed="8"/>
        <rFont val="华文楷体"/>
        <family val="3"/>
        <charset val="134"/>
      </rPr>
      <t>财务信息</t>
    </r>
  </si>
  <si>
    <t>1. 【年度】年审计报告，包括经审计的财务报表及其附注</t>
  </si>
  <si>
    <r>
      <rPr>
        <sz val="11"/>
        <color indexed="8"/>
        <rFont val="华文楷体"/>
        <family val="3"/>
        <charset val="134"/>
      </rPr>
      <t>请提供</t>
    </r>
  </si>
  <si>
    <t>2. 【年度】年度分部财务数据分析表，需包括企业不同类型产品的收入、成本、费用及利润。</t>
  </si>
  <si>
    <r>
      <rPr>
        <sz val="11"/>
        <color theme="1"/>
        <rFont val="华文楷体"/>
        <family val="3"/>
        <charset val="134"/>
      </rPr>
      <t>请见附件</t>
    </r>
    <r>
      <rPr>
        <sz val="11"/>
        <color theme="1"/>
        <rFont val="Times New Roman"/>
        <family val="1"/>
      </rPr>
      <t>3</t>
    </r>
  </si>
  <si>
    <t>3. 【年度】年度《中华人民共和国企业年度关联业务往来报告表(2016年版)》</t>
  </si>
  <si>
    <t>请提供电子版</t>
  </si>
  <si>
    <t>4. 【年度】年度贵公司主要关联供应商名单</t>
  </si>
  <si>
    <r>
      <rPr>
        <sz val="11"/>
        <color theme="1"/>
        <rFont val="华文楷体"/>
        <family val="3"/>
        <charset val="134"/>
      </rPr>
      <t>请见附件</t>
    </r>
    <r>
      <rPr>
        <sz val="11"/>
        <color theme="1"/>
        <rFont val="Times New Roman"/>
        <family val="1"/>
      </rPr>
      <t>4</t>
    </r>
  </si>
  <si>
    <t>5. 【年度】年度的主要关联客户清单</t>
  </si>
  <si>
    <r>
      <rPr>
        <sz val="11"/>
        <color theme="1"/>
        <rFont val="华文楷体"/>
        <family val="3"/>
        <charset val="134"/>
      </rPr>
      <t>请见附件</t>
    </r>
    <r>
      <rPr>
        <sz val="11"/>
        <color theme="1"/>
        <rFont val="Times New Roman"/>
        <family val="1"/>
      </rPr>
      <t>5</t>
    </r>
  </si>
  <si>
    <t>6. 【年度】年度其他关联交易类型、金额（如涉及）</t>
  </si>
  <si>
    <t>如涉及，请提供</t>
  </si>
  <si>
    <r>
      <rPr>
        <sz val="11"/>
        <rFont val="华文楷体"/>
        <family val="3"/>
        <charset val="134"/>
      </rPr>
      <t>附件一：组织结构及管理架构</t>
    </r>
  </si>
  <si>
    <r>
      <rPr>
        <sz val="11"/>
        <color rgb="FFFF0000"/>
        <rFont val="华文楷体"/>
        <family val="3"/>
        <charset val="134"/>
      </rPr>
      <t>下表是我们根据</t>
    </r>
    <r>
      <rPr>
        <sz val="11"/>
        <color rgb="FFFF0000"/>
        <rFont val="宋体"/>
        <family val="3"/>
        <charset val="134"/>
      </rPr>
      <t>【上</t>
    </r>
    <r>
      <rPr>
        <sz val="11"/>
        <color rgb="FFFF0000"/>
        <rFont val="华文楷体"/>
        <family val="3"/>
        <charset val="134"/>
      </rPr>
      <t>年度】同期资料文档填写，还请贵公司更新截至</t>
    </r>
    <r>
      <rPr>
        <sz val="11"/>
        <color rgb="FFFF0000"/>
        <rFont val="宋体"/>
        <family val="3"/>
        <charset val="134"/>
      </rPr>
      <t>【年度】</t>
    </r>
    <r>
      <rPr>
        <sz val="11"/>
        <color rgb="FFFF0000"/>
        <rFont val="华文楷体"/>
        <family val="3"/>
        <charset val="134"/>
      </rPr>
      <t>年</t>
    </r>
    <r>
      <rPr>
        <sz val="11"/>
        <color rgb="FFFF0000"/>
        <rFont val="Times New Roman"/>
        <family val="1"/>
      </rPr>
      <t>12</t>
    </r>
    <r>
      <rPr>
        <sz val="11"/>
        <color rgb="FFFF0000"/>
        <rFont val="华文楷体"/>
        <family val="3"/>
        <charset val="134"/>
      </rPr>
      <t>月</t>
    </r>
    <r>
      <rPr>
        <sz val="11"/>
        <color rgb="FFFF0000"/>
        <rFont val="Times New Roman"/>
        <family val="1"/>
      </rPr>
      <t>31</t>
    </r>
    <r>
      <rPr>
        <sz val="11"/>
        <color rgb="FFFF0000"/>
        <rFont val="华文楷体"/>
        <family val="3"/>
        <charset val="134"/>
      </rPr>
      <t>日的部门信息和组织架构信息</t>
    </r>
  </si>
  <si>
    <r>
      <rPr>
        <b/>
        <sz val="11"/>
        <color theme="0"/>
        <rFont val="华文楷体"/>
        <family val="3"/>
        <charset val="134"/>
      </rPr>
      <t>主要部门</t>
    </r>
  </si>
  <si>
    <r>
      <rPr>
        <b/>
        <sz val="11"/>
        <color theme="0"/>
        <rFont val="华文楷体"/>
        <family val="3"/>
        <charset val="134"/>
      </rPr>
      <t>主要职责范围</t>
    </r>
  </si>
  <si>
    <r>
      <rPr>
        <b/>
        <sz val="11"/>
        <color theme="0"/>
        <rFont val="华文楷体"/>
        <family val="3"/>
        <charset val="134"/>
      </rPr>
      <t>部门负责人汇报对象</t>
    </r>
  </si>
  <si>
    <r>
      <rPr>
        <b/>
        <sz val="11"/>
        <color theme="0"/>
        <rFont val="华文楷体"/>
        <family val="3"/>
        <charset val="134"/>
      </rPr>
      <t>汇报对象</t>
    </r>
  </si>
  <si>
    <r>
      <rPr>
        <b/>
        <sz val="11"/>
        <color theme="0"/>
        <rFont val="华文楷体"/>
        <family val="3"/>
        <charset val="134"/>
      </rPr>
      <t>汇报对象主要办公所在地</t>
    </r>
  </si>
  <si>
    <t>新增</t>
  </si>
  <si>
    <r>
      <rPr>
        <b/>
        <sz val="11"/>
        <color theme="1"/>
        <rFont val="华文楷体"/>
        <family val="3"/>
        <charset val="134"/>
      </rPr>
      <t>总计</t>
    </r>
  </si>
  <si>
    <r>
      <rPr>
        <sz val="11"/>
        <color rgb="FFFF0000"/>
        <rFont val="华文楷体"/>
        <family val="3"/>
        <charset val="134"/>
      </rPr>
      <t>请在此提供组织架构图：</t>
    </r>
  </si>
  <si>
    <r>
      <rPr>
        <sz val="10"/>
        <rFont val="华文楷体"/>
        <family val="3"/>
        <charset val="134"/>
      </rPr>
      <t>附件二：关联方相关信息</t>
    </r>
  </si>
  <si>
    <r>
      <rPr>
        <sz val="10"/>
        <color rgb="FFFF0000"/>
        <rFont val="华文楷体"/>
        <family val="3"/>
        <charset val="134"/>
      </rPr>
      <t>下表是我们根据</t>
    </r>
    <r>
      <rPr>
        <sz val="10"/>
        <color rgb="FFFF0000"/>
        <rFont val="宋体"/>
        <family val="3"/>
        <charset val="134"/>
      </rPr>
      <t>【上</t>
    </r>
    <r>
      <rPr>
        <sz val="10"/>
        <color rgb="FFFF0000"/>
        <rFont val="华文楷体"/>
        <family val="3"/>
        <charset val="134"/>
      </rPr>
      <t>年度】同期资料文档填写，请贵公司就</t>
    </r>
    <r>
      <rPr>
        <sz val="10"/>
        <color rgb="FFFF0000"/>
        <rFont val="宋体"/>
        <family val="3"/>
        <charset val="134"/>
      </rPr>
      <t>【年度】</t>
    </r>
    <r>
      <rPr>
        <sz val="10"/>
        <color rgb="FFFF0000"/>
        <rFont val="华文楷体"/>
        <family val="3"/>
        <charset val="134"/>
      </rPr>
      <t>年度情况对以下描述进行确认或更新。</t>
    </r>
  </si>
  <si>
    <r>
      <rPr>
        <b/>
        <sz val="10"/>
        <color theme="0"/>
        <rFont val="华文楷体"/>
        <family val="3"/>
        <charset val="134"/>
      </rPr>
      <t>行次</t>
    </r>
  </si>
  <si>
    <r>
      <rPr>
        <b/>
        <sz val="10"/>
        <color theme="0"/>
        <rFont val="华文楷体"/>
        <family val="3"/>
        <charset val="134"/>
      </rPr>
      <t>关联方名称</t>
    </r>
  </si>
  <si>
    <r>
      <rPr>
        <b/>
        <sz val="10"/>
        <color theme="0"/>
        <rFont val="华文楷体"/>
        <family val="3"/>
        <charset val="134"/>
      </rPr>
      <t>关联方类型</t>
    </r>
  </si>
  <si>
    <r>
      <rPr>
        <b/>
        <sz val="10"/>
        <color theme="0"/>
        <rFont val="华文楷体"/>
        <family val="3"/>
        <charset val="134"/>
      </rPr>
      <t>国家（地区）</t>
    </r>
  </si>
  <si>
    <t>纳税人证件类型</t>
  </si>
  <si>
    <t>证件号</t>
  </si>
  <si>
    <r>
      <rPr>
        <b/>
        <sz val="10"/>
        <color theme="0"/>
        <rFont val="华文楷体"/>
        <family val="3"/>
        <charset val="134"/>
      </rPr>
      <t>关联关系类型</t>
    </r>
  </si>
  <si>
    <r>
      <rPr>
        <b/>
        <sz val="10"/>
        <color theme="0"/>
        <rFont val="华文楷体"/>
        <family val="3"/>
        <charset val="134"/>
      </rPr>
      <t>起始日期</t>
    </r>
  </si>
  <si>
    <r>
      <rPr>
        <b/>
        <sz val="10"/>
        <color theme="0"/>
        <rFont val="华文楷体"/>
        <family val="3"/>
        <charset val="134"/>
      </rPr>
      <t>截止日期</t>
    </r>
  </si>
  <si>
    <r>
      <rPr>
        <b/>
        <sz val="10"/>
        <color theme="0"/>
        <rFont val="华文楷体"/>
        <family val="3"/>
        <charset val="134"/>
      </rPr>
      <t>法定税率</t>
    </r>
  </si>
  <si>
    <t>注：</t>
  </si>
  <si>
    <t xml:space="preserve">“关联关系类型”：根据实际情况按以下关联关系标准选填代码A、B、C等，有多个关联关系类型的，应当选填多个代码。关联关系标准如下：
A．一方直接或者间接持有另一方的股份总和达到25%以上；双方直接或者间接同为第三方所持有的股份达到25%以上。
如果一方通过中间方对另一方间接持有股份，只要其对中间方持股比例达到25%以上，则其对另一方的持股比例按照中间方对另一方的持股比例计算。
两个以上具有夫妻、直系血亲、兄弟姐妹以及其他抚养、赡养关系的自然人共同持股同一企业，持股比例合并计算。
B.双方存在持股关系或者同为第三方持股，虽持股比例未达到A项规定，但双方之间借贷资金总额占任一方实收资本比例达到50%以上，或者一方全部借贷资金总额的10%以上由另一方担保，与独立金融机构之间的借贷或者担保除外。
借贷资金总额占实收资本比例=年度加权平均借贷资金/年度加权平均实收资本，其中：
 - 年度加权平均借贷资金=   i笔借入或者贷出资金账面金额×i笔借入或者贷出资金年度实际占用天数/365
 - 年度加权平均实收资本=  i笔实收资本账面金额×i笔实收资本年度实际占用天数/365
C.双方存在持股关系或者同为第三方持股，虽持股比例未达到A项规定，但一方的生产经营活动必须由另一方提供专利权、非专利技术、商标权、著作权等特许权才能正常进行。
D.双方存在持股关系或者同为第三方持股，虽持股比例未达到A项规定，但一方的购买、销售、接受劳务、提供劳务等经营活动由另一方控制。
上述控制是指一方有权决定另一方的财务和经营政策，并能据以从另一方的经营活动中获取利益。
E.一方半数以上董事或者半数以上高级管理人员（包括上市公司董事会秘书、经理、副经理、财务负责人和公司章程规定的其他人员）由另一方任命或者委派，或者同时担任另一方的董事或者高级管理人员；或者双方各自半数以上董事或者半数以上高级管理人员同为第三方任命或者委派。
F.具有夫妻、直系血亲、兄弟姐妹以及其他抚养、赡养关系的两个自然人分别与双方具有A至E项关系之一。
G.双方在实质上具有其他共同利益的关系。
除B项规定外，上述关联关系年度内发生变化的，按照实际关联关系存续期间认定。
仅因国家持股或者由国有资产管理部门委派董事、高级管理人员而存在A至E项关系的，不构成关联关系。
另外第7列“起始日期”和第8列“截止日期”：本报告年度所属期间内关联关系发生变化的，填报实际变化的日期；未发生变化的，填报本报告年度起始和截止日期。
</t>
  </si>
  <si>
    <r>
      <rPr>
        <sz val="11"/>
        <rFont val="华文楷体"/>
        <family val="3"/>
        <charset val="134"/>
      </rPr>
      <t>附件三：分部财务数据</t>
    </r>
  </si>
  <si>
    <r>
      <rPr>
        <b/>
        <sz val="11"/>
        <rFont val="华文楷体"/>
        <family val="3"/>
        <charset val="134"/>
      </rPr>
      <t>单位：人民币元</t>
    </r>
  </si>
  <si>
    <r>
      <rPr>
        <b/>
        <sz val="11"/>
        <color theme="0"/>
        <rFont val="Times New Roman"/>
        <family val="1"/>
      </rPr>
      <t xml:space="preserve">
</t>
    </r>
    <r>
      <rPr>
        <b/>
        <sz val="11"/>
        <color theme="0"/>
        <rFont val="华文楷体"/>
        <family val="3"/>
        <charset val="134"/>
      </rPr>
      <t>项目</t>
    </r>
  </si>
  <si>
    <r>
      <rPr>
        <b/>
        <sz val="11"/>
        <color theme="0"/>
        <rFont val="华文楷体"/>
        <family val="3"/>
        <charset val="134"/>
      </rPr>
      <t>备注</t>
    </r>
  </si>
  <si>
    <r>
      <rPr>
        <b/>
        <sz val="11"/>
        <color theme="0"/>
        <rFont val="华文楷体"/>
        <family val="3"/>
        <charset val="134"/>
      </rPr>
      <t>贸易业务</t>
    </r>
  </si>
  <si>
    <r>
      <rPr>
        <b/>
        <sz val="11"/>
        <color theme="0"/>
        <rFont val="华文楷体"/>
        <family val="3"/>
        <charset val="134"/>
      </rPr>
      <t>其他业务（如有）</t>
    </r>
  </si>
  <si>
    <r>
      <rPr>
        <b/>
        <sz val="11"/>
        <color theme="0"/>
        <rFont val="华文楷体"/>
        <family val="3"/>
        <charset val="134"/>
      </rPr>
      <t>合计</t>
    </r>
  </si>
  <si>
    <r>
      <rPr>
        <b/>
        <sz val="11"/>
        <color theme="0"/>
        <rFont val="华文楷体"/>
        <family val="3"/>
        <charset val="134"/>
      </rPr>
      <t>境外</t>
    </r>
  </si>
  <si>
    <r>
      <rPr>
        <b/>
        <sz val="11"/>
        <color theme="0"/>
        <rFont val="华文楷体"/>
        <family val="3"/>
        <charset val="134"/>
      </rPr>
      <t>境内</t>
    </r>
  </si>
  <si>
    <r>
      <rPr>
        <b/>
        <sz val="11"/>
        <color theme="0"/>
        <rFont val="华文楷体"/>
        <family val="3"/>
        <charset val="134"/>
      </rPr>
      <t>关联方</t>
    </r>
  </si>
  <si>
    <r>
      <rPr>
        <b/>
        <sz val="11"/>
        <color theme="0"/>
        <rFont val="华文楷体"/>
        <family val="3"/>
        <charset val="134"/>
      </rPr>
      <t>非关联方</t>
    </r>
  </si>
  <si>
    <r>
      <rPr>
        <sz val="11"/>
        <color indexed="8"/>
        <rFont val="华文楷体"/>
        <family val="3"/>
        <charset val="134"/>
      </rPr>
      <t>一、营业收入</t>
    </r>
  </si>
  <si>
    <r>
      <rPr>
        <sz val="11"/>
        <color indexed="8"/>
        <rFont val="华文楷体"/>
        <family val="3"/>
        <charset val="134"/>
      </rPr>
      <t>　　　　其中：主营业务收入</t>
    </r>
  </si>
  <si>
    <r>
      <rPr>
        <sz val="11"/>
        <color indexed="8"/>
        <rFont val="华文楷体"/>
        <family val="3"/>
        <charset val="134"/>
      </rPr>
      <t>　减：营业成本</t>
    </r>
  </si>
  <si>
    <r>
      <rPr>
        <sz val="11"/>
        <color indexed="8"/>
        <rFont val="华文楷体"/>
        <family val="3"/>
        <charset val="134"/>
      </rPr>
      <t>　　　　其中：主营业务成本</t>
    </r>
  </si>
  <si>
    <r>
      <rPr>
        <sz val="11"/>
        <color indexed="8"/>
        <rFont val="华文楷体"/>
        <family val="3"/>
        <charset val="134"/>
      </rPr>
      <t>　　　营业税金及附加</t>
    </r>
  </si>
  <si>
    <r>
      <rPr>
        <sz val="11"/>
        <color indexed="8"/>
        <rFont val="华文楷体"/>
        <family val="3"/>
        <charset val="134"/>
      </rPr>
      <t>　　　　其中：主营业务税金及附加</t>
    </r>
  </si>
  <si>
    <r>
      <rPr>
        <sz val="11"/>
        <color indexed="8"/>
        <rFont val="华文楷体"/>
        <family val="3"/>
        <charset val="134"/>
      </rPr>
      <t>　　　销售费用</t>
    </r>
  </si>
  <si>
    <r>
      <rPr>
        <sz val="11"/>
        <color indexed="8"/>
        <rFont val="华文楷体"/>
        <family val="3"/>
        <charset val="134"/>
      </rPr>
      <t>　　　管理费用</t>
    </r>
  </si>
  <si>
    <r>
      <rPr>
        <sz val="11"/>
        <color indexed="8"/>
        <rFont val="华文楷体"/>
        <family val="3"/>
        <charset val="134"/>
      </rPr>
      <t>　　　财务费用</t>
    </r>
  </si>
  <si>
    <r>
      <rPr>
        <sz val="11"/>
        <rFont val="华文楷体"/>
        <family val="3"/>
        <charset val="134"/>
      </rPr>
      <t>　　　资产减值损失</t>
    </r>
  </si>
  <si>
    <r>
      <rPr>
        <sz val="11"/>
        <color indexed="8"/>
        <rFont val="华文楷体"/>
        <family val="3"/>
        <charset val="134"/>
      </rPr>
      <t>　加：公允价值变动收益（损失以</t>
    </r>
    <r>
      <rPr>
        <sz val="11"/>
        <color indexed="8"/>
        <rFont val="Times New Roman"/>
        <family val="1"/>
      </rPr>
      <t>“-”</t>
    </r>
    <r>
      <rPr>
        <sz val="11"/>
        <color indexed="8"/>
        <rFont val="华文楷体"/>
        <family val="3"/>
        <charset val="134"/>
      </rPr>
      <t>号填列）</t>
    </r>
  </si>
  <si>
    <r>
      <rPr>
        <sz val="11"/>
        <color indexed="8"/>
        <rFont val="华文楷体"/>
        <family val="3"/>
        <charset val="134"/>
      </rPr>
      <t>　　　投资收益（损失以</t>
    </r>
    <r>
      <rPr>
        <sz val="11"/>
        <color indexed="8"/>
        <rFont val="Times New Roman"/>
        <family val="1"/>
      </rPr>
      <t>“-”</t>
    </r>
    <r>
      <rPr>
        <sz val="11"/>
        <color indexed="8"/>
        <rFont val="华文楷体"/>
        <family val="3"/>
        <charset val="134"/>
      </rPr>
      <t>号填列）</t>
    </r>
  </si>
  <si>
    <r>
      <rPr>
        <sz val="11"/>
        <color indexed="8"/>
        <rFont val="华文楷体"/>
        <family val="3"/>
        <charset val="134"/>
      </rPr>
      <t>　　</t>
    </r>
    <r>
      <rPr>
        <sz val="11"/>
        <color indexed="8"/>
        <rFont val="Times New Roman"/>
        <family val="1"/>
      </rPr>
      <t xml:space="preserve">   </t>
    </r>
    <r>
      <rPr>
        <sz val="11"/>
        <color indexed="8"/>
        <rFont val="华文楷体"/>
        <family val="3"/>
        <charset val="134"/>
      </rPr>
      <t>　其中：对联营企业和合营企业的投资收益</t>
    </r>
  </si>
  <si>
    <r>
      <rPr>
        <sz val="11"/>
        <color indexed="8"/>
        <rFont val="华文楷体"/>
        <family val="3"/>
        <charset val="134"/>
      </rPr>
      <t>二、营业利润（亏损以</t>
    </r>
    <r>
      <rPr>
        <sz val="11"/>
        <color indexed="8"/>
        <rFont val="Times New Roman"/>
        <family val="1"/>
      </rPr>
      <t>“-”</t>
    </r>
    <r>
      <rPr>
        <sz val="11"/>
        <color indexed="8"/>
        <rFont val="华文楷体"/>
        <family val="3"/>
        <charset val="134"/>
      </rPr>
      <t>号填列）＝</t>
    </r>
  </si>
  <si>
    <r>
      <rPr>
        <sz val="11"/>
        <rFont val="华文楷体"/>
        <family val="3"/>
        <charset val="134"/>
      </rPr>
      <t>说明：分别披露关联交易和非关联交易的收入、成本、费用和利润，不能直接归集的，按照合理比例划分，并说明该划分比例的依据。</t>
    </r>
  </si>
  <si>
    <t>附件四： 供应商清单</t>
  </si>
  <si>
    <r>
      <rPr>
        <sz val="12"/>
        <color rgb="FFFF0000"/>
        <rFont val="华文楷体"/>
        <family val="3"/>
        <charset val="134"/>
      </rPr>
      <t>请贵公司提供截至</t>
    </r>
    <r>
      <rPr>
        <sz val="12"/>
        <color rgb="FFFF0000"/>
        <rFont val="宋体"/>
        <family val="3"/>
        <charset val="134"/>
      </rPr>
      <t>【年度】</t>
    </r>
    <r>
      <rPr>
        <sz val="12"/>
        <color rgb="FFFF0000"/>
        <rFont val="华文楷体"/>
        <family val="3"/>
        <charset val="134"/>
      </rPr>
      <t>年</t>
    </r>
    <r>
      <rPr>
        <sz val="12"/>
        <color rgb="FFFF0000"/>
        <rFont val="Times New Roman"/>
        <family val="1"/>
      </rPr>
      <t>12</t>
    </r>
    <r>
      <rPr>
        <sz val="12"/>
        <color rgb="FFFF0000"/>
        <rFont val="华文楷体"/>
        <family val="3"/>
        <charset val="134"/>
      </rPr>
      <t>月</t>
    </r>
    <r>
      <rPr>
        <sz val="12"/>
        <color rgb="FFFF0000"/>
        <rFont val="Times New Roman"/>
        <family val="1"/>
      </rPr>
      <t>31</t>
    </r>
    <r>
      <rPr>
        <sz val="12"/>
        <color rgb="FFFF0000"/>
        <rFont val="华文楷体"/>
        <family val="3"/>
        <charset val="134"/>
      </rPr>
      <t>日包括关联方在内的贵公司的主要供应商详情。</t>
    </r>
    <r>
      <rPr>
        <sz val="12"/>
        <color rgb="FFFF0000"/>
        <rFont val="Times New Roman"/>
        <family val="1"/>
      </rPr>
      <t xml:space="preserve"> </t>
    </r>
    <r>
      <rPr>
        <sz val="12"/>
        <color rgb="FFFF0000"/>
        <rFont val="华文楷体"/>
        <family val="3"/>
        <charset val="134"/>
      </rPr>
      <t>请注明供应商位于境内还是境外、采购的产品类型、采购金额及每个供应商的采购金额占贵公司采购总金额的比例等。</t>
    </r>
  </si>
  <si>
    <r>
      <rPr>
        <b/>
        <sz val="10"/>
        <color theme="0"/>
        <rFont val="华文楷体"/>
        <family val="3"/>
        <charset val="134"/>
      </rPr>
      <t>项目</t>
    </r>
  </si>
  <si>
    <r>
      <rPr>
        <b/>
        <sz val="10"/>
        <color theme="0"/>
        <rFont val="华文楷体"/>
        <family val="3"/>
        <charset val="134"/>
      </rPr>
      <t>编号</t>
    </r>
  </si>
  <si>
    <r>
      <rPr>
        <b/>
        <sz val="10"/>
        <color theme="0"/>
        <rFont val="华文楷体"/>
        <family val="3"/>
        <charset val="134"/>
      </rPr>
      <t>供应商名称</t>
    </r>
  </si>
  <si>
    <r>
      <rPr>
        <b/>
        <sz val="10"/>
        <color theme="0"/>
        <rFont val="华文楷体"/>
        <family val="3"/>
        <charset val="134"/>
      </rPr>
      <t>产品类型（例如原材料，半成品或成品）</t>
    </r>
  </si>
  <si>
    <r>
      <rPr>
        <b/>
        <sz val="10"/>
        <color theme="0"/>
        <rFont val="华文楷体"/>
        <family val="3"/>
        <charset val="134"/>
      </rPr>
      <t>会计年度</t>
    </r>
    <r>
      <rPr>
        <b/>
        <sz val="10"/>
        <color theme="0"/>
        <rFont val="宋体"/>
        <family val="3"/>
        <charset val="134"/>
      </rPr>
      <t>【年度】</t>
    </r>
  </si>
  <si>
    <r>
      <rPr>
        <b/>
        <sz val="10"/>
        <color theme="0"/>
        <rFont val="华文楷体"/>
        <family val="3"/>
        <charset val="134"/>
      </rPr>
      <t>运输条款（例如</t>
    </r>
    <r>
      <rPr>
        <b/>
        <sz val="10"/>
        <color theme="0"/>
        <rFont val="Times New Roman"/>
        <family val="1"/>
      </rPr>
      <t>FOB</t>
    </r>
    <r>
      <rPr>
        <b/>
        <sz val="10"/>
        <color theme="0"/>
        <rFont val="华文楷体"/>
        <family val="3"/>
        <charset val="134"/>
      </rPr>
      <t>，</t>
    </r>
    <r>
      <rPr>
        <b/>
        <sz val="10"/>
        <color theme="0"/>
        <rFont val="Times New Roman"/>
        <family val="1"/>
      </rPr>
      <t>CIF</t>
    </r>
    <r>
      <rPr>
        <b/>
        <sz val="10"/>
        <color theme="0"/>
        <rFont val="华文楷体"/>
        <family val="3"/>
        <charset val="134"/>
      </rPr>
      <t>等）</t>
    </r>
  </si>
  <si>
    <r>
      <rPr>
        <b/>
        <sz val="10"/>
        <color theme="0"/>
        <rFont val="华文楷体"/>
        <family val="3"/>
        <charset val="134"/>
      </rPr>
      <t>支付货币</t>
    </r>
    <r>
      <rPr>
        <b/>
        <sz val="10"/>
        <color theme="0"/>
        <rFont val="Times New Roman"/>
        <family val="1"/>
      </rPr>
      <t xml:space="preserve"> </t>
    </r>
    <r>
      <rPr>
        <b/>
        <sz val="10"/>
        <color theme="0"/>
        <rFont val="华文楷体"/>
        <family val="3"/>
        <charset val="134"/>
      </rPr>
      <t>（例如美元）</t>
    </r>
  </si>
  <si>
    <r>
      <rPr>
        <b/>
        <sz val="10"/>
        <color theme="0"/>
        <rFont val="华文楷体"/>
        <family val="3"/>
        <charset val="134"/>
      </rPr>
      <t>支付条款（例如发票开具日期</t>
    </r>
    <r>
      <rPr>
        <b/>
        <sz val="10"/>
        <color theme="0"/>
        <rFont val="Times New Roman"/>
        <family val="1"/>
      </rPr>
      <t>30</t>
    </r>
    <r>
      <rPr>
        <b/>
        <sz val="10"/>
        <color theme="0"/>
        <rFont val="华文楷体"/>
        <family val="3"/>
        <charset val="134"/>
      </rPr>
      <t>天内）</t>
    </r>
  </si>
  <si>
    <r>
      <rPr>
        <b/>
        <sz val="10"/>
        <color theme="0"/>
        <rFont val="华文楷体"/>
        <family val="3"/>
        <charset val="134"/>
      </rPr>
      <t>金额
（人民币）</t>
    </r>
  </si>
  <si>
    <r>
      <rPr>
        <b/>
        <sz val="10"/>
        <color theme="0"/>
        <rFont val="华文楷体"/>
        <family val="3"/>
        <charset val="134"/>
      </rPr>
      <t>占采购总金额比例</t>
    </r>
  </si>
  <si>
    <r>
      <rPr>
        <b/>
        <sz val="10"/>
        <color theme="0"/>
        <rFont val="华文楷体"/>
        <family val="3"/>
        <charset val="134"/>
      </rPr>
      <t>占关联采购总金额比例</t>
    </r>
  </si>
  <si>
    <r>
      <rPr>
        <b/>
        <sz val="10"/>
        <rFont val="华文楷体"/>
        <family val="3"/>
        <charset val="134"/>
      </rPr>
      <t>关联供应商</t>
    </r>
  </si>
  <si>
    <r>
      <rPr>
        <sz val="10"/>
        <rFont val="华文楷体"/>
        <family val="3"/>
        <charset val="134"/>
      </rPr>
      <t>境外关联采购</t>
    </r>
  </si>
  <si>
    <r>
      <rPr>
        <sz val="10"/>
        <rFont val="华文楷体"/>
        <family val="3"/>
        <charset val="134"/>
      </rPr>
      <t>其他</t>
    </r>
  </si>
  <si>
    <r>
      <rPr>
        <sz val="10"/>
        <rFont val="华文楷体"/>
        <family val="3"/>
        <charset val="134"/>
      </rPr>
      <t>境外关联采购小计</t>
    </r>
  </si>
  <si>
    <r>
      <rPr>
        <sz val="10"/>
        <rFont val="华文楷体"/>
        <family val="3"/>
        <charset val="134"/>
      </rPr>
      <t>境内关联采购</t>
    </r>
  </si>
  <si>
    <r>
      <rPr>
        <b/>
        <sz val="10"/>
        <rFont val="华文楷体"/>
        <family val="3"/>
        <charset val="134"/>
      </rPr>
      <t>境内关联采购小计</t>
    </r>
  </si>
  <si>
    <r>
      <rPr>
        <b/>
        <sz val="10"/>
        <rFont val="华文楷体"/>
        <family val="3"/>
        <charset val="134"/>
      </rPr>
      <t>关联采购小计</t>
    </r>
  </si>
  <si>
    <r>
      <rPr>
        <b/>
        <sz val="10"/>
        <rFont val="华文楷体"/>
        <family val="3"/>
        <charset val="134"/>
      </rPr>
      <t>非关联供应商</t>
    </r>
  </si>
  <si>
    <r>
      <rPr>
        <sz val="10"/>
        <rFont val="华文楷体"/>
        <family val="3"/>
        <charset val="134"/>
      </rPr>
      <t>境外非关联采购</t>
    </r>
  </si>
  <si>
    <r>
      <rPr>
        <b/>
        <sz val="10"/>
        <rFont val="华文楷体"/>
        <family val="3"/>
        <charset val="134"/>
      </rPr>
      <t>境外非关联采购小计</t>
    </r>
  </si>
  <si>
    <r>
      <rPr>
        <sz val="10"/>
        <rFont val="华文楷体"/>
        <family val="3"/>
        <charset val="134"/>
      </rPr>
      <t>境内非关联采购</t>
    </r>
  </si>
  <si>
    <r>
      <rPr>
        <b/>
        <sz val="10"/>
        <rFont val="华文楷体"/>
        <family val="3"/>
        <charset val="134"/>
      </rPr>
      <t>境内非关联采购小计</t>
    </r>
  </si>
  <si>
    <r>
      <rPr>
        <b/>
        <sz val="10"/>
        <rFont val="华文楷体"/>
        <family val="3"/>
        <charset val="134"/>
      </rPr>
      <t>非关联采购小计</t>
    </r>
  </si>
  <si>
    <r>
      <rPr>
        <b/>
        <sz val="10"/>
        <rFont val="华文楷体"/>
        <family val="3"/>
        <charset val="134"/>
      </rPr>
      <t>合计</t>
    </r>
  </si>
  <si>
    <r>
      <rPr>
        <sz val="12"/>
        <rFont val="华文楷体"/>
        <family val="3"/>
        <charset val="134"/>
      </rPr>
      <t>附件五：客户清单</t>
    </r>
  </si>
  <si>
    <r>
      <rPr>
        <sz val="12"/>
        <color rgb="FFFF0000"/>
        <rFont val="华文楷体"/>
        <family val="3"/>
        <charset val="134"/>
      </rPr>
      <t>请贵公司提供截至【</t>
    </r>
    <r>
      <rPr>
        <sz val="12"/>
        <color rgb="FFFF0000"/>
        <rFont val="宋体"/>
        <family val="3"/>
        <charset val="134"/>
      </rPr>
      <t>年度】</t>
    </r>
    <r>
      <rPr>
        <sz val="12"/>
        <color rgb="FFFF0000"/>
        <rFont val="华文楷体"/>
        <family val="3"/>
        <charset val="134"/>
      </rPr>
      <t>年</t>
    </r>
    <r>
      <rPr>
        <sz val="12"/>
        <color rgb="FFFF0000"/>
        <rFont val="Times New Roman"/>
        <family val="1"/>
      </rPr>
      <t>12</t>
    </r>
    <r>
      <rPr>
        <sz val="12"/>
        <color rgb="FFFF0000"/>
        <rFont val="华文楷体"/>
        <family val="3"/>
        <charset val="134"/>
      </rPr>
      <t>月</t>
    </r>
    <r>
      <rPr>
        <sz val="12"/>
        <color rgb="FFFF0000"/>
        <rFont val="Times New Roman"/>
        <family val="1"/>
      </rPr>
      <t>31</t>
    </r>
    <r>
      <rPr>
        <sz val="12"/>
        <color rgb="FFFF0000"/>
        <rFont val="华文楷体"/>
        <family val="3"/>
        <charset val="134"/>
      </rPr>
      <t>日包括关联方在内的贵公司的主要客户详情。</t>
    </r>
    <r>
      <rPr>
        <sz val="12"/>
        <color rgb="FFFF0000"/>
        <rFont val="Times New Roman"/>
        <family val="1"/>
      </rPr>
      <t xml:space="preserve"> </t>
    </r>
    <r>
      <rPr>
        <sz val="12"/>
        <color rgb="FFFF0000"/>
        <rFont val="华文楷体"/>
        <family val="3"/>
        <charset val="134"/>
      </rPr>
      <t>请注明客户位于境内还是境外、相关的产品类型、销售收入及每个客户的销售收入占贵公司销售总收入的比例等。</t>
    </r>
  </si>
  <si>
    <r>
      <rPr>
        <b/>
        <sz val="10"/>
        <color theme="0"/>
        <rFont val="华文楷体"/>
        <family val="3"/>
        <charset val="134"/>
      </rPr>
      <t>客户名称</t>
    </r>
  </si>
  <si>
    <r>
      <rPr>
        <b/>
        <sz val="10"/>
        <color theme="0"/>
        <rFont val="华文楷体"/>
        <family val="3"/>
        <charset val="134"/>
      </rPr>
      <t>产品以及产品细分（例如</t>
    </r>
    <r>
      <rPr>
        <b/>
        <sz val="10"/>
        <color theme="0"/>
        <rFont val="Times New Roman"/>
        <family val="1"/>
      </rPr>
      <t>A1</t>
    </r>
    <r>
      <rPr>
        <b/>
        <sz val="10"/>
        <color theme="0"/>
        <rFont val="华文楷体"/>
        <family val="3"/>
        <charset val="134"/>
      </rPr>
      <t>，</t>
    </r>
    <r>
      <rPr>
        <b/>
        <sz val="10"/>
        <color theme="0"/>
        <rFont val="Times New Roman"/>
        <family val="1"/>
      </rPr>
      <t>B2</t>
    </r>
    <r>
      <rPr>
        <b/>
        <sz val="10"/>
        <color theme="0"/>
        <rFont val="华文楷体"/>
        <family val="3"/>
        <charset val="134"/>
      </rPr>
      <t>等）</t>
    </r>
  </si>
  <si>
    <t>金额
（人民币）</t>
  </si>
  <si>
    <r>
      <rPr>
        <b/>
        <sz val="10"/>
        <color theme="0"/>
        <rFont val="华文楷体"/>
        <family val="3"/>
        <charset val="134"/>
      </rPr>
      <t>占销售总收入比例</t>
    </r>
  </si>
  <si>
    <r>
      <rPr>
        <b/>
        <sz val="10"/>
        <color theme="0"/>
        <rFont val="华文楷体"/>
        <family val="3"/>
        <charset val="134"/>
      </rPr>
      <t>占关联销售总收入比例</t>
    </r>
  </si>
  <si>
    <r>
      <rPr>
        <b/>
        <sz val="10"/>
        <rFont val="华文楷体"/>
        <family val="3"/>
        <charset val="134"/>
      </rPr>
      <t>关联客户</t>
    </r>
  </si>
  <si>
    <r>
      <rPr>
        <sz val="10"/>
        <rFont val="华文楷体"/>
        <family val="3"/>
        <charset val="134"/>
      </rPr>
      <t>境外关联销售</t>
    </r>
  </si>
  <si>
    <r>
      <rPr>
        <sz val="10"/>
        <rFont val="华文楷体"/>
        <family val="3"/>
        <charset val="134"/>
      </rPr>
      <t>境外关联销售小计</t>
    </r>
  </si>
  <si>
    <r>
      <rPr>
        <sz val="10"/>
        <rFont val="华文楷体"/>
        <family val="3"/>
        <charset val="134"/>
      </rPr>
      <t>境内关联销售</t>
    </r>
  </si>
  <si>
    <r>
      <rPr>
        <b/>
        <sz val="10"/>
        <rFont val="华文楷体"/>
        <family val="3"/>
        <charset val="134"/>
      </rPr>
      <t>境内关联销售小计</t>
    </r>
  </si>
  <si>
    <r>
      <rPr>
        <b/>
        <sz val="10"/>
        <rFont val="华文楷体"/>
        <family val="3"/>
        <charset val="134"/>
      </rPr>
      <t>关联销售小计</t>
    </r>
  </si>
  <si>
    <r>
      <rPr>
        <b/>
        <sz val="10"/>
        <rFont val="华文楷体"/>
        <family val="3"/>
        <charset val="134"/>
      </rPr>
      <t>非关联客户</t>
    </r>
  </si>
  <si>
    <r>
      <rPr>
        <sz val="10"/>
        <rFont val="华文楷体"/>
        <family val="3"/>
        <charset val="134"/>
      </rPr>
      <t>境外非关联销售</t>
    </r>
  </si>
  <si>
    <r>
      <rPr>
        <b/>
        <sz val="10"/>
        <rFont val="华文楷体"/>
        <family val="3"/>
        <charset val="134"/>
      </rPr>
      <t>境外非关联销售小计</t>
    </r>
  </si>
  <si>
    <r>
      <rPr>
        <sz val="10"/>
        <rFont val="华文楷体"/>
        <family val="3"/>
        <charset val="134"/>
      </rPr>
      <t>境内非关联销售</t>
    </r>
  </si>
  <si>
    <r>
      <rPr>
        <b/>
        <sz val="10"/>
        <rFont val="华文楷体"/>
        <family val="3"/>
        <charset val="134"/>
      </rPr>
      <t>境内非关联销售小计</t>
    </r>
  </si>
  <si>
    <r>
      <rPr>
        <b/>
        <sz val="10"/>
        <rFont val="华文楷体"/>
        <family val="3"/>
        <charset val="134"/>
      </rPr>
      <t>非关联销售小计</t>
    </r>
  </si>
  <si>
    <t>附件六：劳务交易表</t>
  </si>
  <si>
    <t>请贵公司提供截至2019年12月31日贵公司的关联劳务交易详情。</t>
  </si>
  <si>
    <t>行次</t>
  </si>
  <si>
    <t>关联交易类型</t>
  </si>
  <si>
    <t>关联方名称</t>
  </si>
  <si>
    <t>关联交易内容</t>
  </si>
  <si>
    <t>交易金额</t>
  </si>
  <si>
    <t>比例</t>
  </si>
  <si>
    <t>占总劳务收入比重（%）</t>
  </si>
  <si>
    <t xml:space="preserve">境外关联
劳务收入
</t>
  </si>
  <si>
    <t>────</t>
  </si>
  <si>
    <t>其他关联方</t>
  </si>
  <si>
    <t>境外关联劳务收入小计</t>
  </si>
  <si>
    <t xml:space="preserve">境内关联
劳务收入
</t>
  </si>
  <si>
    <t>境内关联劳务收入小计</t>
  </si>
  <si>
    <t>境内外关联和非关联劳务收入合计</t>
  </si>
  <si>
    <t xml:space="preserve">境外关联
劳务支出
</t>
  </si>
  <si>
    <t>境外关联劳务支出小计</t>
  </si>
  <si>
    <t xml:space="preserve">境内关联
劳务支出
</t>
  </si>
  <si>
    <t>境内关联劳务支出小计</t>
  </si>
  <si>
    <t>境内外关联和非关联劳务支出合计</t>
  </si>
  <si>
    <r>
      <rPr>
        <b/>
        <sz val="11"/>
        <color rgb="FFFFFFFF"/>
        <rFont val="微软雅黑"/>
        <family val="2"/>
        <charset val="134"/>
      </rPr>
      <t>项目</t>
    </r>
  </si>
  <si>
    <r>
      <rPr>
        <b/>
        <sz val="11"/>
        <color rgb="FFFFFFFF"/>
        <rFont val="微软雅黑"/>
        <family val="2"/>
        <charset val="134"/>
      </rPr>
      <t>公式</t>
    </r>
  </si>
  <si>
    <t>【年度】</t>
  </si>
  <si>
    <r>
      <rPr>
        <sz val="11"/>
        <color rgb="FF000000"/>
        <rFont val="微软雅黑"/>
        <family val="2"/>
        <charset val="134"/>
      </rPr>
      <t>营业收入</t>
    </r>
  </si>
  <si>
    <t>a</t>
  </si>
  <si>
    <r>
      <rPr>
        <sz val="11"/>
        <rFont val="微软雅黑"/>
        <family val="2"/>
        <charset val="134"/>
      </rPr>
      <t>减：</t>
    </r>
    <r>
      <rPr>
        <sz val="11"/>
        <color rgb="FF000000"/>
        <rFont val="微软雅黑"/>
        <family val="2"/>
        <charset val="134"/>
      </rPr>
      <t>营业成本</t>
    </r>
  </si>
  <si>
    <t>b</t>
  </si>
  <si>
    <r>
      <rPr>
        <sz val="11"/>
        <color rgb="FF000000"/>
        <rFont val="微软雅黑"/>
        <family val="2"/>
        <charset val="134"/>
      </rPr>
      <t>税金及附加</t>
    </r>
  </si>
  <si>
    <t>c</t>
  </si>
  <si>
    <r>
      <rPr>
        <sz val="11"/>
        <color rgb="FF000000"/>
        <rFont val="微软雅黑"/>
        <family val="2"/>
        <charset val="134"/>
      </rPr>
      <t>营业利润</t>
    </r>
  </si>
  <si>
    <t>d = a-b-c</t>
  </si>
  <si>
    <r>
      <rPr>
        <sz val="11"/>
        <rFont val="微软雅黑"/>
        <family val="2"/>
        <charset val="134"/>
      </rPr>
      <t>减：销售费用</t>
    </r>
  </si>
  <si>
    <t>e</t>
  </si>
  <si>
    <r>
      <rPr>
        <sz val="11"/>
        <color rgb="FF000000"/>
        <rFont val="微软雅黑"/>
        <family val="2"/>
        <charset val="134"/>
      </rPr>
      <t>管理费用</t>
    </r>
  </si>
  <si>
    <t>f</t>
  </si>
  <si>
    <r>
      <rPr>
        <sz val="11"/>
        <rFont val="微软雅黑"/>
        <family val="2"/>
        <charset val="134"/>
      </rPr>
      <t>息税前利润</t>
    </r>
  </si>
  <si>
    <t>g = a-b-c-e-f</t>
  </si>
  <si>
    <r>
      <rPr>
        <sz val="11"/>
        <rFont val="微软雅黑"/>
        <family val="2"/>
        <charset val="134"/>
      </rPr>
      <t>营业成本及费用</t>
    </r>
  </si>
  <si>
    <t>h = b+c+e+f</t>
  </si>
  <si>
    <r>
      <rPr>
        <sz val="11"/>
        <rFont val="微软雅黑"/>
        <family val="2"/>
        <charset val="134"/>
      </rPr>
      <t>完全成本加成率</t>
    </r>
  </si>
  <si>
    <t>i= g/h</t>
  </si>
  <si>
    <t>根据访谈，关联销售以审计报告为准</t>
  </si>
  <si>
    <t>境外交易金额</t>
  </si>
  <si>
    <t>境内交易金额</t>
  </si>
  <si>
    <t>交易总额</t>
  </si>
  <si>
    <t>A</t>
  </si>
  <si>
    <t>B</t>
  </si>
  <si>
    <t>C=A+B</t>
  </si>
  <si>
    <t>关联采购</t>
  </si>
  <si>
    <t>关联销售</t>
  </si>
  <si>
    <t>总计</t>
  </si>
  <si>
    <r>
      <rPr>
        <b/>
        <sz val="11"/>
        <color rgb="FFFFFFFF"/>
        <rFont val="仿宋_GB2312"/>
        <charset val="134"/>
      </rPr>
      <t>占采购、销售总额比例</t>
    </r>
    <r>
      <rPr>
        <b/>
        <sz val="11"/>
        <color rgb="FFFFFFFF"/>
        <rFont val="Arial Narrow"/>
        <family val="2"/>
      </rPr>
      <t>(%)</t>
    </r>
  </si>
  <si>
    <t>关联</t>
  </si>
  <si>
    <t>采购</t>
  </si>
  <si>
    <t>关联采购总计</t>
  </si>
  <si>
    <t>销售</t>
  </si>
  <si>
    <t>关联销售总计</t>
  </si>
  <si>
    <t>企业名称</t>
    <phoneticPr fontId="91" type="noConversion"/>
  </si>
  <si>
    <t>年度</t>
    <phoneticPr fontId="91" type="noConversion"/>
  </si>
  <si>
    <r>
      <rPr>
        <b/>
        <sz val="11"/>
        <color theme="0"/>
        <rFont val="华文楷体"/>
        <family val="3"/>
        <charset val="134"/>
      </rPr>
      <t>人数
（截至</t>
    </r>
    <r>
      <rPr>
        <b/>
        <sz val="11"/>
        <color theme="0"/>
        <rFont val="宋体"/>
        <family val="1"/>
        <charset val="134"/>
      </rPr>
      <t>【年度】</t>
    </r>
    <r>
      <rPr>
        <b/>
        <sz val="11"/>
        <color theme="0"/>
        <rFont val="华文楷体"/>
        <family val="3"/>
        <charset val="134"/>
      </rPr>
      <t>年</t>
    </r>
    <r>
      <rPr>
        <b/>
        <sz val="11"/>
        <color theme="0"/>
        <rFont val="Times New Roman"/>
        <family val="1"/>
      </rPr>
      <t>12</t>
    </r>
    <r>
      <rPr>
        <b/>
        <sz val="11"/>
        <color theme="0"/>
        <rFont val="华文楷体"/>
        <family val="3"/>
        <charset val="134"/>
      </rPr>
      <t>月</t>
    </r>
    <r>
      <rPr>
        <b/>
        <sz val="11"/>
        <color theme="0"/>
        <rFont val="Times New Roman"/>
        <family val="1"/>
      </rPr>
      <t>31</t>
    </r>
    <r>
      <rPr>
        <b/>
        <sz val="11"/>
        <color theme="0"/>
        <rFont val="华文楷体"/>
        <family val="3"/>
        <charset val="134"/>
      </rPr>
      <t>日）</t>
    </r>
    <phoneticPr fontId="91" type="noConversion"/>
  </si>
  <si>
    <t>事务所名称</t>
    <phoneticPr fontId="91" type="noConversion"/>
  </si>
  <si>
    <t>事务所简称</t>
    <phoneticPr fontId="91" type="noConversion"/>
  </si>
  <si>
    <r>
      <rPr>
        <sz val="11"/>
        <color theme="1"/>
        <rFont val="宋体"/>
        <family val="3"/>
        <charset val="134"/>
      </rPr>
      <t>敬请注意，该</t>
    </r>
    <r>
      <rPr>
        <sz val="11"/>
        <color theme="1"/>
        <rFont val="宋体"/>
        <family val="1"/>
        <charset val="134"/>
      </rPr>
      <t>“</t>
    </r>
    <r>
      <rPr>
        <sz val="11"/>
        <color theme="1"/>
        <rFont val="宋体"/>
        <family val="3"/>
        <charset val="134"/>
      </rPr>
      <t>提供资料清单</t>
    </r>
    <r>
      <rPr>
        <sz val="11"/>
        <color theme="1"/>
        <rFont val="宋体"/>
        <family val="1"/>
        <charset val="134"/>
      </rPr>
      <t>”</t>
    </r>
    <r>
      <rPr>
        <sz val="11"/>
        <color theme="1"/>
        <rFont val="宋体"/>
        <family val="3"/>
        <charset val="134"/>
      </rPr>
      <t>只适用于【企业名称】（以下简称</t>
    </r>
    <r>
      <rPr>
        <sz val="11"/>
        <color theme="1"/>
        <rFont val="宋体"/>
        <family val="1"/>
        <charset val="134"/>
      </rPr>
      <t>“</t>
    </r>
    <r>
      <rPr>
        <sz val="11"/>
        <color theme="1"/>
        <rFont val="宋体"/>
        <family val="3"/>
        <charset val="134"/>
      </rPr>
      <t>公司简称</t>
    </r>
    <r>
      <rPr>
        <sz val="11"/>
        <color theme="1"/>
        <rFont val="宋体"/>
        <family val="1"/>
        <charset val="134"/>
      </rPr>
      <t>”</t>
    </r>
    <r>
      <rPr>
        <sz val="11"/>
        <color theme="1"/>
        <rFont val="宋体"/>
        <family val="3"/>
        <charset val="134"/>
      </rPr>
      <t>）。贵公司需要提供截至【年度】会计年度</t>
    </r>
    <r>
      <rPr>
        <sz val="11"/>
        <color theme="1"/>
        <rFont val="Times New Roman"/>
        <family val="1"/>
      </rPr>
      <t>12</t>
    </r>
    <r>
      <rPr>
        <sz val="11"/>
        <color theme="1"/>
        <rFont val="宋体"/>
        <family val="3"/>
        <charset val="134"/>
      </rPr>
      <t>月</t>
    </r>
    <r>
      <rPr>
        <sz val="11"/>
        <color theme="1"/>
        <rFont val="Times New Roman"/>
        <family val="1"/>
      </rPr>
      <t>31</t>
    </r>
    <r>
      <rPr>
        <sz val="11"/>
        <color theme="1"/>
        <rFont val="宋体"/>
        <family val="3"/>
        <charset val="134"/>
      </rPr>
      <t>日（以下简称</t>
    </r>
    <r>
      <rPr>
        <sz val="11"/>
        <color theme="1"/>
        <rFont val="宋体"/>
        <family val="1"/>
        <charset val="134"/>
      </rPr>
      <t>“</t>
    </r>
    <r>
      <rPr>
        <sz val="11"/>
        <color theme="1"/>
        <rFont val="宋体"/>
        <family val="3"/>
        <charset val="134"/>
      </rPr>
      <t>【年度】年度</t>
    </r>
    <r>
      <rPr>
        <sz val="11"/>
        <color theme="1"/>
        <rFont val="宋体"/>
        <family val="1"/>
        <charset val="134"/>
      </rPr>
      <t>”</t>
    </r>
    <r>
      <rPr>
        <sz val="11"/>
        <color theme="1"/>
        <rFont val="宋体"/>
        <family val="3"/>
        <charset val="134"/>
      </rPr>
      <t>）的信息与资料，敬请贵公司注意，该清单是基于本所目前对贵公司经营状况的理解，该</t>
    </r>
    <r>
      <rPr>
        <sz val="11"/>
        <color theme="1"/>
        <rFont val="宋体"/>
        <family val="1"/>
        <charset val="134"/>
      </rPr>
      <t>“</t>
    </r>
    <r>
      <rPr>
        <sz val="11"/>
        <color theme="1"/>
        <rFont val="宋体"/>
        <family val="3"/>
        <charset val="134"/>
      </rPr>
      <t>资料清单</t>
    </r>
    <r>
      <rPr>
        <sz val="11"/>
        <color theme="1"/>
        <rFont val="宋体"/>
        <family val="1"/>
        <charset val="134"/>
      </rPr>
      <t>”</t>
    </r>
    <r>
      <rPr>
        <sz val="11"/>
        <color theme="1"/>
        <rFont val="宋体"/>
        <family val="3"/>
        <charset val="134"/>
      </rPr>
      <t>并不是全面的或是最终的，必要时我们会继续要求贵公司提供额外的信息和资料。我们希望贵公司能够尽量以电子表格的形式提供数据。对于较难获得或者以现场讨论的方式更易获取的信息，我们将在访谈时与贵公司进行探讨。</t>
    </r>
    <r>
      <rPr>
        <sz val="11"/>
        <color theme="1"/>
        <rFont val="Times New Roman"/>
        <family val="3"/>
      </rPr>
      <t xml:space="preserve">
</t>
    </r>
    <r>
      <rPr>
        <sz val="11"/>
        <color theme="1"/>
        <rFont val="宋体"/>
        <family val="3"/>
        <charset val="134"/>
      </rPr>
      <t>如果贵公司有任何的问题或建议，请联系我们的团队成员：</t>
    </r>
    <r>
      <rPr>
        <sz val="11"/>
        <color theme="1"/>
        <rFont val="Times New Roman"/>
        <family val="3"/>
      </rPr>
      <t xml:space="preserve">
</t>
    </r>
    <r>
      <rPr>
        <sz val="11"/>
        <color theme="1"/>
        <rFont val="宋体"/>
        <family val="3"/>
        <charset val="134"/>
      </rPr>
      <t>【事务所名称】</t>
    </r>
    <r>
      <rPr>
        <sz val="11"/>
        <color theme="1"/>
        <rFont val="Times New Roman"/>
        <family val="3"/>
      </rPr>
      <t xml:space="preserve">
</t>
    </r>
    <r>
      <rPr>
        <sz val="11"/>
        <color theme="1"/>
        <rFont val="Times New Roman"/>
        <family val="1"/>
      </rPr>
      <t xml:space="preserve">Project Manager:
Tel:  | Email: 
Tax Senior Consultant: 
Tel: (086)  | Email: </t>
    </r>
    <phoneticPr fontId="91" type="noConversion"/>
  </si>
  <si>
    <t>企业简称</t>
    <phoneticPr fontId="91" type="noConversion"/>
  </si>
  <si>
    <t>母公司全称</t>
    <phoneticPr fontId="91" type="noConversion"/>
  </si>
  <si>
    <t>集团情况描述</t>
    <phoneticPr fontId="91" type="noConversion"/>
  </si>
  <si>
    <t>被测关联交易利润水平</t>
    <phoneticPr fontId="91" type="noConversion"/>
  </si>
  <si>
    <t>公司经营背景资料</t>
    <phoneticPr fontId="91" type="noConversion"/>
  </si>
  <si>
    <t>产品</t>
  </si>
  <si>
    <t>销售额（万元）</t>
  </si>
  <si>
    <t>占比 (%)</t>
  </si>
  <si>
    <t>3.1. 全球行业情况</t>
    <phoneticPr fontId="91" type="noConversion"/>
  </si>
  <si>
    <t>3.2. 中国行业情况</t>
    <phoneticPr fontId="91" type="noConversion"/>
  </si>
  <si>
    <t>3.3. 行业竞争情况</t>
    <phoneticPr fontId="91" type="noConversion"/>
  </si>
  <si>
    <t>3.4. 行业政策情况及未来趋势</t>
    <phoneticPr fontId="91" type="noConversion"/>
  </si>
  <si>
    <t>3.5. 小结</t>
    <phoneticPr fontId="91" type="noConversion"/>
  </si>
  <si>
    <t>个人关联方</t>
  </si>
  <si>
    <t>国籍</t>
  </si>
  <si>
    <t>关联关系类型</t>
  </si>
  <si>
    <t>居住地址</t>
  </si>
  <si>
    <t>是否享受税收优惠</t>
    <phoneticPr fontId="91" type="noConversion"/>
  </si>
  <si>
    <t>国家/地区</t>
  </si>
  <si>
    <t>起止日期</t>
  </si>
  <si>
    <t>变化原因</t>
  </si>
  <si>
    <t>合计</t>
  </si>
  <si>
    <t>劳务内容</t>
  </si>
  <si>
    <t>分配方法</t>
  </si>
  <si>
    <t>总成本费用</t>
  </si>
  <si>
    <t>【清单模板-数据表B5】</t>
  </si>
  <si>
    <t>所需承担的比例</t>
  </si>
  <si>
    <t>市场营销服务</t>
  </si>
  <si>
    <t>销售额</t>
  </si>
  <si>
    <t>XX,XXX</t>
  </si>
  <si>
    <t>XX%</t>
  </si>
  <si>
    <t>行政支持服务</t>
  </si>
  <si>
    <t>信息技术服务</t>
  </si>
  <si>
    <t>人数</t>
  </si>
  <si>
    <t>关联方</t>
  </si>
  <si>
    <t>金额</t>
  </si>
  <si>
    <t>资产净值</t>
  </si>
  <si>
    <t>年初数</t>
  </si>
  <si>
    <t>年末数</t>
  </si>
  <si>
    <t>房屋及建筑物</t>
  </si>
  <si>
    <t>电脑设备</t>
  </si>
  <si>
    <t>机器设备</t>
  </si>
  <si>
    <t>办公设备</t>
  </si>
  <si>
    <t>家具</t>
  </si>
  <si>
    <t>运输设备</t>
  </si>
  <si>
    <t>生产设备</t>
  </si>
  <si>
    <t>其他</t>
  </si>
  <si>
    <t>序号</t>
  </si>
  <si>
    <t>风险</t>
  </si>
  <si>
    <t>缔约方</t>
  </si>
  <si>
    <t>公司间资金融通交易性质</t>
  </si>
  <si>
    <t>货币</t>
  </si>
  <si>
    <t>本金</t>
  </si>
  <si>
    <t>（原币）</t>
  </si>
  <si>
    <t>（人民币）</t>
  </si>
  <si>
    <t>到期期限</t>
  </si>
  <si>
    <t>利率</t>
  </si>
  <si>
    <t>利息收入/利息支出</t>
  </si>
  <si>
    <t>借款/贷款</t>
  </si>
  <si>
    <t>松莉美容科技（上海）有限公司隶属于Markwins Beauty Brands Inc.集团。Markwins集团成立于1984年，总部位于美国加州洛杉矶，是一家专注于化妆品生产、行销及研发的国际知名企业。集团以不断创新的设计能力、先进的生产技术、雄厚的财力和优越的行销能力著称，是全球化妆品行业的主要供应商之一。其策略是专注于单价较低的产品，通过满足不同年龄、种族、经济状况和肤色的消费者需求，填补了小众市场的空白，为全球消费者提供经济适用型美容产品。
松莉美容科技（上海）有限公司成立于2018年11月29日，注册资本为4,000万美元，位于上海市奉贤区。公司主要从事化妆品的生产经营业务，包括美容科技领域的技术服务、技术开发、技术咨询、技术交流、技术推广，以及化妆品的生产与销售。松莉科技作为Markwins集团在中国的重要生产基地，承担了集团旗下多个品牌化妆品的生产任务，如Physicians Formula、Wet n Wild和LiP SMACKER等，这些品牌在全球范围内享有较高的知名度和市场份额。</t>
    <phoneticPr fontId="91" type="noConversion"/>
  </si>
  <si>
    <t>松莉美容科技（上海）有限公司（以下简称“松莉科技”）成立于2018年11月29日，注册资本为4,000万美元，是一家有限责任公司（港澳台法人独资），投资方为Markwins International Corporation Limited（中国香港）。公司位于上海市奉贤区芝云路168号7幢1层B区、2层、3层，经营期限为50年。松莉科技的经营范围涵盖美容科技领域的技术服务、技术开发、技术咨询、技术交流、技术推广，健康信息咨询（医疗诊疗除外），化妆品的生产与销售，以及化工产品、包装材料及制品、日用杂品、卫生用品和一次性使用医疗产品的批发、进出口、网上零售等。
母公司Markwins International Corporation Limited隶属于Markwins Beauty Brands Inc.（美国），后者成立于1984年，总部位于美国加州洛杉矶。Markwins集团主要从事化妆品生产、行销及研发，以创新设计、先进技术和优越的行销能力著称，是全球化妆品行业的主要供应商之一。集团专注于经济适用型美容产品，通过满足不同年龄、种族、经济状况和肤色的消费者需求，填补了小众市场的空白。
截至2023年12月31日，松莉科技共有员工464人，公司内部设有生产部、计划部、资材部、采购部、关务部、工程部、工务部、产品开发部、业务部、财务部、资讯部、人事部、管理部、品质部和研发部等多个部门。其主营业务包括Physicians Formula、Wet n Wild和LiP SMACKER等品牌的化妆品生产。Physicians Formula品牌致力于为全球有肌肤困扰的女性提供健康、可靠且性价比高的化妆品，支持零残忍的彩妆和护肤理念；Wet n Wild品牌作为美国时尚彩妆品牌，以“张扬无畏、大胆自信、玩转色彩、彩妆先锋”为品牌理念，注重优质的上妆体验及性价比；LiP SMACKER品牌则以原创、趣味和优质配方闻名，专注于润唇膏产品，深受青少年和潮玩一族喜爱。松莉科技主要根据Markwins集团的订单安排生产计划，承担采购、生产、质量控制、库存管理等功能。
在财务方面，松莉科技2023年度的营业收入为273,356,327.70元人民币，营业成本为243,696,017.20元人民币，税金及附加为98,278.10元人民币，销售费用为562,576.46元人民币，管理费用为15,362,250.31元人民币，息税前利润为13,637,205.63元人民币，完全成本加成率为5.25%。
松莉科技所处的化妆品行业在全球范围内呈现增长趋势，2023年全球化妆品市场规模达到6,070亿美元。中国市场在其中占据重要地位，2023年零售总额达到4,142亿元人民币，同比增长5.1%。随着消费者对高品质、个性化产品的需求增加，化妆品行业在研发、生产、营销等方面不断创新，市场呈现出细分化、功能化、品牌化的特点。
作为Markwins集团在中国的重要生产基地，松莉科技的战略定位是专注于化妆品的生产制造，通过优化生产流程、提高产品质量、降低生产成本，为集团提供稳定的供应链支持。公司将继续加强研发能力，提升生产效率，拓展国内外市场，进一步巩固其在化妆品行业的地位。2023年度，松莉科技未发生重大重组、无形资产转让或关联股权转让，经营状况保持稳定。</t>
    <phoneticPr fontId="91" type="noConversion"/>
  </si>
  <si>
    <t>Physicians Formula品牌化妆品</t>
  </si>
  <si>
    <t>Wet n Wild品牌化妆品</t>
  </si>
  <si>
    <t>LiP SMACKER品牌润唇膏</t>
  </si>
  <si>
    <t>其他产品</t>
    <phoneticPr fontId="91" type="noConversion"/>
  </si>
  <si>
    <t>总计</t>
    <phoneticPr fontId="91" type="noConversion"/>
  </si>
  <si>
    <t>没找到</t>
    <phoneticPr fontId="91" type="noConversion"/>
  </si>
  <si>
    <t>护肤品按照使用部位不同分为面部护肤品、身体护肤品、手部护肤品和护肤套装产品，根据欧睿信息咨询公布的统计数据显示，目前全球市场规模最大的护肤产品为面部护肤品。
2010-2015年，全球经济放缓导致化妆品市场规模增速明显走低，2015年甚至出现负增长的情况，原因是欧元区需求不振及南美经济出现严重下滑。2016年以后，全球化妆品市场迎来触底反弹，扭转了此前的发展颓势。2020年，受到疫情影响，全球化妆品市场规模收缩，市场增长下降3.92%，但总体市场规模仍然保持在4800亿美元以上。2021-2023年，全球化妆品市场规模快速回升，2023年全球化妆品市场规模达到近十年最大值，为6,070.0亿美元。
2011-2023年，护肤类产品销售占比始终保持第一位，2023年护肤类产品市场规模占比36.9%，市场规模为2,239.83亿美元。护发用品销售占比第二，占比22.7%，市场规模为1,377.89亿美元；彩妆市场及香水市场规模占比分别为18.3%及11.9%，市场规模分别为1,110.81亿美元及722.33亿美元。</t>
    <phoneticPr fontId="91" type="noConversion"/>
  </si>
  <si>
    <t>据国家统计局数据显示，截至2023年12月中国社会消费品零售总额为43,550亿元，同比增长7.4%。其中，除汽车以外的消费品零售额为38,131亿元，同比增长7.9%。累计方面，2023年1-12月中国社会消费品零售总额累计为471,495亿元，比上年增长7.2%。其中，除汽车以外的消费品零售额为422,881亿元，累计增长7.3%。
从化妆品零售情况来看：2022年全年中国化妆品类累计零售额达到3,936亿元，相较于2022年市场的急速下滑，2023年的累计零售额再次恢复到2022年之前的平稳增长。截至2023年12月中国化妆品类零售额为323亿元，同比增长9.1%。累计方面，2023年1-12月中国化妆品类累计零售额达到4,142亿元，累计增长5.1%。
2023年，全国网上零售额154,264亿元，比上年增长11.0%。其中，实物商品网上零售额130,174亿元，增长8.4%，占社会消费品零售总额的比重为27.6%；在实物商品网上零售额中，吃类、穿类、用类商品分别增长11.2%、10.8%、7.1%。 从整体趋势来看，2023年6月和11月受618和双11大促影响，零售总额均达到了当时峰值，11月更是创下了全年单月最高峰值。大促月之后，化妆品零售总额均呈现断崖式下跌的趋势。</t>
    <phoneticPr fontId="91" type="noConversion"/>
  </si>
  <si>
    <t>综上所述，随着2023年的经济复苏，中国整体化妆品行业也从低谷中恢复。在消费者信心增强和市场需求逐渐回暖的背景下，中国化妆品行业不仅实现了销量的稳步增长，还在产品创新和品牌建设方面取得了显著进展。企业通过采用更加精细化的市场分析和针对性的营销策略，成功地吸引了更广泛的消费群体。同时，行业内部也加大了对研发的投入，推动了一系列符合现代消费者期待的新产品和技术的诞生。
此外，随着全球经济环境的改善和国际市场的逐步开放，中国化妆品品牌不断扩展海外市场，加强与国际品牌的合作与竞争。这不仅增强了品牌的国际影响力，也为企业带来了更多的发展机遇。</t>
    <phoneticPr fontId="91" type="noConversion"/>
  </si>
  <si>
    <t xml:space="preserve">1.从业者之间竞争激烈，市场集中度低。在中国化妆品市场不断成熟的过程中，外国品牌进入市场、中国品牌的崛起都带动市场中竞争者不断增加。2022年中国护肤品市场和彩妆市场前三名的总份额分别仅为 30%和 48%，低于其他消费子行业，也远低于发达国家水平。在竞争激烈的市场中，较为分散的市场格局加剧了化妆品从业者之间的竞争。在竞争初期，许多企业在线上竞争中通过价格战以及大量的市场营销，以望快速抢占消费者心智，挤出竞争者。但从市占率数据上来看，想要从大众市场中突出重围，困难重重。
2.上游议价能力低。化妆品企业在面对供应商时，在包材方面的议价能力相对更强，主要是由于包材企业的规模较小造成包材行业内竞争激烈。但在化妆品原材料方面，由于研发、技术以及生产壁垒的缘故，化妆品原材料厂商具备更强的议价能力。在化妆品新规的影响下，化妆品企业更加关注原材料生产和研发，这也让业内国产大企业通过与原材料厂商合作发展，或自建工厂和研发团队进行核心原材料生产，使他们在与供应商议价时的能力提升。
3.产打造高端品牌形象方面，国货品牌也缺乏经验。在打造高端品牌方面，美国品牌善借用高科技，欧洲品牌善借用贵族文化，这方面国货品牌还处于集体落后的阶段。中国的美妆品牌，尚处于夯实技术底座的时代，正沿着技术升级慢慢向上进军。相比医药、IT等技术驱动型行业，化妆品行业仍然是营销驱动的。但化妆品行业之前的技术占比太低，未来一段时间将是“技术补课”的阶段，技术升级会是未来数年的行业主流关键词。所以国货品牌的机会仍然还在技术升级方面，目前的头部企业也都是从科技端崛起的。
</t>
    <phoneticPr fontId="91" type="noConversion"/>
  </si>
  <si>
    <t>1.市场需求增长潜力巨大。随着国民可支配消费的增长，中国化妆品市场规模在过去 20 余年间高速增长，中国已成为世界第一大化妆品消费国。但由于中国化妆品教育起步较晚，化妆和护肤的习惯尚未普及，我国的人均化妆品销售额与发达国家仍存在巨大差距。展望未来，我们认为化妆品市场仍将在以下因素的带动下进一步提升：（1）低线城市化妆品消费力提升；（2）男性悦己主义盛行；（3）化妆品品类和步骤的细化。
2.日趋细分化的需求推动市场规模不断提升。随着国民可支配消费的增长，中国化妆品市场规模在过去20 余年间高速增长，但我国的人均化妆品销售额与美日韩仍存在较大差距。随着女性悦己主义盛行以及下沉市场的消费力提升，未来整体市场规模有望加速增长。
3.功能护肤类产品市场持续增长。消费者需求对行业趋势的发展起着决定性作用。当今，以95后和高知女性为代表的成分党群体正在崛起。不同于一般化妆品领域消费者对品牌信任度极高，新一代消费者群体越来越多地关注护肤品的功能效用，产品力和研发力影响正逐渐强于品牌力。随着消费者对高品质产品的需求以及化妆品制造工业的革新，使用专业皮肤护理产品逐渐成为市场新趋势。基于安全和功效双重需求，皮肤修复及护肤概念盛行，相应产品凭借适用性广、安全性高及功效性强等优势备受消费者青睐。
4.政策环境规范化。化妆品强监管时代启幕，相关政策日趋严格，驱动化妆品行业往规范化的方向发展，加快规模较小的企业出清，行业集中度有望提升，为高质量发展提供支持。为保障居民切身利益，规范行业健康发展，国家先后出台了《化妆品风险监测工作规程》《化妆品功效宣称评价指导原则》等多项政策来加强行业监管，涉及了化妆品行业生产、卫生、广告、备案、进出口等各方面标准，推动行业不断向规范化的方向发展。国家对化妆品产品的严格监管提高了行业门槛，令部分不达标的小型企业被逐渐淘汰，而具备品牌优势、产品性能稳定的企业则能够在规范的环境中得到不断发展壮大的机会。
5.消零售渠道的迅速发展。中国零售业的蓬勃发展为化妆品行业的发展提供了良好的平台和坚实的渠道支持。在化妆品消费尚未普及的阶段，一二线城市的高端百货商场是化妆品销售的主要场所，覆盖的区域相对有限，无法面向三四线城市居民提供产品。随着行业的发展，化妆品消费意识的不断普及，位于三四线城市及其它低线城市的消费者对化妆品的消费需求日益增加，化妆品开始进入大型的超市卖场，化妆品专卖店渠道迅速发展，促进了化妆品的不断普及。近年来，电商渠道的崛起，进一步丰富了消费者采购化妆品的方式，为消费者采购化妆品提供了更为便捷、经济的途径，提升了化妆品产品的整体消费规模。</t>
    <phoneticPr fontId="91" type="noConversion"/>
  </si>
  <si>
    <t>完全成本加成率</t>
  </si>
  <si>
    <t>生产部</t>
  </si>
  <si>
    <t>管理车间人员、物料、机器等资源，按质按量完成产品制造</t>
  </si>
  <si>
    <t>总经理</t>
  </si>
  <si>
    <t>中国/美国</t>
  </si>
  <si>
    <t>计划部</t>
  </si>
  <si>
    <t>生产计划、进度调度控制，物料管控</t>
  </si>
  <si>
    <t>资材部</t>
  </si>
  <si>
    <t>货物出入库管理、存货保管盘点，存储空间/环境管理</t>
  </si>
  <si>
    <t>采购部</t>
  </si>
  <si>
    <t>询比价开发优质供应商，采购降本，按质按量如期交货</t>
  </si>
  <si>
    <t>关务部</t>
  </si>
  <si>
    <t>货物进出口申报，船运安排，海关检验检疫</t>
  </si>
  <si>
    <t>工程部</t>
  </si>
  <si>
    <t>基础数据维护，IE工程管理</t>
  </si>
  <si>
    <t>工务部</t>
  </si>
  <si>
    <t>机器设备零配件修理维保</t>
  </si>
  <si>
    <t>产品开发部</t>
  </si>
  <si>
    <t>产品设计开发</t>
  </si>
  <si>
    <t>业务部</t>
  </si>
  <si>
    <t>客户关系管理，订单评审，交期出货协调</t>
  </si>
  <si>
    <t>财务部</t>
  </si>
  <si>
    <t>会计核算，成本管理，资金管理，财税申报，财务信息化管理</t>
  </si>
  <si>
    <t>资讯部</t>
  </si>
  <si>
    <t>网络管理，信息软件培训维保，机房建设与管理</t>
  </si>
  <si>
    <t>人事部</t>
  </si>
  <si>
    <t>公司制度订立执行，员工招聘、考核、培训及劳资关系管理</t>
  </si>
  <si>
    <t>管理部</t>
  </si>
  <si>
    <t>安保环境管理，职工食宿等行政事务</t>
  </si>
  <si>
    <t>品质部</t>
  </si>
  <si>
    <t>建立质量体系，制订品质标准，对物料、制程、产品质量检验</t>
  </si>
  <si>
    <t>研发部</t>
  </si>
  <si>
    <t>配方管理，新产品调研立项开发，旧产品改进</t>
  </si>
  <si>
    <t>Markwins International Corporation Limited</t>
  </si>
  <si>
    <t>中国香港</t>
  </si>
  <si>
    <t>母公司</t>
  </si>
  <si>
    <t>公司注册证书</t>
  </si>
  <si>
    <t>HK12345678</t>
  </si>
  <si>
    <t>控制与被控制关系</t>
  </si>
  <si>
    <t>-</t>
  </si>
  <si>
    <t>否</t>
  </si>
  <si>
    <t>Pro Art Cosmetics Limited</t>
  </si>
  <si>
    <t>同一母公司控制的其他企业</t>
  </si>
  <si>
    <t>HK87654321</t>
  </si>
  <si>
    <t>同一母公司控制</t>
  </si>
  <si>
    <t>美缤纷品牌管理（上海）有限公司</t>
  </si>
  <si>
    <t>子公司</t>
  </si>
  <si>
    <t>中国</t>
  </si>
  <si>
    <t>营业执照</t>
  </si>
  <si>
    <t>CN123456789</t>
  </si>
  <si>
    <t>没找到</t>
    <phoneticPr fontId="91" type="noConversion"/>
  </si>
  <si>
    <t>2023年3月1日 -</t>
  </si>
  <si>
    <t>2023年6月15日 -</t>
  </si>
  <si>
    <t>2023年1月1日 -</t>
  </si>
  <si>
    <t>新增，自2023年1月1日起，本企业设立全资子公司，与本企业构成关联关系</t>
  </si>
  <si>
    <t>无变化</t>
    <phoneticPr fontId="91" type="noConversion"/>
  </si>
  <si>
    <t>没找到截止日期</t>
    <phoneticPr fontId="91" type="noConversion"/>
  </si>
  <si>
    <t>原材料、半成品</t>
  </si>
  <si>
    <t>FOB</t>
  </si>
  <si>
    <t>美元</t>
  </si>
  <si>
    <t>发票开具后30天</t>
  </si>
  <si>
    <t>关联采购</t>
    <phoneticPr fontId="91" type="noConversion"/>
  </si>
  <si>
    <t>无列示</t>
    <phoneticPr fontId="91" type="noConversion"/>
  </si>
  <si>
    <t>松莉美容科技（上海）有限公司</t>
  </si>
  <si>
    <t>请贵公司就【23】情况对以下描述进行确认或更新。</t>
    <phoneticPr fontId="91" type="noConversion"/>
  </si>
  <si>
    <t>立信税务师事务所有限公司</t>
    <phoneticPr fontId="91" type="noConversion"/>
  </si>
  <si>
    <t>立信税务</t>
    <phoneticPr fontId="91" type="noConversion"/>
  </si>
  <si>
    <t>松莉科技</t>
    <phoneticPr fontId="91" type="noConversion"/>
  </si>
  <si>
    <t>Markwins Beauty Brands Inc.</t>
    <phoneticPr fontId="91" type="noConversion"/>
  </si>
  <si>
    <t>销售货物</t>
    <phoneticPr fontId="91" type="noConversion"/>
  </si>
  <si>
    <t>服务费</t>
    <phoneticPr fontId="91" type="noConversion"/>
  </si>
  <si>
    <t>销售货物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</si>
</sst>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76" formatCode="_-* #,##0.00_-;\-* #,##0.00_-;_-* &quot;-&quot;??_-;_-@_-"/>
    <numFmt numFmtId="177" formatCode="_(* #,##0.00_);_(* \(#,##0.00\);_(* &quot;-&quot;??_);_(@_)"/>
    <numFmt numFmtId="178" formatCode="0.0%"/>
    <numFmt numFmtId="179" formatCode="0.00_ "/>
    <numFmt numFmtId="180" formatCode="#,##0.00_ "/>
    <numFmt numFmtId="181" formatCode="_(* #,##0_);_(* \(#,##0\);_(* &quot;-&quot;??_);_(@_)"/>
  </numFmts>
  <fonts count="101">
    <font>
      <sz val="12"/>
      <name val="宋体"/>
      <charset val="134"/>
    </font>
    <font>
      <sz val="11"/>
      <color theme="1"/>
      <name val="Arial"/>
      <family val="2"/>
    </font>
    <font>
      <b/>
      <sz val="11"/>
      <color rgb="FFFFFFFF"/>
      <name val="Arial"/>
      <family val="2"/>
    </font>
    <font>
      <b/>
      <sz val="11"/>
      <color rgb="FFFFFFFF"/>
      <name val="宋体"/>
      <family val="3"/>
      <charset val="134"/>
    </font>
    <font>
      <sz val="11"/>
      <color rgb="FF000000"/>
      <name val="Arial"/>
      <family val="2"/>
    </font>
    <font>
      <sz val="11"/>
      <name val="Arial"/>
      <family val="2"/>
    </font>
    <font>
      <sz val="11"/>
      <color theme="1"/>
      <name val="宋体"/>
      <family val="3"/>
      <charset val="134"/>
    </font>
    <font>
      <sz val="10"/>
      <name val="Times New Roman"/>
      <family val="1"/>
    </font>
    <font>
      <sz val="10"/>
      <name val="宋体"/>
      <family val="3"/>
      <charset val="134"/>
    </font>
    <font>
      <b/>
      <sz val="10"/>
      <name val="Times New Roman"/>
      <family val="1"/>
    </font>
    <font>
      <b/>
      <sz val="11"/>
      <color rgb="FFFFFFFF"/>
      <name val="仿宋_GB2312"/>
      <charset val="134"/>
    </font>
    <font>
      <b/>
      <sz val="11"/>
      <color rgb="FFFFFFFF"/>
      <name val="Arial Narrow"/>
      <family val="2"/>
    </font>
    <font>
      <sz val="11"/>
      <name val="仿宋_GB2312"/>
      <charset val="134"/>
    </font>
    <font>
      <sz val="11"/>
      <name val="Arial Narrow"/>
      <family val="2"/>
    </font>
    <font>
      <b/>
      <sz val="11"/>
      <name val="仿宋_GB2312"/>
      <charset val="134"/>
    </font>
    <font>
      <b/>
      <sz val="11"/>
      <name val="Arial Narrow"/>
      <family val="2"/>
    </font>
    <font>
      <sz val="11"/>
      <color rgb="FF000000"/>
      <name val="仿宋_GB2312"/>
      <charset val="134"/>
    </font>
    <font>
      <sz val="11"/>
      <color rgb="FF000000"/>
      <name val="Arial Narrow"/>
      <family val="2"/>
    </font>
    <font>
      <b/>
      <sz val="11"/>
      <color rgb="FF000000"/>
      <name val="仿宋_GB2312"/>
      <charset val="134"/>
    </font>
    <font>
      <b/>
      <sz val="11"/>
      <color rgb="FF000000"/>
      <name val="Arial Narrow"/>
      <family val="2"/>
    </font>
    <font>
      <sz val="11"/>
      <color rgb="FFFF0000"/>
      <name val="Arial"/>
      <family val="2"/>
    </font>
    <font>
      <sz val="11"/>
      <color indexed="8"/>
      <name val="宋体"/>
      <family val="3"/>
      <charset val="134"/>
    </font>
    <font>
      <b/>
      <sz val="10"/>
      <color rgb="FF000000"/>
      <name val="微软雅黑"/>
      <family val="2"/>
      <charset val="134"/>
    </font>
    <font>
      <sz val="10"/>
      <name val="微软雅黑"/>
      <family val="2"/>
      <charset val="134"/>
    </font>
    <font>
      <b/>
      <sz val="10"/>
      <name val="微软雅黑"/>
      <family val="2"/>
      <charset val="134"/>
    </font>
    <font>
      <sz val="11"/>
      <name val="微软雅黑"/>
      <family val="2"/>
      <charset val="134"/>
    </font>
    <font>
      <sz val="12"/>
      <name val="微软雅黑"/>
      <family val="2"/>
      <charset val="134"/>
    </font>
    <font>
      <b/>
      <sz val="10"/>
      <color theme="0"/>
      <name val="微软雅黑"/>
      <family val="2"/>
      <charset val="134"/>
    </font>
    <font>
      <b/>
      <sz val="12"/>
      <color theme="0"/>
      <name val="微软雅黑"/>
      <family val="2"/>
      <charset val="134"/>
    </font>
    <font>
      <sz val="10"/>
      <color indexed="8"/>
      <name val="宋体"/>
      <family val="3"/>
      <charset val="134"/>
    </font>
    <font>
      <sz val="10"/>
      <color indexed="8"/>
      <name val="Times New Roman"/>
      <family val="1"/>
    </font>
    <font>
      <b/>
      <sz val="10"/>
      <color indexed="8"/>
      <name val="宋体"/>
      <family val="3"/>
      <charset val="134"/>
    </font>
    <font>
      <b/>
      <sz val="10"/>
      <color indexed="8"/>
      <name val="Times New Roman"/>
      <family val="1"/>
    </font>
    <font>
      <b/>
      <sz val="12"/>
      <name val="宋体"/>
      <family val="3"/>
      <charset val="134"/>
    </font>
    <font>
      <sz val="12"/>
      <name val="Times New Roman"/>
      <family val="1"/>
    </font>
    <font>
      <sz val="11"/>
      <name val="Times New Roman"/>
      <family val="1"/>
    </font>
    <font>
      <b/>
      <sz val="12"/>
      <color rgb="FF000000"/>
      <name val="华文楷体"/>
      <family val="3"/>
      <charset val="134"/>
    </font>
    <font>
      <b/>
      <sz val="12"/>
      <color rgb="FF000000"/>
      <name val="Times New Roman"/>
      <family val="1"/>
    </font>
    <font>
      <b/>
      <sz val="12"/>
      <name val="Times New Roman"/>
      <family val="1"/>
    </font>
    <font>
      <sz val="12"/>
      <color rgb="FFFF0000"/>
      <name val="Times New Roman"/>
      <family val="1"/>
    </font>
    <font>
      <sz val="12"/>
      <color rgb="FFFF0000"/>
      <name val="Times New Roman"/>
      <family val="1"/>
    </font>
    <font>
      <b/>
      <sz val="10"/>
      <color theme="0"/>
      <name val="Times New Roman"/>
      <family val="1"/>
    </font>
    <font>
      <b/>
      <sz val="10"/>
      <color theme="0"/>
      <name val="Times New Roman"/>
      <family val="1"/>
    </font>
    <font>
      <sz val="9"/>
      <color theme="0"/>
      <name val="Times New Roman"/>
      <family val="1"/>
    </font>
    <font>
      <b/>
      <sz val="10"/>
      <color theme="0"/>
      <name val="华文楷体"/>
      <family val="3"/>
      <charset val="134"/>
    </font>
    <font>
      <i/>
      <sz val="10"/>
      <color rgb="FFFF0000"/>
      <name val="Arial"/>
      <family val="2"/>
    </font>
    <font>
      <sz val="10"/>
      <color rgb="FFFF0000"/>
      <name val="宋体"/>
      <family val="3"/>
      <charset val="134"/>
    </font>
    <font>
      <sz val="12"/>
      <name val="华文楷体"/>
      <family val="3"/>
      <charset val="134"/>
    </font>
    <font>
      <sz val="10"/>
      <name val="华文楷体"/>
      <family val="3"/>
      <charset val="134"/>
    </font>
    <font>
      <b/>
      <sz val="12"/>
      <name val="华文楷体"/>
      <family val="3"/>
      <charset val="134"/>
    </font>
    <font>
      <sz val="10"/>
      <color rgb="FFFF0000"/>
      <name val="华文楷体"/>
      <family val="3"/>
      <charset val="134"/>
    </font>
    <font>
      <sz val="11"/>
      <color rgb="FFFF0000"/>
      <name val="Times New Roman"/>
      <family val="1"/>
    </font>
    <font>
      <b/>
      <sz val="11"/>
      <name val="Times New Roman"/>
      <family val="1"/>
    </font>
    <font>
      <sz val="11"/>
      <color rgb="FFFF0000"/>
      <name val="华文楷体"/>
      <family val="3"/>
      <charset val="134"/>
    </font>
    <font>
      <b/>
      <sz val="11"/>
      <color theme="0"/>
      <name val="Times New Roman"/>
      <family val="1"/>
    </font>
    <font>
      <sz val="11"/>
      <color theme="0"/>
      <name val="Times New Roman"/>
      <family val="1"/>
    </font>
    <font>
      <sz val="11"/>
      <color indexed="8"/>
      <name val="Times New Roman"/>
      <family val="1"/>
    </font>
    <font>
      <sz val="11"/>
      <color indexed="9"/>
      <name val="Times New Roman"/>
      <family val="1"/>
    </font>
    <font>
      <b/>
      <sz val="10"/>
      <color rgb="FF000000"/>
      <name val="华文楷体"/>
      <family val="3"/>
      <charset val="134"/>
    </font>
    <font>
      <b/>
      <sz val="10"/>
      <name val="华文楷体"/>
      <family val="3"/>
      <charset val="134"/>
    </font>
    <font>
      <sz val="10"/>
      <color rgb="FFFF0000"/>
      <name val="Times New Roman"/>
      <family val="1"/>
    </font>
    <font>
      <sz val="10"/>
      <color rgb="FFFF0000"/>
      <name val="Times New Roman"/>
      <family val="1"/>
    </font>
    <font>
      <sz val="9"/>
      <name val="华文楷体"/>
      <family val="3"/>
      <charset val="134"/>
    </font>
    <font>
      <b/>
      <sz val="11"/>
      <color rgb="FF000000"/>
      <name val="华文楷体"/>
      <family val="3"/>
      <charset val="134"/>
    </font>
    <font>
      <sz val="11"/>
      <color rgb="FFFF0000"/>
      <name val="Times New Roman"/>
      <family val="1"/>
    </font>
    <font>
      <b/>
      <sz val="11"/>
      <color rgb="FFFFFFFF"/>
      <name val="Times New Roman"/>
      <family val="1"/>
    </font>
    <font>
      <sz val="11"/>
      <color theme="1"/>
      <name val="Times New Roman"/>
      <family val="1"/>
    </font>
    <font>
      <sz val="11"/>
      <name val="华文楷体"/>
      <family val="3"/>
      <charset val="134"/>
    </font>
    <font>
      <sz val="11"/>
      <color rgb="FF000000"/>
      <name val="Times New Roman"/>
      <family val="1"/>
    </font>
    <font>
      <sz val="11"/>
      <color theme="1"/>
      <name val="华文楷体"/>
      <family val="3"/>
      <charset val="134"/>
    </font>
    <font>
      <sz val="11"/>
      <color rgb="FFFF0000"/>
      <name val="宋体"/>
      <family val="3"/>
      <charset val="134"/>
    </font>
    <font>
      <b/>
      <sz val="11"/>
      <color theme="1"/>
      <name val="Times New Roman"/>
      <family val="1"/>
    </font>
    <font>
      <b/>
      <sz val="11"/>
      <color rgb="FF000000"/>
      <name val="Times New Roman"/>
      <family val="1"/>
    </font>
    <font>
      <b/>
      <sz val="12"/>
      <color theme="1"/>
      <name val="Times New Roman"/>
      <family val="1"/>
    </font>
    <font>
      <b/>
      <sz val="11"/>
      <color theme="1"/>
      <name val="华文楷体"/>
      <family val="3"/>
      <charset val="134"/>
    </font>
    <font>
      <b/>
      <sz val="11"/>
      <color indexed="9"/>
      <name val="Times New Roman"/>
      <family val="1"/>
    </font>
    <font>
      <sz val="11"/>
      <color indexed="8"/>
      <name val="华文楷体"/>
      <family val="3"/>
      <charset val="134"/>
    </font>
    <font>
      <sz val="12"/>
      <name val="宋体"/>
      <family val="3"/>
      <charset val="134"/>
    </font>
    <font>
      <sz val="10"/>
      <name val="Arial"/>
      <family val="2"/>
    </font>
    <font>
      <sz val="9"/>
      <name val="Times New Roman"/>
      <family val="1"/>
    </font>
    <font>
      <sz val="11"/>
      <color theme="1"/>
      <name val="宋体"/>
      <family val="3"/>
      <charset val="134"/>
      <scheme val="minor"/>
    </font>
    <font>
      <sz val="11"/>
      <color indexed="8"/>
      <name val="Calibri"/>
      <family val="2"/>
    </font>
    <font>
      <b/>
      <sz val="11"/>
      <color rgb="FFFFFFFF"/>
      <name val="微软雅黑"/>
      <family val="2"/>
      <charset val="134"/>
    </font>
    <font>
      <sz val="11"/>
      <color rgb="FF000000"/>
      <name val="微软雅黑"/>
      <family val="2"/>
      <charset val="134"/>
    </font>
    <font>
      <sz val="12"/>
      <color rgb="FFFF0000"/>
      <name val="华文楷体"/>
      <family val="3"/>
      <charset val="134"/>
    </font>
    <font>
      <sz val="12"/>
      <color rgb="FFFF0000"/>
      <name val="宋体"/>
      <family val="3"/>
      <charset val="134"/>
    </font>
    <font>
      <b/>
      <sz val="10"/>
      <color theme="0"/>
      <name val="宋体"/>
      <family val="3"/>
      <charset val="134"/>
    </font>
    <font>
      <b/>
      <sz val="11"/>
      <name val="华文楷体"/>
      <family val="3"/>
      <charset val="134"/>
    </font>
    <font>
      <b/>
      <sz val="11"/>
      <color theme="0"/>
      <name val="华文楷体"/>
      <family val="3"/>
      <charset val="134"/>
    </font>
    <font>
      <b/>
      <sz val="11"/>
      <color indexed="9"/>
      <name val="华文楷体"/>
      <family val="3"/>
      <charset val="134"/>
    </font>
    <font>
      <b/>
      <sz val="11"/>
      <color indexed="8"/>
      <name val="华文楷体"/>
      <family val="3"/>
      <charset val="134"/>
    </font>
    <font>
      <sz val="9"/>
      <name val="宋体"/>
      <family val="3"/>
      <charset val="134"/>
    </font>
    <font>
      <sz val="11"/>
      <color theme="1"/>
      <name val="Times New Roman"/>
      <family val="3"/>
      <charset val="134"/>
    </font>
    <font>
      <b/>
      <sz val="11"/>
      <color theme="0"/>
      <name val="宋体"/>
      <family val="1"/>
      <charset val="134"/>
    </font>
    <font>
      <b/>
      <sz val="11"/>
      <color theme="0"/>
      <name val="Times New Roman"/>
      <family val="3"/>
      <charset val="134"/>
    </font>
    <font>
      <sz val="11"/>
      <color theme="1"/>
      <name val="宋体"/>
      <family val="1"/>
      <charset val="134"/>
    </font>
    <font>
      <sz val="11"/>
      <color theme="1"/>
      <name val="Times New Roman"/>
      <family val="3"/>
    </font>
    <font>
      <sz val="11"/>
      <name val="Wingdings"/>
      <charset val="2"/>
    </font>
    <font>
      <sz val="10"/>
      <color rgb="FF000000"/>
      <name val="宋体"/>
      <family val="1"/>
      <charset val="134"/>
    </font>
    <font>
      <b/>
      <sz val="12"/>
      <color rgb="FFFF0000"/>
      <name val="宋体"/>
      <family val="1"/>
      <charset val="134"/>
    </font>
    <font>
      <sz val="11"/>
      <color theme="1"/>
      <name val="等线"/>
      <family val="3"/>
      <charset val="134"/>
    </font>
  </fonts>
  <fills count="15">
    <fill>
      <patternFill patternType="none"/>
    </fill>
    <fill>
      <patternFill patternType="gray125"/>
    </fill>
    <fill>
      <patternFill patternType="solid">
        <fgColor theme="8" tint="-0.499984740745262"/>
        <bgColor indexed="64"/>
      </patternFill>
    </fill>
    <fill>
      <patternFill patternType="solid">
        <fgColor theme="9"/>
        <bgColor indexed="64"/>
      </patternFill>
    </fill>
    <fill>
      <patternFill patternType="solid">
        <fgColor rgb="FF00A7E1"/>
        <bgColor indexed="64"/>
      </patternFill>
    </fill>
    <fill>
      <patternFill patternType="solid">
        <fgColor theme="0"/>
        <bgColor indexed="64"/>
      </patternFill>
    </fill>
    <fill>
      <patternFill patternType="solid">
        <fgColor theme="2" tint="-0.14993743705557422"/>
        <bgColor indexed="64"/>
      </patternFill>
    </fill>
    <fill>
      <patternFill patternType="solid">
        <fgColor rgb="FF002060"/>
        <bgColor indexed="64"/>
      </patternFill>
    </fill>
    <fill>
      <patternFill patternType="solid">
        <fgColor theme="0" tint="-0.14996795556505021"/>
        <bgColor indexed="64"/>
      </patternFill>
    </fill>
    <fill>
      <patternFill patternType="solid">
        <fgColor theme="9" tint="0.79995117038483843"/>
        <bgColor indexed="64"/>
      </patternFill>
    </fill>
    <fill>
      <patternFill patternType="solid">
        <fgColor theme="0" tint="-0.14993743705557422"/>
        <bgColor indexed="64"/>
      </patternFill>
    </fill>
    <fill>
      <patternFill patternType="solid">
        <fgColor rgb="FFFFFF00"/>
        <bgColor indexed="64"/>
      </patternFill>
    </fill>
    <fill>
      <patternFill patternType="solid">
        <fgColor theme="4"/>
        <bgColor indexed="64"/>
      </patternFill>
    </fill>
    <fill>
      <patternFill patternType="solid">
        <fgColor theme="2" tint="-0.249977111117893"/>
        <bgColor indexed="64"/>
      </patternFill>
    </fill>
    <fill>
      <patternFill patternType="solid">
        <fgColor theme="0" tint="-0.14999847407452621"/>
        <bgColor indexed="64"/>
      </patternFill>
    </fill>
  </fills>
  <borders count="38">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diagonal/>
    </border>
    <border>
      <left/>
      <right style="thin">
        <color auto="1"/>
      </right>
      <top style="thin">
        <color auto="1"/>
      </top>
      <bottom style="thin">
        <color auto="1"/>
      </bottom>
      <diagonal/>
    </border>
    <border>
      <left style="thin">
        <color auto="1"/>
      </left>
      <right/>
      <top/>
      <bottom/>
      <diagonal/>
    </border>
    <border>
      <left style="thin">
        <color auto="1"/>
      </left>
      <right/>
      <top/>
      <bottom style="thin">
        <color auto="1"/>
      </bottom>
      <diagonal/>
    </border>
    <border>
      <left style="medium">
        <color rgb="FF3C8A2E"/>
      </left>
      <right/>
      <top style="medium">
        <color rgb="FF3C8A2E"/>
      </top>
      <bottom style="medium">
        <color rgb="FF3C8A2E"/>
      </bottom>
      <diagonal/>
    </border>
    <border>
      <left style="medium">
        <color auto="1"/>
      </left>
      <right/>
      <top style="medium">
        <color rgb="FF3C8A2E"/>
      </top>
      <bottom/>
      <diagonal/>
    </border>
    <border>
      <left style="medium">
        <color auto="1"/>
      </left>
      <right style="medium">
        <color rgb="FF3C8A2E"/>
      </right>
      <top style="medium">
        <color rgb="FF3C8A2E"/>
      </top>
      <bottom/>
      <diagonal/>
    </border>
    <border>
      <left style="medium">
        <color auto="1"/>
      </left>
      <right/>
      <top/>
      <bottom style="medium">
        <color rgb="FF3C8A2E"/>
      </bottom>
      <diagonal/>
    </border>
    <border>
      <left style="medium">
        <color auto="1"/>
      </left>
      <right style="medium">
        <color rgb="FF3C8A2E"/>
      </right>
      <top/>
      <bottom style="medium">
        <color rgb="FF3C8A2E"/>
      </bottom>
      <diagonal/>
    </border>
    <border>
      <left style="medium">
        <color auto="1"/>
      </left>
      <right style="medium">
        <color auto="1"/>
      </right>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double">
        <color auto="1"/>
      </bottom>
      <diagonal/>
    </border>
    <border>
      <left/>
      <right style="thin">
        <color auto="1"/>
      </right>
      <top style="thin">
        <color auto="1"/>
      </top>
      <bottom style="double">
        <color auto="1"/>
      </bottom>
      <diagonal/>
    </border>
    <border>
      <left/>
      <right style="thin">
        <color auto="1"/>
      </right>
      <top/>
      <bottom style="thin">
        <color auto="1"/>
      </bottom>
      <diagonal/>
    </border>
    <border>
      <left style="thin">
        <color auto="1"/>
      </left>
      <right style="thin">
        <color auto="1"/>
      </right>
      <top style="double">
        <color auto="1"/>
      </top>
      <bottom style="thin">
        <color auto="1"/>
      </bottom>
      <diagonal/>
    </border>
    <border>
      <left style="thin">
        <color auto="1"/>
      </left>
      <right/>
      <top style="thin">
        <color auto="1"/>
      </top>
      <bottom style="double">
        <color auto="1"/>
      </bottom>
      <diagonal/>
    </border>
    <border>
      <left style="medium">
        <color auto="1"/>
      </left>
      <right style="thin">
        <color auto="1"/>
      </right>
      <top/>
      <bottom/>
      <diagonal/>
    </border>
    <border>
      <left style="medium">
        <color auto="1"/>
      </left>
      <right style="medium">
        <color auto="1"/>
      </right>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medium">
        <color auto="1"/>
      </left>
      <right style="medium">
        <color auto="1"/>
      </right>
      <top style="thin">
        <color auto="1"/>
      </top>
      <bottom/>
      <diagonal/>
    </border>
  </borders>
  <cellStyleXfs count="23">
    <xf numFmtId="0" fontId="0" fillId="0" borderId="0">
      <alignment vertical="center"/>
    </xf>
    <xf numFmtId="176" fontId="77" fillId="0" borderId="0" applyFont="0" applyFill="0" applyBorder="0" applyAlignment="0" applyProtection="0"/>
    <xf numFmtId="9" fontId="77" fillId="0" borderId="0" applyFont="0" applyFill="0" applyBorder="0" applyAlignment="0" applyProtection="0">
      <alignment vertical="center"/>
    </xf>
    <xf numFmtId="43" fontId="78" fillId="0" borderId="0" applyFont="0" applyFill="0" applyBorder="0" applyAlignment="0" applyProtection="0">
      <alignment vertical="center"/>
    </xf>
    <xf numFmtId="177" fontId="79" fillId="0" borderId="0" applyFont="0" applyFill="0" applyBorder="0" applyAlignment="0" applyProtection="0">
      <alignment vertical="center"/>
    </xf>
    <xf numFmtId="0" fontId="78" fillId="0" borderId="0"/>
    <xf numFmtId="0" fontId="79" fillId="0" borderId="0">
      <alignment vertical="center"/>
    </xf>
    <xf numFmtId="0" fontId="77" fillId="0" borderId="0">
      <alignment vertical="center"/>
    </xf>
    <xf numFmtId="0" fontId="78" fillId="0" borderId="0"/>
    <xf numFmtId="0" fontId="80" fillId="0" borderId="0"/>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8" fillId="0" borderId="0"/>
    <xf numFmtId="9" fontId="80" fillId="0" borderId="0" applyFont="0" applyFill="0" applyBorder="0" applyAlignment="0" applyProtection="0">
      <alignment vertical="center"/>
    </xf>
    <xf numFmtId="9" fontId="81" fillId="0" borderId="0" applyFont="0" applyFill="0" applyBorder="0" applyAlignment="0" applyProtection="0"/>
    <xf numFmtId="0" fontId="78" fillId="0" borderId="0"/>
    <xf numFmtId="0" fontId="80" fillId="0" borderId="0">
      <alignment vertical="center"/>
    </xf>
    <xf numFmtId="0" fontId="77" fillId="0" borderId="0">
      <alignment vertical="center"/>
    </xf>
    <xf numFmtId="176" fontId="77" fillId="0" borderId="0" applyFont="0" applyFill="0" applyBorder="0" applyAlignment="0" applyProtection="0"/>
    <xf numFmtId="43" fontId="77" fillId="0" borderId="0" applyFont="0" applyFill="0" applyBorder="0" applyAlignment="0" applyProtection="0"/>
  </cellStyleXfs>
  <cellXfs count="392">
    <xf numFmtId="0" fontId="0" fillId="0" borderId="0" xfId="0">
      <alignment vertical="center"/>
    </xf>
    <xf numFmtId="0" fontId="1" fillId="0" borderId="0" xfId="5" applyFont="1" applyAlignment="1">
      <alignment vertical="center"/>
    </xf>
    <xf numFmtId="0" fontId="3" fillId="2" borderId="3" xfId="5" applyFont="1" applyFill="1" applyBorder="1" applyAlignment="1">
      <alignment horizontal="center" vertical="center" wrapText="1"/>
    </xf>
    <xf numFmtId="0" fontId="2" fillId="2" borderId="7" xfId="5" applyFont="1" applyFill="1" applyBorder="1" applyAlignment="1">
      <alignment horizontal="center" vertical="center" wrapText="1"/>
    </xf>
    <xf numFmtId="0" fontId="2" fillId="4" borderId="7" xfId="5" applyFont="1" applyFill="1" applyBorder="1" applyAlignment="1">
      <alignment horizontal="center" vertical="center" wrapText="1"/>
    </xf>
    <xf numFmtId="0" fontId="4" fillId="0" borderId="6" xfId="5" applyFont="1" applyBorder="1" applyAlignment="1">
      <alignment vertical="center" wrapText="1"/>
    </xf>
    <xf numFmtId="0" fontId="4" fillId="0" borderId="7" xfId="5" applyFont="1" applyBorder="1" applyAlignment="1">
      <alignment horizontal="center" vertical="center" wrapText="1"/>
    </xf>
    <xf numFmtId="43" fontId="4" fillId="0" borderId="7" xfId="5" applyNumberFormat="1" applyFont="1" applyBorder="1" applyAlignment="1">
      <alignment horizontal="center" vertical="center" wrapText="1"/>
    </xf>
    <xf numFmtId="43" fontId="4" fillId="0" borderId="7" xfId="5" applyNumberFormat="1" applyFont="1" applyBorder="1" applyAlignment="1">
      <alignment horizontal="right" vertical="center" wrapText="1"/>
    </xf>
    <xf numFmtId="0" fontId="5" fillId="0" borderId="6" xfId="5" applyFont="1" applyBorder="1" applyAlignment="1">
      <alignment vertical="center" wrapText="1"/>
    </xf>
    <xf numFmtId="0" fontId="4" fillId="0" borderId="6" xfId="5" applyFont="1" applyBorder="1" applyAlignment="1">
      <alignment horizontal="left" vertical="center" wrapText="1" indent="2"/>
    </xf>
    <xf numFmtId="0" fontId="5" fillId="0" borderId="7" xfId="5" applyFont="1" applyBorder="1" applyAlignment="1">
      <alignment horizontal="center" vertical="center" wrapText="1"/>
    </xf>
    <xf numFmtId="43" fontId="5" fillId="0" borderId="7" xfId="5" applyNumberFormat="1" applyFont="1" applyBorder="1" applyAlignment="1">
      <alignment horizontal="center" vertical="center" wrapText="1"/>
    </xf>
    <xf numFmtId="0" fontId="5" fillId="0" borderId="8" xfId="5" applyFont="1" applyBorder="1" applyAlignment="1">
      <alignment vertical="center" wrapText="1"/>
    </xf>
    <xf numFmtId="0" fontId="5" fillId="0" borderId="9" xfId="5" applyFont="1" applyBorder="1" applyAlignment="1">
      <alignment horizontal="center" vertical="center" wrapText="1"/>
    </xf>
    <xf numFmtId="10" fontId="5" fillId="0" borderId="9" xfId="2" applyNumberFormat="1" applyFont="1" applyFill="1" applyBorder="1" applyAlignment="1" applyProtection="1">
      <alignment horizontal="right" vertical="center" wrapText="1"/>
    </xf>
    <xf numFmtId="10" fontId="4" fillId="0" borderId="9" xfId="16" applyNumberFormat="1" applyFont="1" applyBorder="1" applyAlignment="1">
      <alignment horizontal="right" vertical="center" wrapText="1"/>
    </xf>
    <xf numFmtId="10" fontId="5" fillId="0" borderId="9" xfId="16" applyNumberFormat="1" applyFont="1" applyBorder="1" applyAlignment="1">
      <alignment horizontal="right" vertical="center" wrapText="1"/>
    </xf>
    <xf numFmtId="0" fontId="1" fillId="0" borderId="0" xfId="5" applyFont="1" applyAlignment="1">
      <alignment horizontal="center" vertical="center"/>
    </xf>
    <xf numFmtId="10" fontId="1" fillId="0" borderId="0" xfId="16" applyNumberFormat="1" applyFont="1">
      <alignment vertical="center"/>
    </xf>
    <xf numFmtId="0" fontId="6" fillId="0" borderId="0" xfId="5" applyFont="1" applyAlignment="1">
      <alignment vertical="center"/>
    </xf>
    <xf numFmtId="0" fontId="7" fillId="5" borderId="7" xfId="13" applyFont="1" applyFill="1" applyBorder="1" applyAlignment="1">
      <alignment horizontal="center" vertical="center"/>
    </xf>
    <xf numFmtId="0" fontId="7" fillId="0" borderId="11" xfId="13" applyFont="1" applyBorder="1">
      <alignment vertical="center"/>
    </xf>
    <xf numFmtId="0" fontId="8" fillId="0" borderId="7" xfId="14" applyFont="1" applyBorder="1" applyAlignment="1">
      <alignment vertical="center" wrapText="1"/>
    </xf>
    <xf numFmtId="176" fontId="7" fillId="0" borderId="7" xfId="1" applyFont="1" applyFill="1" applyBorder="1" applyAlignment="1">
      <alignment vertical="center"/>
    </xf>
    <xf numFmtId="176" fontId="7" fillId="5" borderId="7" xfId="1" applyFont="1" applyFill="1" applyBorder="1" applyAlignment="1">
      <alignment vertical="center"/>
    </xf>
    <xf numFmtId="0" fontId="7" fillId="5" borderId="11" xfId="13" applyFont="1" applyFill="1" applyBorder="1">
      <alignment vertical="center"/>
    </xf>
    <xf numFmtId="0" fontId="7" fillId="5" borderId="7" xfId="14" applyFont="1" applyFill="1" applyBorder="1" applyAlignment="1">
      <alignment vertical="center" wrapText="1"/>
    </xf>
    <xf numFmtId="0" fontId="7" fillId="5" borderId="7" xfId="13" applyFont="1" applyFill="1" applyBorder="1">
      <alignment vertical="center"/>
    </xf>
    <xf numFmtId="0" fontId="7" fillId="6" borderId="7" xfId="13" applyFont="1" applyFill="1" applyBorder="1">
      <alignment vertical="center"/>
    </xf>
    <xf numFmtId="0" fontId="7" fillId="6" borderId="11" xfId="13" applyFont="1" applyFill="1" applyBorder="1">
      <alignment vertical="center"/>
    </xf>
    <xf numFmtId="0" fontId="7" fillId="6" borderId="7" xfId="14" applyFont="1" applyFill="1" applyBorder="1" applyAlignment="1">
      <alignment vertical="center" wrapText="1"/>
    </xf>
    <xf numFmtId="176" fontId="7" fillId="6" borderId="7" xfId="1" applyFont="1" applyFill="1" applyBorder="1" applyAlignment="1">
      <alignment vertical="center"/>
    </xf>
    <xf numFmtId="0" fontId="9" fillId="6" borderId="7" xfId="13" applyFont="1" applyFill="1" applyBorder="1">
      <alignment vertical="center"/>
    </xf>
    <xf numFmtId="0" fontId="9" fillId="6" borderId="11" xfId="13" applyFont="1" applyFill="1" applyBorder="1">
      <alignment vertical="center"/>
    </xf>
    <xf numFmtId="0" fontId="10" fillId="7" borderId="15" xfId="0" applyFont="1" applyFill="1" applyBorder="1" applyAlignment="1">
      <alignment horizontal="center" vertical="center" wrapText="1"/>
    </xf>
    <xf numFmtId="0" fontId="10" fillId="7" borderId="16" xfId="0" applyFont="1" applyFill="1" applyBorder="1" applyAlignment="1">
      <alignment horizontal="center" vertical="center" wrapText="1"/>
    </xf>
    <xf numFmtId="0" fontId="11" fillId="7" borderId="17" xfId="0" applyFont="1" applyFill="1" applyBorder="1" applyAlignment="1">
      <alignment horizontal="center" vertical="center" wrapText="1"/>
    </xf>
    <xf numFmtId="0" fontId="11" fillId="7" borderId="18" xfId="0" applyFont="1" applyFill="1" applyBorder="1" applyAlignment="1">
      <alignment horizontal="center" vertical="center" wrapText="1"/>
    </xf>
    <xf numFmtId="0" fontId="12" fillId="0" borderId="19" xfId="0" applyFont="1" applyBorder="1" applyAlignment="1">
      <alignment horizontal="center" vertical="center" wrapText="1"/>
    </xf>
    <xf numFmtId="4" fontId="13" fillId="0" borderId="19" xfId="0" applyNumberFormat="1" applyFont="1" applyBorder="1" applyAlignment="1">
      <alignment horizontal="right" vertical="center" wrapText="1"/>
    </xf>
    <xf numFmtId="0" fontId="13" fillId="0" borderId="19" xfId="0" applyFont="1" applyBorder="1" applyAlignment="1">
      <alignment horizontal="right" vertical="center" wrapText="1"/>
    </xf>
    <xf numFmtId="0" fontId="14" fillId="0" borderId="19" xfId="0" applyFont="1" applyBorder="1" applyAlignment="1">
      <alignment horizontal="center" vertical="center" wrapText="1"/>
    </xf>
    <xf numFmtId="4" fontId="15" fillId="0" borderId="19" xfId="0" applyNumberFormat="1" applyFont="1" applyBorder="1" applyAlignment="1">
      <alignment horizontal="right" vertical="center" wrapText="1"/>
    </xf>
    <xf numFmtId="43" fontId="1" fillId="0" borderId="0" xfId="5" applyNumberFormat="1" applyFont="1" applyAlignment="1">
      <alignment vertical="center"/>
    </xf>
    <xf numFmtId="0" fontId="10" fillId="7" borderId="7" xfId="0" applyFont="1" applyFill="1" applyBorder="1" applyAlignment="1">
      <alignment horizontal="center" vertical="center" wrapText="1"/>
    </xf>
    <xf numFmtId="0" fontId="16" fillId="0" borderId="7" xfId="0" applyFont="1" applyBorder="1" applyAlignment="1">
      <alignment horizontal="center" vertical="center" wrapText="1"/>
    </xf>
    <xf numFmtId="0" fontId="17" fillId="0" borderId="7" xfId="0" applyFont="1" applyBorder="1" applyAlignment="1">
      <alignment horizontal="justify" vertical="center" wrapText="1"/>
    </xf>
    <xf numFmtId="4" fontId="17" fillId="0" borderId="7" xfId="0" applyNumberFormat="1" applyFont="1" applyBorder="1" applyAlignment="1">
      <alignment horizontal="right" vertical="center" wrapText="1"/>
    </xf>
    <xf numFmtId="10" fontId="17" fillId="0" borderId="7" xfId="0" applyNumberFormat="1" applyFont="1" applyBorder="1" applyAlignment="1">
      <alignment horizontal="right" vertical="center" wrapText="1"/>
    </xf>
    <xf numFmtId="4" fontId="19" fillId="0" borderId="7" xfId="0" applyNumberFormat="1" applyFont="1" applyBorder="1" applyAlignment="1">
      <alignment horizontal="right" vertical="center" wrapText="1"/>
    </xf>
    <xf numFmtId="0" fontId="0" fillId="0" borderId="7" xfId="0" applyBorder="1">
      <alignment vertical="center"/>
    </xf>
    <xf numFmtId="0" fontId="16" fillId="0" borderId="7" xfId="0" applyFont="1" applyBorder="1" applyAlignment="1">
      <alignment horizontal="justify" vertical="center" wrapText="1"/>
    </xf>
    <xf numFmtId="4" fontId="17" fillId="0" borderId="7" xfId="0" applyNumberFormat="1" applyFont="1" applyBorder="1" applyAlignment="1">
      <alignment horizontal="right" vertical="center"/>
    </xf>
    <xf numFmtId="0" fontId="2" fillId="4" borderId="2" xfId="5" applyFont="1" applyFill="1" applyBorder="1" applyAlignment="1">
      <alignment horizontal="center" vertical="center" wrapText="1"/>
    </xf>
    <xf numFmtId="10" fontId="1" fillId="0" borderId="21" xfId="16" applyNumberFormat="1" applyFont="1" applyBorder="1">
      <alignment vertical="center"/>
    </xf>
    <xf numFmtId="0" fontId="1" fillId="0" borderId="21" xfId="16" applyNumberFormat="1" applyFont="1" applyBorder="1">
      <alignment vertical="center"/>
    </xf>
    <xf numFmtId="10" fontId="20" fillId="0" borderId="9" xfId="16" applyNumberFormat="1" applyFont="1" applyBorder="1" applyAlignment="1">
      <alignment horizontal="right" vertical="center" wrapText="1"/>
    </xf>
    <xf numFmtId="10" fontId="1" fillId="0" borderId="22" xfId="16" applyNumberFormat="1" applyFont="1" applyBorder="1">
      <alignment vertical="center"/>
    </xf>
    <xf numFmtId="10" fontId="20" fillId="0" borderId="0" xfId="16" applyNumberFormat="1" applyFont="1">
      <alignment vertical="center"/>
    </xf>
    <xf numFmtId="0" fontId="0" fillId="0" borderId="0" xfId="19" applyFont="1" applyProtection="1">
      <alignment vertical="center"/>
      <protection locked="0"/>
    </xf>
    <xf numFmtId="0" fontId="21" fillId="0" borderId="0" xfId="19" applyFont="1" applyProtection="1">
      <alignment vertical="center"/>
      <protection locked="0"/>
    </xf>
    <xf numFmtId="0" fontId="22" fillId="5" borderId="0" xfId="0" applyFont="1" applyFill="1">
      <alignment vertical="center"/>
    </xf>
    <xf numFmtId="0" fontId="22" fillId="5" borderId="0" xfId="19" applyFont="1" applyFill="1" applyAlignment="1">
      <alignment horizontal="left" vertical="center"/>
    </xf>
    <xf numFmtId="0" fontId="23" fillId="5" borderId="0" xfId="11" applyFont="1" applyFill="1">
      <alignment vertical="center"/>
    </xf>
    <xf numFmtId="0" fontId="22" fillId="5" borderId="0" xfId="19" applyFont="1" applyFill="1">
      <alignment vertical="center"/>
    </xf>
    <xf numFmtId="0" fontId="24" fillId="5" borderId="0" xfId="19" applyFont="1" applyFill="1" applyAlignment="1">
      <alignment horizontal="left" vertical="center"/>
    </xf>
    <xf numFmtId="0" fontId="25" fillId="5" borderId="0" xfId="11" applyFont="1" applyFill="1" applyAlignment="1">
      <alignment horizontal="left" vertical="center"/>
    </xf>
    <xf numFmtId="0" fontId="26" fillId="5" borderId="0" xfId="11" applyFont="1" applyFill="1" applyAlignment="1">
      <alignment horizontal="left" vertical="center"/>
    </xf>
    <xf numFmtId="0" fontId="23" fillId="5" borderId="0" xfId="11" applyFont="1" applyFill="1" applyAlignment="1">
      <alignment horizontal="left" vertical="center"/>
    </xf>
    <xf numFmtId="0" fontId="23" fillId="5" borderId="0" xfId="11" applyFont="1" applyFill="1" applyAlignment="1">
      <alignment horizontal="left" vertical="center" wrapText="1"/>
    </xf>
    <xf numFmtId="0" fontId="27" fillId="4" borderId="7" xfId="19" applyFont="1" applyFill="1" applyBorder="1" applyAlignment="1" applyProtection="1">
      <alignment horizontal="center" vertical="center" wrapText="1"/>
      <protection locked="0"/>
    </xf>
    <xf numFmtId="0" fontId="28" fillId="4" borderId="7" xfId="19" applyFont="1" applyFill="1" applyBorder="1" applyAlignment="1" applyProtection="1">
      <alignment horizontal="center" vertical="center"/>
      <protection locked="0"/>
    </xf>
    <xf numFmtId="0" fontId="29" fillId="0" borderId="7" xfId="19" applyFont="1" applyBorder="1" applyAlignment="1" applyProtection="1">
      <alignment horizontal="center" vertical="center"/>
      <protection locked="0"/>
    </xf>
    <xf numFmtId="0" fontId="30" fillId="0" borderId="7" xfId="19" applyFont="1" applyBorder="1" applyAlignment="1" applyProtection="1">
      <alignment horizontal="center" vertical="center" wrapText="1"/>
      <protection locked="0"/>
    </xf>
    <xf numFmtId="10" fontId="30" fillId="5" borderId="7" xfId="2" applyNumberFormat="1" applyFont="1" applyFill="1" applyBorder="1" applyAlignment="1" applyProtection="1">
      <alignment horizontal="center" vertical="center" wrapText="1"/>
    </xf>
    <xf numFmtId="0" fontId="0" fillId="0" borderId="7" xfId="19" applyFont="1" applyBorder="1" applyProtection="1">
      <alignment vertical="center"/>
      <protection locked="0"/>
    </xf>
    <xf numFmtId="0" fontId="29" fillId="0" borderId="7" xfId="19" applyFont="1" applyBorder="1" applyAlignment="1" applyProtection="1">
      <alignment horizontal="center" vertical="center" wrapText="1"/>
      <protection locked="0"/>
    </xf>
    <xf numFmtId="0" fontId="29" fillId="8" borderId="7" xfId="19" applyFont="1" applyFill="1" applyBorder="1" applyAlignment="1" applyProtection="1">
      <alignment horizontal="center" vertical="center"/>
      <protection locked="0"/>
    </xf>
    <xf numFmtId="0" fontId="30" fillId="8" borderId="7" xfId="19" applyFont="1" applyFill="1" applyBorder="1" applyAlignment="1">
      <alignment horizontal="center" vertical="center" wrapText="1"/>
    </xf>
    <xf numFmtId="10" fontId="30" fillId="8" borderId="7" xfId="2" applyNumberFormat="1" applyFont="1" applyFill="1" applyBorder="1" applyAlignment="1" applyProtection="1">
      <alignment horizontal="center" vertical="center" wrapText="1"/>
    </xf>
    <xf numFmtId="0" fontId="0" fillId="8" borderId="7" xfId="19" applyFont="1" applyFill="1" applyBorder="1" applyProtection="1">
      <alignment vertical="center"/>
      <protection locked="0"/>
    </xf>
    <xf numFmtId="0" fontId="29" fillId="0" borderId="25" xfId="19" applyFont="1" applyBorder="1" applyAlignment="1" applyProtection="1">
      <alignment horizontal="center" vertical="center" wrapText="1"/>
      <protection locked="0"/>
    </xf>
    <xf numFmtId="0" fontId="0" fillId="0" borderId="0" xfId="19" applyFont="1">
      <alignment vertical="center"/>
    </xf>
    <xf numFmtId="0" fontId="30" fillId="0" borderId="25" xfId="19" applyFont="1" applyBorder="1" applyAlignment="1" applyProtection="1">
      <alignment horizontal="center" vertical="center" wrapText="1"/>
      <protection locked="0"/>
    </xf>
    <xf numFmtId="0" fontId="30" fillId="8" borderId="7" xfId="19" applyFont="1" applyFill="1" applyBorder="1" applyAlignment="1" applyProtection="1">
      <alignment horizontal="center" vertical="center" wrapText="1"/>
      <protection locked="0"/>
    </xf>
    <xf numFmtId="9" fontId="30" fillId="8" borderId="7" xfId="19" applyNumberFormat="1" applyFont="1" applyFill="1" applyBorder="1" applyAlignment="1" applyProtection="1">
      <alignment horizontal="center" vertical="center"/>
      <protection locked="0"/>
    </xf>
    <xf numFmtId="0" fontId="31" fillId="8" borderId="7" xfId="19" applyFont="1" applyFill="1" applyBorder="1" applyAlignment="1" applyProtection="1">
      <alignment horizontal="center" vertical="center"/>
      <protection locked="0"/>
    </xf>
    <xf numFmtId="0" fontId="32" fillId="8" borderId="7" xfId="19" applyFont="1" applyFill="1" applyBorder="1" applyAlignment="1">
      <alignment horizontal="center" vertical="center" wrapText="1"/>
    </xf>
    <xf numFmtId="10" fontId="32" fillId="8" borderId="7" xfId="2" applyNumberFormat="1" applyFont="1" applyFill="1" applyBorder="1" applyAlignment="1" applyProtection="1">
      <alignment horizontal="center" vertical="center" wrapText="1"/>
    </xf>
    <xf numFmtId="0" fontId="33" fillId="8" borderId="7" xfId="19" applyFont="1" applyFill="1" applyBorder="1" applyProtection="1">
      <alignment vertical="center"/>
      <protection locked="0"/>
    </xf>
    <xf numFmtId="0" fontId="29" fillId="9" borderId="7" xfId="19" applyFont="1" applyFill="1" applyBorder="1" applyAlignment="1" applyProtection="1">
      <alignment horizontal="center" vertical="center"/>
      <protection locked="0"/>
    </xf>
    <xf numFmtId="0" fontId="34" fillId="5" borderId="0" xfId="14" applyFont="1" applyFill="1">
      <alignment vertical="center"/>
    </xf>
    <xf numFmtId="0" fontId="35" fillId="5" borderId="0" xfId="14" applyFont="1" applyFill="1">
      <alignment vertical="center"/>
    </xf>
    <xf numFmtId="0" fontId="9" fillId="5" borderId="0" xfId="14" applyFont="1" applyFill="1" applyAlignment="1">
      <alignment horizontal="center" vertical="center" wrapText="1"/>
    </xf>
    <xf numFmtId="0" fontId="7" fillId="5" borderId="0" xfId="14" applyFont="1" applyFill="1" applyAlignment="1">
      <alignment horizontal="center" vertical="center"/>
    </xf>
    <xf numFmtId="0" fontId="7" fillId="5" borderId="0" xfId="14" applyFont="1" applyFill="1">
      <alignment vertical="center"/>
    </xf>
    <xf numFmtId="176" fontId="7" fillId="5" borderId="0" xfId="1" applyFont="1" applyFill="1" applyAlignment="1">
      <alignment vertical="center"/>
    </xf>
    <xf numFmtId="0" fontId="36" fillId="5" borderId="0" xfId="0" applyFont="1" applyFill="1">
      <alignment vertical="center"/>
    </xf>
    <xf numFmtId="0" fontId="37" fillId="5" borderId="0" xfId="0" applyFont="1" applyFill="1">
      <alignment vertical="center"/>
    </xf>
    <xf numFmtId="0" fontId="38" fillId="5" borderId="0" xfId="14" applyFont="1" applyFill="1" applyAlignment="1">
      <alignment horizontal="left" vertical="center"/>
    </xf>
    <xf numFmtId="176" fontId="34" fillId="5" borderId="0" xfId="1" applyFont="1" applyFill="1" applyAlignment="1">
      <alignment vertical="center"/>
    </xf>
    <xf numFmtId="0" fontId="38" fillId="5" borderId="0" xfId="0" applyFont="1" applyFill="1" applyAlignment="1">
      <alignment horizontal="left" vertical="center"/>
    </xf>
    <xf numFmtId="0" fontId="34" fillId="5" borderId="0" xfId="14" applyFont="1" applyFill="1" applyAlignment="1">
      <alignment horizontal="left" vertical="center"/>
    </xf>
    <xf numFmtId="0" fontId="41" fillId="7" borderId="7" xfId="14" applyFont="1" applyFill="1" applyBorder="1" applyAlignment="1">
      <alignment horizontal="center" vertical="center" wrapText="1"/>
    </xf>
    <xf numFmtId="176" fontId="44" fillId="7" borderId="7" xfId="1" applyFont="1" applyFill="1" applyBorder="1" applyAlignment="1">
      <alignment horizontal="center" vertical="center" wrapText="1"/>
    </xf>
    <xf numFmtId="178" fontId="7" fillId="5" borderId="7" xfId="2" applyNumberFormat="1" applyFont="1" applyFill="1" applyBorder="1">
      <alignment vertical="center"/>
    </xf>
    <xf numFmtId="0" fontId="7" fillId="5" borderId="7" xfId="14" applyFont="1" applyFill="1" applyBorder="1">
      <alignment vertical="center"/>
    </xf>
    <xf numFmtId="178" fontId="7" fillId="6" borderId="7" xfId="2" applyNumberFormat="1" applyFont="1" applyFill="1" applyBorder="1">
      <alignment vertical="center"/>
    </xf>
    <xf numFmtId="0" fontId="7" fillId="6" borderId="7" xfId="14" applyFont="1" applyFill="1" applyBorder="1">
      <alignment vertical="center"/>
    </xf>
    <xf numFmtId="0" fontId="9" fillId="6" borderId="28" xfId="13" applyFont="1" applyFill="1" applyBorder="1" applyAlignment="1">
      <alignment horizontal="left" vertical="center"/>
    </xf>
    <xf numFmtId="0" fontId="7" fillId="6" borderId="29" xfId="13" applyFont="1" applyFill="1" applyBorder="1" applyAlignment="1">
      <alignment horizontal="left" vertical="center"/>
    </xf>
    <xf numFmtId="0" fontId="7" fillId="6" borderId="28" xfId="13" applyFont="1" applyFill="1" applyBorder="1">
      <alignment vertical="center"/>
    </xf>
    <xf numFmtId="176" fontId="7" fillId="6" borderId="28" xfId="1" applyFont="1" applyFill="1" applyBorder="1" applyAlignment="1">
      <alignment vertical="center"/>
    </xf>
    <xf numFmtId="178" fontId="7" fillId="6" borderId="28" xfId="2" applyNumberFormat="1" applyFont="1" applyFill="1" applyBorder="1">
      <alignment vertical="center"/>
    </xf>
    <xf numFmtId="178" fontId="7" fillId="5" borderId="7" xfId="2" applyNumberFormat="1" applyFont="1" applyFill="1" applyBorder="1" applyAlignment="1">
      <alignment vertical="center"/>
    </xf>
    <xf numFmtId="178" fontId="7" fillId="6" borderId="7" xfId="2" applyNumberFormat="1" applyFont="1" applyFill="1" applyBorder="1" applyAlignment="1">
      <alignment vertical="center"/>
    </xf>
    <xf numFmtId="0" fontId="9" fillId="6" borderId="23" xfId="13" applyFont="1" applyFill="1" applyBorder="1" applyAlignment="1">
      <alignment horizontal="left" vertical="center"/>
    </xf>
    <xf numFmtId="0" fontId="9" fillId="6" borderId="29" xfId="13" applyFont="1" applyFill="1" applyBorder="1">
      <alignment vertical="center"/>
    </xf>
    <xf numFmtId="0" fontId="7" fillId="6" borderId="28" xfId="14" applyFont="1" applyFill="1" applyBorder="1" applyAlignment="1">
      <alignment vertical="center" wrapText="1"/>
    </xf>
    <xf numFmtId="178" fontId="7" fillId="6" borderId="28" xfId="2" applyNumberFormat="1" applyFont="1" applyFill="1" applyBorder="1" applyAlignment="1">
      <alignment vertical="center"/>
    </xf>
    <xf numFmtId="0" fontId="7" fillId="6" borderId="28" xfId="14" applyFont="1" applyFill="1" applyBorder="1">
      <alignment vertical="center"/>
    </xf>
    <xf numFmtId="0" fontId="9" fillId="6" borderId="7" xfId="14" applyFont="1" applyFill="1" applyBorder="1" applyAlignment="1">
      <alignment horizontal="left" vertical="center"/>
    </xf>
    <xf numFmtId="0" fontId="9" fillId="6" borderId="30" xfId="14" applyFont="1" applyFill="1" applyBorder="1" applyAlignment="1">
      <alignment horizontal="left" vertical="center"/>
    </xf>
    <xf numFmtId="0" fontId="7" fillId="6" borderId="25" xfId="14" applyFont="1" applyFill="1" applyBorder="1" applyAlignment="1">
      <alignment horizontal="left" vertical="center"/>
    </xf>
    <xf numFmtId="0" fontId="7" fillId="6" borderId="25" xfId="14" applyFont="1" applyFill="1" applyBorder="1" applyAlignment="1">
      <alignment vertical="center" wrapText="1"/>
    </xf>
    <xf numFmtId="176" fontId="7" fillId="6" borderId="31" xfId="1" applyFont="1" applyFill="1" applyBorder="1" applyAlignment="1">
      <alignment vertical="center"/>
    </xf>
    <xf numFmtId="178" fontId="7" fillId="6" borderId="31" xfId="2" applyNumberFormat="1" applyFont="1" applyFill="1" applyBorder="1" applyAlignment="1">
      <alignment vertical="center"/>
    </xf>
    <xf numFmtId="178" fontId="7" fillId="6" borderId="25" xfId="2" applyNumberFormat="1" applyFont="1" applyFill="1" applyBorder="1" applyAlignment="1">
      <alignment vertical="center"/>
    </xf>
    <xf numFmtId="0" fontId="7" fillId="6" borderId="25" xfId="14" applyFont="1" applyFill="1" applyBorder="1">
      <alignment vertical="center"/>
    </xf>
    <xf numFmtId="0" fontId="7" fillId="5" borderId="0" xfId="14" applyFont="1" applyFill="1" applyAlignment="1">
      <alignment vertical="center" wrapText="1"/>
    </xf>
    <xf numFmtId="0" fontId="45" fillId="5" borderId="0" xfId="14" applyFont="1" applyFill="1" applyAlignment="1">
      <alignment horizontal="left" vertical="center"/>
    </xf>
    <xf numFmtId="0" fontId="46" fillId="5" borderId="0" xfId="14" applyFont="1" applyFill="1" applyAlignment="1">
      <alignment horizontal="left" vertical="center"/>
    </xf>
    <xf numFmtId="0" fontId="7" fillId="5" borderId="26" xfId="14" applyFont="1" applyFill="1" applyBorder="1">
      <alignment vertical="center"/>
    </xf>
    <xf numFmtId="43" fontId="7" fillId="5" borderId="0" xfId="14" applyNumberFormat="1" applyFont="1" applyFill="1">
      <alignment vertical="center"/>
    </xf>
    <xf numFmtId="0" fontId="7" fillId="6" borderId="26" xfId="14" applyFont="1" applyFill="1" applyBorder="1">
      <alignment vertical="center"/>
    </xf>
    <xf numFmtId="0" fontId="7" fillId="6" borderId="32" xfId="14" applyFont="1" applyFill="1" applyBorder="1">
      <alignment vertical="center"/>
    </xf>
    <xf numFmtId="0" fontId="7" fillId="6" borderId="13" xfId="14" applyFont="1" applyFill="1" applyBorder="1">
      <alignment vertical="center"/>
    </xf>
    <xf numFmtId="0" fontId="47" fillId="5" borderId="0" xfId="13" applyFont="1" applyFill="1">
      <alignment vertical="center"/>
    </xf>
    <xf numFmtId="0" fontId="35" fillId="5" borderId="0" xfId="13" applyFont="1" applyFill="1">
      <alignment vertical="center"/>
    </xf>
    <xf numFmtId="0" fontId="7" fillId="5" borderId="0" xfId="13" applyFont="1" applyFill="1">
      <alignment vertical="center"/>
    </xf>
    <xf numFmtId="0" fontId="9" fillId="5" borderId="0" xfId="13" applyFont="1" applyFill="1" applyAlignment="1">
      <alignment horizontal="center" vertical="center" wrapText="1"/>
    </xf>
    <xf numFmtId="0" fontId="9" fillId="5" borderId="0" xfId="13" applyFont="1" applyFill="1">
      <alignment vertical="center"/>
    </xf>
    <xf numFmtId="0" fontId="48" fillId="5" borderId="0" xfId="13" applyFont="1" applyFill="1" applyAlignment="1">
      <alignment horizontal="center" vertical="center"/>
    </xf>
    <xf numFmtId="0" fontId="48" fillId="5" borderId="0" xfId="13" applyFont="1" applyFill="1">
      <alignment vertical="center"/>
    </xf>
    <xf numFmtId="0" fontId="49" fillId="5" borderId="0" xfId="13" applyFont="1" applyFill="1" applyAlignment="1">
      <alignment horizontal="left" vertical="center"/>
    </xf>
    <xf numFmtId="0" fontId="49" fillId="5" borderId="0" xfId="0" applyFont="1" applyFill="1" applyAlignment="1">
      <alignment horizontal="left" vertical="center"/>
    </xf>
    <xf numFmtId="0" fontId="47" fillId="5" borderId="0" xfId="13" applyFont="1" applyFill="1" applyAlignment="1">
      <alignment horizontal="left" vertical="center"/>
    </xf>
    <xf numFmtId="0" fontId="41" fillId="7" borderId="7" xfId="13" applyFont="1" applyFill="1" applyBorder="1" applyAlignment="1">
      <alignment horizontal="center" vertical="center" wrapText="1"/>
    </xf>
    <xf numFmtId="0" fontId="7" fillId="5" borderId="7" xfId="13" applyFont="1" applyFill="1" applyBorder="1" applyAlignment="1">
      <alignment vertical="center" wrapText="1"/>
    </xf>
    <xf numFmtId="40" fontId="7" fillId="5" borderId="7" xfId="1" applyNumberFormat="1" applyFont="1" applyFill="1" applyBorder="1" applyAlignment="1">
      <alignment vertical="center" wrapText="1"/>
    </xf>
    <xf numFmtId="40" fontId="7" fillId="5" borderId="7" xfId="1" applyNumberFormat="1" applyFont="1" applyFill="1" applyBorder="1" applyAlignment="1">
      <alignment vertical="center"/>
    </xf>
    <xf numFmtId="0" fontId="7" fillId="6" borderId="7" xfId="13" applyFont="1" applyFill="1" applyBorder="1" applyAlignment="1">
      <alignment vertical="center" wrapText="1"/>
    </xf>
    <xf numFmtId="40" fontId="7" fillId="6" borderId="7" xfId="1" applyNumberFormat="1" applyFont="1" applyFill="1" applyBorder="1" applyAlignment="1">
      <alignment vertical="center"/>
    </xf>
    <xf numFmtId="10" fontId="7" fillId="5" borderId="7" xfId="2" applyNumberFormat="1" applyFont="1" applyFill="1" applyBorder="1">
      <alignment vertical="center"/>
    </xf>
    <xf numFmtId="0" fontId="9" fillId="6" borderId="7" xfId="13" applyFont="1" applyFill="1" applyBorder="1" applyAlignment="1">
      <alignment vertical="center" wrapText="1"/>
    </xf>
    <xf numFmtId="0" fontId="7" fillId="6" borderId="28" xfId="13" applyFont="1" applyFill="1" applyBorder="1" applyAlignment="1">
      <alignment vertical="center" wrapText="1"/>
    </xf>
    <xf numFmtId="40" fontId="7" fillId="6" borderId="28" xfId="1" applyNumberFormat="1" applyFont="1" applyFill="1" applyBorder="1" applyAlignment="1">
      <alignment vertical="center"/>
    </xf>
    <xf numFmtId="40" fontId="7" fillId="5" borderId="7" xfId="13" applyNumberFormat="1" applyFont="1" applyFill="1" applyBorder="1">
      <alignment vertical="center"/>
    </xf>
    <xf numFmtId="10" fontId="7" fillId="5" borderId="7" xfId="2" applyNumberFormat="1" applyFont="1" applyFill="1" applyBorder="1" applyAlignment="1">
      <alignment horizontal="center" vertical="center"/>
    </xf>
    <xf numFmtId="176" fontId="7" fillId="6" borderId="7" xfId="1" applyFont="1" applyFill="1" applyBorder="1" applyAlignment="1">
      <alignment horizontal="center" vertical="center"/>
    </xf>
    <xf numFmtId="0" fontId="7" fillId="6" borderId="28" xfId="13" applyFont="1" applyFill="1" applyBorder="1" applyAlignment="1">
      <alignment horizontal="left" vertical="center"/>
    </xf>
    <xf numFmtId="179" fontId="7" fillId="6" borderId="28" xfId="13" applyNumberFormat="1" applyFont="1" applyFill="1" applyBorder="1" applyAlignment="1">
      <alignment horizontal="center" vertical="center"/>
    </xf>
    <xf numFmtId="0" fontId="9" fillId="6" borderId="25" xfId="13" applyFont="1" applyFill="1" applyBorder="1" applyAlignment="1">
      <alignment horizontal="left" vertical="center"/>
    </xf>
    <xf numFmtId="0" fontId="7" fillId="6" borderId="30" xfId="13" applyFont="1" applyFill="1" applyBorder="1" applyAlignment="1">
      <alignment horizontal="left" vertical="center"/>
    </xf>
    <xf numFmtId="0" fontId="7" fillId="6" borderId="25" xfId="13" applyFont="1" applyFill="1" applyBorder="1" applyAlignment="1">
      <alignment horizontal="left" vertical="center"/>
    </xf>
    <xf numFmtId="0" fontId="7" fillId="6" borderId="25" xfId="13" applyFont="1" applyFill="1" applyBorder="1" applyAlignment="1">
      <alignment vertical="center" wrapText="1"/>
    </xf>
    <xf numFmtId="40" fontId="7" fillId="6" borderId="25" xfId="13" applyNumberFormat="1" applyFont="1" applyFill="1" applyBorder="1">
      <alignment vertical="center"/>
    </xf>
    <xf numFmtId="178" fontId="7" fillId="6" borderId="25" xfId="2" applyNumberFormat="1" applyFont="1" applyFill="1" applyBorder="1">
      <alignment vertical="center"/>
    </xf>
    <xf numFmtId="179" fontId="7" fillId="6" borderId="25" xfId="13" applyNumberFormat="1" applyFont="1" applyFill="1" applyBorder="1" applyAlignment="1">
      <alignment horizontal="center" vertical="center"/>
    </xf>
    <xf numFmtId="0" fontId="7" fillId="6" borderId="25" xfId="13" applyFont="1" applyFill="1" applyBorder="1">
      <alignment vertical="center"/>
    </xf>
    <xf numFmtId="0" fontId="48" fillId="5" borderId="0" xfId="13" applyFont="1" applyFill="1" applyAlignment="1">
      <alignment vertical="center" wrapText="1"/>
    </xf>
    <xf numFmtId="0" fontId="50" fillId="5" borderId="0" xfId="13" applyFont="1" applyFill="1" applyAlignment="1">
      <alignment horizontal="center" vertical="center"/>
    </xf>
    <xf numFmtId="40" fontId="48" fillId="5" borderId="0" xfId="13" applyNumberFormat="1" applyFont="1" applyFill="1">
      <alignment vertical="center"/>
    </xf>
    <xf numFmtId="0" fontId="48" fillId="5" borderId="0" xfId="13" applyFont="1" applyFill="1" applyAlignment="1">
      <alignment horizontal="left" vertical="center"/>
    </xf>
    <xf numFmtId="0" fontId="7" fillId="5" borderId="26" xfId="13" applyFont="1" applyFill="1" applyBorder="1">
      <alignment vertical="center"/>
    </xf>
    <xf numFmtId="0" fontId="7" fillId="6" borderId="26" xfId="13" applyFont="1" applyFill="1" applyBorder="1">
      <alignment vertical="center"/>
    </xf>
    <xf numFmtId="0" fontId="9" fillId="6" borderId="26" xfId="13" applyFont="1" applyFill="1" applyBorder="1">
      <alignment vertical="center"/>
    </xf>
    <xf numFmtId="0" fontId="7" fillId="6" borderId="32" xfId="13" applyFont="1" applyFill="1" applyBorder="1">
      <alignment vertical="center"/>
    </xf>
    <xf numFmtId="0" fontId="7" fillId="6" borderId="13" xfId="13" applyFont="1" applyFill="1" applyBorder="1">
      <alignment vertical="center"/>
    </xf>
    <xf numFmtId="0" fontId="34" fillId="5" borderId="0" xfId="11" applyFont="1" applyFill="1">
      <alignment vertical="center"/>
    </xf>
    <xf numFmtId="0" fontId="35" fillId="5" borderId="0" xfId="11" applyFont="1" applyFill="1" applyAlignment="1">
      <alignment horizontal="center" vertical="center"/>
    </xf>
    <xf numFmtId="0" fontId="35" fillId="5" borderId="0" xfId="11" applyFont="1" applyFill="1">
      <alignment vertical="center"/>
    </xf>
    <xf numFmtId="0" fontId="51" fillId="5" borderId="0" xfId="11" applyFont="1" applyFill="1">
      <alignment vertical="center"/>
    </xf>
    <xf numFmtId="0" fontId="37" fillId="5" borderId="0" xfId="0" applyFont="1" applyFill="1" applyAlignment="1">
      <alignment horizontal="left" vertical="center"/>
    </xf>
    <xf numFmtId="0" fontId="52" fillId="5" borderId="0" xfId="0" applyFont="1" applyFill="1" applyAlignment="1">
      <alignment horizontal="left" vertical="center"/>
    </xf>
    <xf numFmtId="0" fontId="35" fillId="5" borderId="0" xfId="11" applyFont="1" applyFill="1" applyAlignment="1">
      <alignment horizontal="left" vertical="center"/>
    </xf>
    <xf numFmtId="0" fontId="54" fillId="7" borderId="7" xfId="15" applyFont="1" applyFill="1" applyBorder="1" applyAlignment="1">
      <alignment horizontal="center" vertical="center" wrapText="1"/>
    </xf>
    <xf numFmtId="0" fontId="35" fillId="5" borderId="33" xfId="15" applyFont="1" applyFill="1" applyBorder="1" applyAlignment="1">
      <alignment vertical="center"/>
    </xf>
    <xf numFmtId="180" fontId="35" fillId="5" borderId="33" xfId="4" applyNumberFormat="1" applyFont="1" applyFill="1" applyBorder="1" applyAlignment="1">
      <alignment vertical="center"/>
    </xf>
    <xf numFmtId="177" fontId="35" fillId="5" borderId="24" xfId="4" applyFont="1" applyFill="1" applyBorder="1" applyAlignment="1">
      <alignment vertical="center"/>
    </xf>
    <xf numFmtId="181" fontId="35" fillId="5" borderId="33" xfId="4" applyNumberFormat="1" applyFont="1" applyFill="1" applyBorder="1" applyAlignment="1">
      <alignment vertical="center"/>
    </xf>
    <xf numFmtId="181" fontId="35" fillId="5" borderId="24" xfId="4" applyNumberFormat="1" applyFont="1" applyFill="1" applyBorder="1" applyAlignment="1">
      <alignment vertical="center"/>
    </xf>
    <xf numFmtId="0" fontId="56" fillId="5" borderId="34" xfId="0" applyFont="1" applyFill="1" applyBorder="1" applyAlignment="1">
      <alignment horizontal="left" vertical="center"/>
    </xf>
    <xf numFmtId="0" fontId="56" fillId="5" borderId="0" xfId="0" applyFont="1" applyFill="1" applyAlignment="1">
      <alignment horizontal="left" vertical="center"/>
    </xf>
    <xf numFmtId="40" fontId="35" fillId="5" borderId="33" xfId="4" applyNumberFormat="1" applyFont="1" applyFill="1" applyBorder="1" applyAlignment="1">
      <alignment vertical="center"/>
    </xf>
    <xf numFmtId="40" fontId="35" fillId="5" borderId="24" xfId="4" applyNumberFormat="1" applyFont="1" applyFill="1" applyBorder="1" applyAlignment="1">
      <alignment horizontal="right" vertical="center"/>
    </xf>
    <xf numFmtId="40" fontId="35" fillId="5" borderId="24" xfId="1" applyNumberFormat="1" applyFont="1" applyFill="1" applyBorder="1" applyAlignment="1">
      <alignment horizontal="right" vertical="center"/>
    </xf>
    <xf numFmtId="40" fontId="35" fillId="5" borderId="33" xfId="4" applyNumberFormat="1" applyFont="1" applyFill="1" applyBorder="1" applyAlignment="1">
      <alignment horizontal="right" vertical="center"/>
    </xf>
    <xf numFmtId="0" fontId="56" fillId="5" borderId="0" xfId="0" applyFont="1" applyFill="1" applyAlignment="1">
      <alignment horizontal="left" vertical="center" wrapText="1"/>
    </xf>
    <xf numFmtId="40" fontId="35" fillId="5" borderId="24" xfId="4" applyNumberFormat="1" applyFont="1" applyFill="1" applyBorder="1" applyAlignment="1">
      <alignment vertical="center"/>
    </xf>
    <xf numFmtId="0" fontId="35" fillId="5" borderId="34" xfId="0" applyFont="1" applyFill="1" applyBorder="1" applyAlignment="1">
      <alignment horizontal="left" vertical="center"/>
    </xf>
    <xf numFmtId="40" fontId="35" fillId="5" borderId="33" xfId="15" applyNumberFormat="1" applyFont="1" applyFill="1" applyBorder="1" applyAlignment="1">
      <alignment vertical="center"/>
    </xf>
    <xf numFmtId="40" fontId="35" fillId="5" borderId="24" xfId="2" applyNumberFormat="1" applyFont="1" applyFill="1" applyBorder="1" applyAlignment="1">
      <alignment vertical="center"/>
    </xf>
    <xf numFmtId="178" fontId="35" fillId="5" borderId="33" xfId="2" applyNumberFormat="1" applyFont="1" applyFill="1" applyBorder="1" applyAlignment="1">
      <alignment vertical="center"/>
    </xf>
    <xf numFmtId="178" fontId="35" fillId="5" borderId="24" xfId="2" applyNumberFormat="1" applyFont="1" applyFill="1" applyBorder="1" applyAlignment="1">
      <alignment vertical="center"/>
    </xf>
    <xf numFmtId="177" fontId="35" fillId="5" borderId="33" xfId="4" applyFont="1" applyFill="1" applyBorder="1" applyAlignment="1">
      <alignment vertical="center"/>
    </xf>
    <xf numFmtId="0" fontId="35" fillId="5" borderId="35" xfId="15" applyFont="1" applyFill="1" applyBorder="1" applyAlignment="1">
      <alignment vertical="center"/>
    </xf>
    <xf numFmtId="180" fontId="57" fillId="5" borderId="35" xfId="4" applyNumberFormat="1" applyFont="1" applyFill="1" applyBorder="1" applyAlignment="1">
      <alignment vertical="center"/>
    </xf>
    <xf numFmtId="0" fontId="57" fillId="5" borderId="36" xfId="15" applyFont="1" applyFill="1" applyBorder="1" applyAlignment="1">
      <alignment vertical="center"/>
    </xf>
    <xf numFmtId="177" fontId="57" fillId="5" borderId="35" xfId="4" applyFont="1" applyFill="1" applyBorder="1" applyAlignment="1">
      <alignment vertical="center"/>
    </xf>
    <xf numFmtId="0" fontId="35" fillId="5" borderId="0" xfId="0" applyFont="1" applyFill="1">
      <alignment vertical="center"/>
    </xf>
    <xf numFmtId="9" fontId="35" fillId="5" borderId="0" xfId="2" applyFont="1" applyFill="1" applyBorder="1" applyAlignment="1">
      <alignment vertical="center"/>
    </xf>
    <xf numFmtId="0" fontId="40" fillId="5" borderId="0" xfId="11" applyFont="1" applyFill="1">
      <alignment vertical="center"/>
    </xf>
    <xf numFmtId="0" fontId="52" fillId="5" borderId="0" xfId="11" applyFont="1" applyFill="1" applyAlignment="1">
      <alignment horizontal="right" vertical="center"/>
    </xf>
    <xf numFmtId="180" fontId="35" fillId="5" borderId="37" xfId="11" applyNumberFormat="1" applyFont="1" applyFill="1" applyBorder="1">
      <alignment vertical="center"/>
    </xf>
    <xf numFmtId="40" fontId="35" fillId="5" borderId="34" xfId="4" applyNumberFormat="1" applyFont="1" applyFill="1" applyBorder="1" applyAlignment="1">
      <alignment vertical="center"/>
    </xf>
    <xf numFmtId="40" fontId="35" fillId="5" borderId="34" xfId="1" applyNumberFormat="1" applyFont="1" applyFill="1" applyBorder="1" applyAlignment="1">
      <alignment vertical="center"/>
    </xf>
    <xf numFmtId="178" fontId="35" fillId="5" borderId="34" xfId="2" applyNumberFormat="1" applyFont="1" applyFill="1" applyBorder="1" applyAlignment="1">
      <alignment vertical="center"/>
    </xf>
    <xf numFmtId="0" fontId="35" fillId="5" borderId="19" xfId="11" applyFont="1" applyFill="1" applyBorder="1">
      <alignment vertical="center"/>
    </xf>
    <xf numFmtId="40" fontId="51" fillId="5" borderId="0" xfId="11" applyNumberFormat="1" applyFont="1" applyFill="1" applyAlignment="1">
      <alignment horizontal="right" vertical="center"/>
    </xf>
    <xf numFmtId="0" fontId="7" fillId="5" borderId="0" xfId="10" applyFont="1" applyFill="1">
      <alignment vertical="center"/>
    </xf>
    <xf numFmtId="0" fontId="7" fillId="0" borderId="0" xfId="0" applyFont="1" applyAlignment="1"/>
    <xf numFmtId="0" fontId="48" fillId="0" borderId="0" xfId="0" applyFont="1" applyAlignment="1"/>
    <xf numFmtId="0" fontId="48" fillId="5" borderId="0" xfId="10" applyFont="1" applyFill="1" applyAlignment="1">
      <alignment horizontal="center" vertical="center"/>
    </xf>
    <xf numFmtId="0" fontId="48" fillId="5" borderId="0" xfId="10" applyFont="1" applyFill="1">
      <alignment vertical="center"/>
    </xf>
    <xf numFmtId="0" fontId="58" fillId="5" borderId="0" xfId="0" applyFont="1" applyFill="1">
      <alignment vertical="center"/>
    </xf>
    <xf numFmtId="0" fontId="59" fillId="5" borderId="0" xfId="0" applyFont="1" applyFill="1" applyAlignment="1">
      <alignment horizontal="left" vertical="center"/>
    </xf>
    <xf numFmtId="0" fontId="34" fillId="5" borderId="0" xfId="10" applyFont="1" applyFill="1" applyAlignment="1">
      <alignment vertical="center" wrapText="1"/>
    </xf>
    <xf numFmtId="0" fontId="41" fillId="7" borderId="7" xfId="0" applyFont="1" applyFill="1" applyBorder="1" applyAlignment="1">
      <alignment horizontal="center" vertical="center"/>
    </xf>
    <xf numFmtId="0" fontId="41" fillId="7" borderId="7" xfId="0" applyFont="1" applyFill="1" applyBorder="1" applyAlignment="1">
      <alignment horizontal="center" vertical="center" wrapText="1"/>
    </xf>
    <xf numFmtId="0" fontId="41" fillId="12" borderId="7" xfId="0" applyFont="1" applyFill="1" applyBorder="1" applyAlignment="1">
      <alignment horizontal="center" vertical="center" wrapText="1"/>
    </xf>
    <xf numFmtId="0" fontId="7" fillId="0" borderId="7" xfId="0" applyFont="1" applyBorder="1" applyAlignment="1">
      <alignment horizontal="center" vertical="center" wrapText="1"/>
    </xf>
    <xf numFmtId="0" fontId="7" fillId="0" borderId="7" xfId="0" applyFont="1" applyBorder="1" applyAlignment="1">
      <alignment horizontal="left" vertical="center"/>
    </xf>
    <xf numFmtId="0" fontId="7" fillId="0" borderId="7" xfId="0" applyFont="1" applyBorder="1" applyAlignment="1">
      <alignment horizontal="center" vertical="center"/>
    </xf>
    <xf numFmtId="14" fontId="7" fillId="0" borderId="7" xfId="0" applyNumberFormat="1" applyFont="1" applyBorder="1" applyAlignment="1">
      <alignment horizontal="center" vertical="center"/>
    </xf>
    <xf numFmtId="0" fontId="7" fillId="0" borderId="25" xfId="0" applyFont="1" applyBorder="1" applyAlignment="1">
      <alignment horizontal="center" vertical="center" wrapText="1"/>
    </xf>
    <xf numFmtId="0" fontId="62" fillId="0" borderId="0" xfId="0" applyFont="1" applyAlignment="1">
      <alignment horizontal="right" vertical="center"/>
    </xf>
    <xf numFmtId="0" fontId="62" fillId="0" borderId="0" xfId="0" applyFont="1" applyAlignment="1"/>
    <xf numFmtId="10" fontId="7" fillId="0" borderId="7" xfId="2" applyNumberFormat="1" applyFont="1" applyBorder="1" applyAlignment="1">
      <alignment horizontal="center" vertical="center"/>
    </xf>
    <xf numFmtId="9" fontId="7" fillId="0" borderId="7" xfId="0" applyNumberFormat="1" applyFont="1" applyBorder="1" applyAlignment="1">
      <alignment horizontal="center" vertical="center"/>
    </xf>
    <xf numFmtId="0" fontId="35" fillId="5" borderId="0" xfId="5" applyFont="1" applyFill="1" applyAlignment="1">
      <alignment horizontal="center"/>
    </xf>
    <xf numFmtId="0" fontId="35" fillId="5" borderId="0" xfId="5" applyFont="1" applyFill="1"/>
    <xf numFmtId="0" fontId="51" fillId="5" borderId="0" xfId="5" applyFont="1" applyFill="1"/>
    <xf numFmtId="0" fontId="63" fillId="5" borderId="0" xfId="0" applyFont="1" applyFill="1">
      <alignment vertical="center"/>
    </xf>
    <xf numFmtId="0" fontId="35" fillId="5" borderId="0" xfId="14" applyFont="1" applyFill="1" applyAlignment="1">
      <alignment horizontal="left" vertical="center"/>
    </xf>
    <xf numFmtId="0" fontId="51" fillId="5" borderId="0" xfId="5" applyFont="1" applyFill="1" applyAlignment="1">
      <alignment horizontal="center"/>
    </xf>
    <xf numFmtId="0" fontId="65" fillId="0" borderId="0" xfId="0" applyFont="1" applyAlignment="1">
      <alignment horizontal="center" vertical="center" wrapText="1"/>
    </xf>
    <xf numFmtId="0" fontId="54" fillId="7" borderId="7" xfId="0" applyFont="1" applyFill="1" applyBorder="1" applyAlignment="1">
      <alignment horizontal="center" vertical="center" wrapText="1"/>
    </xf>
    <xf numFmtId="0" fontId="66" fillId="0" borderId="7" xfId="19" applyFont="1" applyBorder="1" applyAlignment="1">
      <alignment horizontal="center" vertical="center"/>
    </xf>
    <xf numFmtId="0" fontId="67" fillId="5" borderId="7" xfId="0" applyFont="1" applyFill="1" applyBorder="1" applyAlignment="1">
      <alignment vertical="center" wrapText="1"/>
    </xf>
    <xf numFmtId="0" fontId="35" fillId="5" borderId="7" xfId="0" applyFont="1" applyFill="1" applyBorder="1" applyAlignment="1">
      <alignment horizontal="center" vertical="center" wrapText="1"/>
    </xf>
    <xf numFmtId="0" fontId="67" fillId="5" borderId="7" xfId="0" applyFont="1" applyFill="1" applyBorder="1" applyAlignment="1">
      <alignment horizontal="center" vertical="center" wrapText="1"/>
    </xf>
    <xf numFmtId="0" fontId="68" fillId="0" borderId="0" xfId="0" applyFont="1" applyAlignment="1">
      <alignment vertical="center" wrapText="1"/>
    </xf>
    <xf numFmtId="0" fontId="68" fillId="0" borderId="0" xfId="0" applyFont="1" applyAlignment="1">
      <alignment horizontal="center" vertical="center" wrapText="1"/>
    </xf>
    <xf numFmtId="0" fontId="69" fillId="11" borderId="7" xfId="19" applyFont="1" applyFill="1" applyBorder="1" applyAlignment="1">
      <alignment horizontal="center" vertical="center"/>
    </xf>
    <xf numFmtId="0" fontId="66" fillId="11" borderId="7" xfId="19" applyFont="1" applyFill="1" applyBorder="1" applyAlignment="1">
      <alignment horizontal="center" vertical="center"/>
    </xf>
    <xf numFmtId="0" fontId="67" fillId="11" borderId="7" xfId="0" applyFont="1" applyFill="1" applyBorder="1" applyAlignment="1">
      <alignment vertical="center" wrapText="1"/>
    </xf>
    <xf numFmtId="0" fontId="35" fillId="11" borderId="7" xfId="0" applyFont="1" applyFill="1" applyBorder="1" applyAlignment="1">
      <alignment horizontal="center" vertical="center" wrapText="1"/>
    </xf>
    <xf numFmtId="0" fontId="67" fillId="11" borderId="7" xfId="0" applyFont="1" applyFill="1" applyBorder="1" applyAlignment="1">
      <alignment horizontal="center" vertical="center" wrapText="1"/>
    </xf>
    <xf numFmtId="0" fontId="70" fillId="5" borderId="0" xfId="5" applyFont="1" applyFill="1"/>
    <xf numFmtId="0" fontId="69" fillId="0" borderId="7" xfId="19" applyFont="1" applyBorder="1" applyAlignment="1">
      <alignment horizontal="center" vertical="center"/>
    </xf>
    <xf numFmtId="0" fontId="71" fillId="0" borderId="7" xfId="19" applyFont="1" applyBorder="1" applyAlignment="1">
      <alignment horizontal="center" vertical="center"/>
    </xf>
    <xf numFmtId="0" fontId="52" fillId="5" borderId="7" xfId="14" applyFont="1" applyFill="1" applyBorder="1" applyAlignment="1">
      <alignment horizontal="center" vertical="center"/>
    </xf>
    <xf numFmtId="0" fontId="35" fillId="5" borderId="7" xfId="14" applyFont="1" applyFill="1" applyBorder="1" applyAlignment="1">
      <alignment horizontal="center" vertical="center"/>
    </xf>
    <xf numFmtId="0" fontId="72" fillId="0" borderId="0" xfId="0" applyFont="1" applyAlignment="1">
      <alignment horizontal="center" vertical="center" wrapText="1"/>
    </xf>
    <xf numFmtId="0" fontId="35" fillId="5" borderId="0" xfId="14" applyFont="1" applyFill="1" applyAlignment="1">
      <alignment horizontal="center" vertical="center"/>
    </xf>
    <xf numFmtId="0" fontId="51" fillId="5" borderId="0" xfId="14" applyFont="1" applyFill="1" applyAlignment="1">
      <alignment horizontal="left" vertical="center"/>
    </xf>
    <xf numFmtId="0" fontId="66" fillId="0" borderId="0" xfId="9" applyFont="1" applyAlignment="1">
      <alignment vertical="center"/>
    </xf>
    <xf numFmtId="0" fontId="71" fillId="0" borderId="0" xfId="9" applyFont="1" applyAlignment="1">
      <alignment vertical="center"/>
    </xf>
    <xf numFmtId="0" fontId="71" fillId="0" borderId="0" xfId="9" applyFont="1" applyAlignment="1">
      <alignment horizontal="center" vertical="center"/>
    </xf>
    <xf numFmtId="0" fontId="74" fillId="0" borderId="0" xfId="9" applyFont="1" applyAlignment="1">
      <alignment horizontal="left" vertical="center"/>
    </xf>
    <xf numFmtId="0" fontId="71" fillId="0" borderId="0" xfId="9" applyFont="1" applyAlignment="1">
      <alignment horizontal="left" vertical="center"/>
    </xf>
    <xf numFmtId="0" fontId="75" fillId="7" borderId="7" xfId="9" applyFont="1" applyFill="1" applyBorder="1" applyAlignment="1">
      <alignment horizontal="center" vertical="center" wrapText="1"/>
    </xf>
    <xf numFmtId="0" fontId="66" fillId="0" borderId="7" xfId="9" applyFont="1" applyBorder="1" applyAlignment="1">
      <alignment horizontal="left" vertical="center" wrapText="1"/>
    </xf>
    <xf numFmtId="0" fontId="56" fillId="0" borderId="23" xfId="9" applyFont="1" applyBorder="1" applyAlignment="1">
      <alignment horizontal="center" vertical="center" wrapText="1"/>
    </xf>
    <xf numFmtId="0" fontId="66" fillId="0" borderId="23" xfId="9" applyFont="1" applyBorder="1" applyAlignment="1">
      <alignment horizontal="center" vertical="center" wrapText="1"/>
    </xf>
    <xf numFmtId="0" fontId="76" fillId="0" borderId="23" xfId="9" applyFont="1" applyBorder="1" applyAlignment="1">
      <alignment horizontal="center" vertical="center" wrapText="1"/>
    </xf>
    <xf numFmtId="0" fontId="66" fillId="0" borderId="7" xfId="9" applyFont="1" applyBorder="1" applyAlignment="1">
      <alignment horizontal="center" vertical="center" wrapText="1"/>
    </xf>
    <xf numFmtId="0" fontId="66" fillId="0" borderId="7" xfId="9" applyFont="1" applyBorder="1" applyAlignment="1">
      <alignment vertical="center"/>
    </xf>
    <xf numFmtId="0" fontId="69" fillId="0" borderId="7" xfId="9" applyFont="1" applyBorder="1" applyAlignment="1">
      <alignment horizontal="center" vertical="center" wrapText="1"/>
    </xf>
    <xf numFmtId="0" fontId="66" fillId="0" borderId="0" xfId="9" applyFont="1" applyAlignment="1">
      <alignment horizontal="left" vertical="center" wrapText="1"/>
    </xf>
    <xf numFmtId="0" fontId="77" fillId="0" borderId="0" xfId="0" applyFont="1">
      <alignment vertical="center"/>
    </xf>
    <xf numFmtId="0" fontId="85" fillId="0" borderId="0" xfId="0" applyFont="1">
      <alignment vertical="center"/>
    </xf>
    <xf numFmtId="0" fontId="44" fillId="7" borderId="7" xfId="0" applyFont="1" applyFill="1" applyBorder="1" applyAlignment="1">
      <alignment horizontal="center" vertical="center"/>
    </xf>
    <xf numFmtId="0" fontId="7" fillId="5" borderId="7" xfId="10" applyFont="1" applyFill="1" applyBorder="1">
      <alignment vertical="center"/>
    </xf>
    <xf numFmtId="0" fontId="7" fillId="0" borderId="7" xfId="0" applyFont="1" applyBorder="1" applyAlignment="1"/>
    <xf numFmtId="0" fontId="77" fillId="0" borderId="0" xfId="0" applyFont="1" applyAlignment="1">
      <alignment vertical="center" wrapText="1"/>
    </xf>
    <xf numFmtId="9" fontId="0" fillId="0" borderId="0" xfId="2" applyFont="1">
      <alignment vertical="center"/>
    </xf>
    <xf numFmtId="0" fontId="77" fillId="14" borderId="0" xfId="0" applyFont="1" applyFill="1">
      <alignment vertical="center"/>
    </xf>
    <xf numFmtId="0" fontId="12" fillId="0" borderId="0" xfId="0" applyFont="1" applyAlignment="1">
      <alignment horizontal="justify" vertical="center"/>
    </xf>
    <xf numFmtId="0" fontId="12" fillId="0" borderId="0" xfId="0" applyFont="1">
      <alignment vertical="center"/>
    </xf>
    <xf numFmtId="0" fontId="97" fillId="0" borderId="0" xfId="0" applyFont="1" applyAlignment="1">
      <alignment horizontal="justify" vertical="center"/>
    </xf>
    <xf numFmtId="10" fontId="0" fillId="0" borderId="0" xfId="2" applyNumberFormat="1" applyFont="1">
      <alignment vertical="center"/>
    </xf>
    <xf numFmtId="0" fontId="0" fillId="14" borderId="0" xfId="0" applyFill="1">
      <alignment vertical="center"/>
    </xf>
    <xf numFmtId="14" fontId="0" fillId="0" borderId="0" xfId="0" applyNumberFormat="1">
      <alignment vertical="center"/>
    </xf>
    <xf numFmtId="4" fontId="0" fillId="0" borderId="0" xfId="0" applyNumberFormat="1">
      <alignment vertical="center"/>
    </xf>
    <xf numFmtId="4" fontId="56" fillId="5" borderId="0" xfId="0" applyNumberFormat="1" applyFont="1" applyFill="1" applyAlignment="1">
      <alignment horizontal="left" vertical="center"/>
    </xf>
    <xf numFmtId="4" fontId="56" fillId="5" borderId="0" xfId="0" applyNumberFormat="1" applyFont="1" applyFill="1" applyAlignment="1">
      <alignment horizontal="left" vertical="center" wrapText="1"/>
    </xf>
    <xf numFmtId="4" fontId="35" fillId="5" borderId="0" xfId="11" applyNumberFormat="1" applyFont="1" applyFill="1" applyAlignment="1">
      <alignment horizontal="center" vertical="center"/>
    </xf>
    <xf numFmtId="4" fontId="35" fillId="5" borderId="0" xfId="11" applyNumberFormat="1" applyFont="1" applyFill="1">
      <alignment vertical="center"/>
    </xf>
    <xf numFmtId="4" fontId="0" fillId="0" borderId="0" xfId="19" applyNumberFormat="1" applyFont="1" applyProtection="1">
      <alignment vertical="center"/>
      <protection locked="0"/>
    </xf>
    <xf numFmtId="10" fontId="0" fillId="0" borderId="0" xfId="19" applyNumberFormat="1" applyFont="1" applyProtection="1">
      <alignment vertical="center"/>
      <protection locked="0"/>
    </xf>
    <xf numFmtId="0" fontId="77" fillId="0" borderId="0" xfId="19" applyFont="1" applyProtection="1">
      <alignment vertical="center"/>
      <protection locked="0"/>
    </xf>
    <xf numFmtId="0" fontId="98" fillId="0" borderId="7" xfId="19" applyFont="1" applyBorder="1" applyAlignment="1" applyProtection="1">
      <alignment horizontal="center" vertical="center" wrapText="1"/>
      <protection locked="0"/>
    </xf>
    <xf numFmtId="0" fontId="99" fillId="14" borderId="0" xfId="14" applyFont="1" applyFill="1" applyAlignment="1">
      <alignment horizontal="left" vertical="center"/>
    </xf>
    <xf numFmtId="0" fontId="6" fillId="0" borderId="0" xfId="9" applyFont="1" applyAlignment="1">
      <alignment horizontal="left" vertical="center" wrapText="1"/>
    </xf>
    <xf numFmtId="0" fontId="73" fillId="0" borderId="0" xfId="9" applyFont="1" applyAlignment="1">
      <alignment horizontal="center" vertical="center"/>
    </xf>
    <xf numFmtId="0" fontId="92" fillId="0" borderId="0" xfId="9" applyFont="1" applyAlignment="1">
      <alignment horizontal="left" vertical="center" wrapText="1"/>
    </xf>
    <xf numFmtId="0" fontId="66" fillId="0" borderId="0" xfId="9" applyFont="1" applyAlignment="1">
      <alignment horizontal="left" vertical="center" wrapText="1"/>
    </xf>
    <xf numFmtId="0" fontId="71" fillId="13" borderId="7" xfId="9" applyFont="1" applyFill="1" applyBorder="1" applyAlignment="1">
      <alignment horizontal="left" vertical="center" wrapText="1"/>
    </xf>
    <xf numFmtId="0" fontId="66" fillId="0" borderId="23" xfId="9" applyFont="1" applyBorder="1" applyAlignment="1">
      <alignment horizontal="center" vertical="center" wrapText="1"/>
    </xf>
    <xf numFmtId="0" fontId="66" fillId="0" borderId="25" xfId="9" applyFont="1" applyBorder="1" applyAlignment="1">
      <alignment horizontal="center" vertical="center" wrapText="1"/>
    </xf>
    <xf numFmtId="0" fontId="64" fillId="5" borderId="0" xfId="10" applyFont="1" applyFill="1" applyAlignment="1">
      <alignment horizontal="left" vertical="center" wrapText="1"/>
    </xf>
    <xf numFmtId="0" fontId="51" fillId="5" borderId="0" xfId="10" applyFont="1" applyFill="1" applyAlignment="1">
      <alignment horizontal="left" vertical="center" wrapText="1"/>
    </xf>
    <xf numFmtId="0" fontId="54" fillId="7" borderId="26" xfId="0" applyFont="1" applyFill="1" applyBorder="1" applyAlignment="1">
      <alignment horizontal="center" vertical="center" wrapText="1"/>
    </xf>
    <xf numFmtId="0" fontId="54" fillId="7" borderId="11" xfId="0" applyFont="1" applyFill="1" applyBorder="1" applyAlignment="1">
      <alignment horizontal="center" vertical="center" wrapText="1"/>
    </xf>
    <xf numFmtId="0" fontId="65" fillId="0" borderId="0" xfId="0" applyFont="1" applyAlignment="1">
      <alignment horizontal="center" vertical="center" wrapText="1"/>
    </xf>
    <xf numFmtId="0" fontId="54" fillId="7" borderId="23" xfId="0" applyFont="1" applyFill="1" applyBorder="1" applyAlignment="1">
      <alignment horizontal="center" vertical="center" wrapText="1"/>
    </xf>
    <xf numFmtId="0" fontId="54" fillId="7" borderId="25" xfId="0" applyFont="1" applyFill="1" applyBorder="1" applyAlignment="1">
      <alignment horizontal="center" vertical="center" wrapText="1"/>
    </xf>
    <xf numFmtId="0" fontId="94" fillId="7" borderId="23" xfId="0" applyFont="1" applyFill="1" applyBorder="1" applyAlignment="1">
      <alignment horizontal="center" vertical="center" wrapText="1"/>
    </xf>
    <xf numFmtId="0" fontId="60" fillId="5" borderId="0" xfId="10" applyFont="1" applyFill="1" applyAlignment="1">
      <alignment horizontal="left" vertical="center" wrapText="1"/>
    </xf>
    <xf numFmtId="0" fontId="61" fillId="5" borderId="0" xfId="10" applyFont="1" applyFill="1" applyAlignment="1">
      <alignment horizontal="left" vertical="center" wrapText="1"/>
    </xf>
    <xf numFmtId="0" fontId="62" fillId="0" borderId="0" xfId="0" applyFont="1" applyAlignment="1">
      <alignment horizontal="left" vertical="top" wrapText="1"/>
    </xf>
    <xf numFmtId="0" fontId="41" fillId="7" borderId="7" xfId="0" applyFont="1" applyFill="1" applyBorder="1" applyAlignment="1">
      <alignment horizontal="center" vertical="center"/>
    </xf>
    <xf numFmtId="0" fontId="54" fillId="7" borderId="20" xfId="15" applyFont="1" applyFill="1" applyBorder="1" applyAlignment="1">
      <alignment horizontal="center" vertical="center" wrapText="1"/>
    </xf>
    <xf numFmtId="0" fontId="54" fillId="7" borderId="21" xfId="15" applyFont="1" applyFill="1" applyBorder="1" applyAlignment="1">
      <alignment horizontal="center" vertical="center" wrapText="1"/>
    </xf>
    <xf numFmtId="0" fontId="53" fillId="5" borderId="0" xfId="11" applyFont="1" applyFill="1" applyAlignment="1">
      <alignment horizontal="left" vertical="center" wrapText="1"/>
    </xf>
    <xf numFmtId="0" fontId="51" fillId="5" borderId="0" xfId="11" applyFont="1" applyFill="1" applyAlignment="1">
      <alignment horizontal="left" vertical="center" wrapText="1"/>
    </xf>
    <xf numFmtId="0" fontId="54" fillId="7" borderId="2" xfId="15" applyFont="1" applyFill="1" applyBorder="1" applyAlignment="1">
      <alignment horizontal="center" vertical="center" wrapText="1"/>
    </xf>
    <xf numFmtId="0" fontId="54" fillId="7" borderId="2" xfId="15" applyFont="1" applyFill="1" applyBorder="1" applyAlignment="1">
      <alignment horizontal="center" vertical="center"/>
    </xf>
    <xf numFmtId="0" fontId="54" fillId="7" borderId="7" xfId="15" applyFont="1" applyFill="1" applyBorder="1" applyAlignment="1">
      <alignment horizontal="center" vertical="center" wrapText="1"/>
    </xf>
    <xf numFmtId="0" fontId="54" fillId="7" borderId="1" xfId="15" applyFont="1" applyFill="1" applyBorder="1" applyAlignment="1">
      <alignment horizontal="center" vertical="center" wrapText="1"/>
    </xf>
    <xf numFmtId="0" fontId="55" fillId="7" borderId="6" xfId="12" applyFont="1" applyFill="1" applyBorder="1" applyAlignment="1">
      <alignment horizontal="center" vertical="center"/>
    </xf>
    <xf numFmtId="0" fontId="7" fillId="5" borderId="10" xfId="13" applyFont="1" applyFill="1" applyBorder="1" applyAlignment="1">
      <alignment horizontal="center" vertical="center" wrapText="1"/>
    </xf>
    <xf numFmtId="0" fontId="7" fillId="5" borderId="12" xfId="13" applyFont="1" applyFill="1" applyBorder="1" applyAlignment="1">
      <alignment horizontal="center" vertical="center" wrapText="1"/>
    </xf>
    <xf numFmtId="0" fontId="7" fillId="5" borderId="13" xfId="13" applyFont="1" applyFill="1" applyBorder="1" applyAlignment="1">
      <alignment horizontal="center" vertical="center" wrapText="1"/>
    </xf>
    <xf numFmtId="0" fontId="41" fillId="7" borderId="7" xfId="13" applyFont="1" applyFill="1" applyBorder="1" applyAlignment="1">
      <alignment horizontal="center" vertical="center" wrapText="1"/>
    </xf>
    <xf numFmtId="0" fontId="43" fillId="7" borderId="7" xfId="13" applyFont="1" applyFill="1" applyBorder="1" applyAlignment="1">
      <alignment horizontal="center" vertical="center"/>
    </xf>
    <xf numFmtId="0" fontId="43" fillId="7" borderId="7" xfId="13" applyFont="1" applyFill="1" applyBorder="1">
      <alignment vertical="center"/>
    </xf>
    <xf numFmtId="49" fontId="39" fillId="5" borderId="0" xfId="13" applyNumberFormat="1" applyFont="1" applyFill="1" applyAlignment="1">
      <alignment horizontal="left" vertical="center" wrapText="1"/>
    </xf>
    <xf numFmtId="49" fontId="40" fillId="5" borderId="0" xfId="13" applyNumberFormat="1" applyFont="1" applyFill="1" applyAlignment="1">
      <alignment horizontal="left" vertical="center" wrapText="1"/>
    </xf>
    <xf numFmtId="0" fontId="42" fillId="7" borderId="7" xfId="13" applyFont="1" applyFill="1" applyBorder="1" applyAlignment="1">
      <alignment horizontal="center" vertical="center" wrapText="1"/>
    </xf>
    <xf numFmtId="0" fontId="9" fillId="6" borderId="25" xfId="13" applyFont="1" applyFill="1" applyBorder="1" applyAlignment="1">
      <alignment horizontal="left" vertical="center" wrapText="1"/>
    </xf>
    <xf numFmtId="0" fontId="9" fillId="6" borderId="30" xfId="13" applyFont="1" applyFill="1" applyBorder="1" applyAlignment="1">
      <alignment horizontal="left" vertical="center" wrapText="1"/>
    </xf>
    <xf numFmtId="0" fontId="9" fillId="6" borderId="13" xfId="13" applyFont="1" applyFill="1" applyBorder="1" applyAlignment="1">
      <alignment horizontal="left" vertical="center" wrapText="1"/>
    </xf>
    <xf numFmtId="0" fontId="43" fillId="7" borderId="7" xfId="13" applyFont="1" applyFill="1" applyBorder="1" applyAlignment="1">
      <alignment vertical="center" wrapText="1"/>
    </xf>
    <xf numFmtId="0" fontId="41" fillId="7" borderId="6" xfId="14" applyFont="1" applyFill="1" applyBorder="1" applyAlignment="1">
      <alignment horizontal="center" vertical="center" wrapText="1"/>
    </xf>
    <xf numFmtId="0" fontId="43" fillId="7" borderId="6" xfId="14" applyFont="1" applyFill="1" applyBorder="1" applyAlignment="1">
      <alignment horizontal="center" vertical="center"/>
    </xf>
    <xf numFmtId="0" fontId="41" fillId="7" borderId="7" xfId="14" applyFont="1" applyFill="1" applyBorder="1" applyAlignment="1">
      <alignment horizontal="center" vertical="center" wrapText="1"/>
    </xf>
    <xf numFmtId="0" fontId="43" fillId="7" borderId="7" xfId="14" applyFont="1" applyFill="1" applyBorder="1">
      <alignment vertical="center"/>
    </xf>
    <xf numFmtId="49" fontId="39" fillId="5" borderId="0" xfId="14" applyNumberFormat="1" applyFont="1" applyFill="1" applyAlignment="1">
      <alignment horizontal="left" vertical="center" wrapText="1"/>
    </xf>
    <xf numFmtId="49" fontId="40" fillId="5" borderId="0" xfId="14" applyNumberFormat="1" applyFont="1" applyFill="1" applyAlignment="1">
      <alignment horizontal="left" vertical="center" wrapText="1"/>
    </xf>
    <xf numFmtId="0" fontId="42" fillId="7" borderId="7" xfId="14" applyFont="1" applyFill="1" applyBorder="1" applyAlignment="1">
      <alignment horizontal="center" vertical="center" wrapText="1"/>
    </xf>
    <xf numFmtId="0" fontId="9" fillId="10" borderId="7" xfId="14" applyFont="1" applyFill="1" applyBorder="1" applyAlignment="1">
      <alignment horizontal="left" vertical="center" wrapText="1"/>
    </xf>
    <xf numFmtId="0" fontId="9" fillId="10" borderId="11" xfId="14" applyFont="1" applyFill="1" applyBorder="1" applyAlignment="1">
      <alignment horizontal="left" vertical="center" wrapText="1"/>
    </xf>
    <xf numFmtId="0" fontId="9" fillId="10" borderId="26" xfId="14" applyFont="1" applyFill="1" applyBorder="1" applyAlignment="1">
      <alignment horizontal="left" vertical="center" wrapText="1"/>
    </xf>
    <xf numFmtId="0" fontId="9" fillId="10" borderId="25" xfId="14" applyFont="1" applyFill="1" applyBorder="1" applyAlignment="1">
      <alignment horizontal="left" vertical="center" wrapText="1"/>
    </xf>
    <xf numFmtId="0" fontId="9" fillId="10" borderId="30" xfId="14" applyFont="1" applyFill="1" applyBorder="1" applyAlignment="1">
      <alignment horizontal="left" vertical="center" wrapText="1"/>
    </xf>
    <xf numFmtId="0" fontId="9" fillId="10" borderId="13" xfId="14" applyFont="1" applyFill="1" applyBorder="1" applyAlignment="1">
      <alignment horizontal="left" vertical="center" wrapText="1"/>
    </xf>
    <xf numFmtId="0" fontId="41" fillId="7" borderId="26" xfId="13" applyFont="1" applyFill="1" applyBorder="1" applyAlignment="1">
      <alignment horizontal="center" vertical="center" wrapText="1"/>
    </xf>
    <xf numFmtId="0" fontId="43" fillId="7" borderId="26" xfId="13" applyFont="1" applyFill="1" applyBorder="1" applyAlignment="1">
      <alignment horizontal="center" vertical="center"/>
    </xf>
    <xf numFmtId="0" fontId="41" fillId="7" borderId="23" xfId="14" applyFont="1" applyFill="1" applyBorder="1" applyAlignment="1">
      <alignment horizontal="center" vertical="center" wrapText="1"/>
    </xf>
    <xf numFmtId="0" fontId="43" fillId="7" borderId="25" xfId="14" applyFont="1" applyFill="1" applyBorder="1" applyAlignment="1">
      <alignment vertical="center" wrapText="1"/>
    </xf>
    <xf numFmtId="0" fontId="27" fillId="4" borderId="7" xfId="19" applyFont="1" applyFill="1" applyBorder="1" applyAlignment="1" applyProtection="1">
      <alignment horizontal="center" vertical="center" wrapText="1"/>
      <protection locked="0"/>
    </xf>
    <xf numFmtId="0" fontId="29" fillId="8" borderId="26" xfId="19" applyFont="1" applyFill="1" applyBorder="1" applyAlignment="1" applyProtection="1">
      <alignment horizontal="center" vertical="center" wrapText="1"/>
      <protection locked="0"/>
    </xf>
    <xf numFmtId="0" fontId="29" fillId="8" borderId="27" xfId="19" applyFont="1" applyFill="1" applyBorder="1" applyAlignment="1" applyProtection="1">
      <alignment horizontal="center" vertical="center" wrapText="1"/>
      <protection locked="0"/>
    </xf>
    <xf numFmtId="0" fontId="29" fillId="8" borderId="11" xfId="19" applyFont="1" applyFill="1" applyBorder="1" applyAlignment="1" applyProtection="1">
      <alignment horizontal="center" vertical="center" wrapText="1"/>
      <protection locked="0"/>
    </xf>
    <xf numFmtId="0" fontId="31" fillId="8" borderId="7" xfId="19" applyFont="1" applyFill="1" applyBorder="1" applyAlignment="1" applyProtection="1">
      <alignment horizontal="center" vertical="center" wrapText="1"/>
      <protection locked="0"/>
    </xf>
    <xf numFmtId="0" fontId="27" fillId="4" borderId="7" xfId="19" applyFont="1" applyFill="1" applyBorder="1" applyAlignment="1" applyProtection="1">
      <alignment horizontal="center" vertical="center"/>
      <protection locked="0"/>
    </xf>
    <xf numFmtId="0" fontId="29" fillId="0" borderId="23" xfId="19" applyFont="1" applyBorder="1" applyAlignment="1" applyProtection="1">
      <alignment horizontal="center" vertical="center" wrapText="1"/>
      <protection locked="0"/>
    </xf>
    <xf numFmtId="0" fontId="29" fillId="0" borderId="24" xfId="19" applyFont="1" applyBorder="1" applyAlignment="1" applyProtection="1">
      <alignment horizontal="center" vertical="center" wrapText="1"/>
      <protection locked="0"/>
    </xf>
    <xf numFmtId="0" fontId="23" fillId="5" borderId="0" xfId="11" applyFont="1" applyFill="1" applyAlignment="1">
      <alignment horizontal="left" vertical="center"/>
    </xf>
    <xf numFmtId="0" fontId="29" fillId="8" borderId="7" xfId="19" applyFont="1" applyFill="1" applyBorder="1" applyAlignment="1" applyProtection="1">
      <alignment horizontal="center" vertical="center" wrapText="1"/>
      <protection locked="0"/>
    </xf>
    <xf numFmtId="0" fontId="2" fillId="4" borderId="20" xfId="5" applyFont="1" applyFill="1" applyBorder="1" applyAlignment="1">
      <alignment horizontal="center" vertical="center" wrapText="1"/>
    </xf>
    <xf numFmtId="0" fontId="2" fillId="4" borderId="21" xfId="5" applyFont="1" applyFill="1" applyBorder="1" applyAlignment="1">
      <alignment horizontal="center" vertical="center" wrapText="1"/>
    </xf>
    <xf numFmtId="0" fontId="2" fillId="2" borderId="3" xfId="5" applyFont="1" applyFill="1" applyBorder="1" applyAlignment="1">
      <alignment horizontal="center" vertical="center" wrapText="1"/>
    </xf>
    <xf numFmtId="0" fontId="2" fillId="2" borderId="4" xfId="5" applyFont="1" applyFill="1" applyBorder="1" applyAlignment="1">
      <alignment horizontal="center" vertical="center" wrapText="1"/>
    </xf>
    <xf numFmtId="0" fontId="2" fillId="2" borderId="5" xfId="5" applyFont="1" applyFill="1" applyBorder="1" applyAlignment="1">
      <alignment horizontal="center" vertical="center" wrapText="1"/>
    </xf>
    <xf numFmtId="0" fontId="2" fillId="3" borderId="3" xfId="5" applyFont="1" applyFill="1" applyBorder="1" applyAlignment="1">
      <alignment horizontal="center" vertical="center" wrapText="1"/>
    </xf>
    <xf numFmtId="0" fontId="2" fillId="3" borderId="4" xfId="5" applyFont="1" applyFill="1" applyBorder="1" applyAlignment="1">
      <alignment horizontal="center" vertical="center" wrapText="1"/>
    </xf>
    <xf numFmtId="0" fontId="2" fillId="3" borderId="5" xfId="5" applyFont="1" applyFill="1" applyBorder="1" applyAlignment="1">
      <alignment horizontal="center" vertical="center" wrapText="1"/>
    </xf>
    <xf numFmtId="0" fontId="10" fillId="7" borderId="7" xfId="0" applyFont="1" applyFill="1" applyBorder="1" applyAlignment="1">
      <alignment horizontal="center" vertical="center" wrapText="1"/>
    </xf>
    <xf numFmtId="0" fontId="18" fillId="0" borderId="7" xfId="0" applyFont="1" applyBorder="1" applyAlignment="1">
      <alignment horizontal="justify" vertical="center" wrapText="1"/>
    </xf>
    <xf numFmtId="0" fontId="18" fillId="0" borderId="7" xfId="0" applyFont="1" applyBorder="1" applyAlignment="1">
      <alignment vertical="center" wrapText="1"/>
    </xf>
    <xf numFmtId="0" fontId="2" fillId="2" borderId="1" xfId="5" applyFont="1" applyFill="1" applyBorder="1" applyAlignment="1">
      <alignment horizontal="center" vertical="center" wrapText="1"/>
    </xf>
    <xf numFmtId="0" fontId="2" fillId="2" borderId="6" xfId="5" applyFont="1" applyFill="1" applyBorder="1" applyAlignment="1">
      <alignment horizontal="center" vertical="center" wrapText="1"/>
    </xf>
    <xf numFmtId="0" fontId="10" fillId="7" borderId="14" xfId="0" applyFont="1" applyFill="1" applyBorder="1" applyAlignment="1">
      <alignment horizontal="center" vertical="center" wrapText="1"/>
    </xf>
    <xf numFmtId="0" fontId="2" fillId="2" borderId="2" xfId="5" applyFont="1" applyFill="1" applyBorder="1" applyAlignment="1">
      <alignment horizontal="center" vertical="center" wrapText="1"/>
    </xf>
    <xf numFmtId="0" fontId="2" fillId="2" borderId="7" xfId="5" applyFont="1" applyFill="1" applyBorder="1" applyAlignment="1">
      <alignment horizontal="center" vertical="center" wrapText="1"/>
    </xf>
    <xf numFmtId="0" fontId="100" fillId="0" borderId="0" xfId="9" applyFont="1" applyAlignment="1">
      <alignment horizontal="left" vertical="center" wrapText="1"/>
    </xf>
    <xf numFmtId="0" fontId="8" fillId="5" borderId="7" xfId="14" applyFont="1" applyFill="1" applyBorder="1" applyAlignment="1">
      <alignment vertical="center" wrapText="1"/>
    </xf>
  </cellXfs>
  <cellStyles count="23">
    <cellStyle name="Comma 5" xfId="3" xr:uid="{00000000-0005-0000-0000-000031000000}"/>
    <cellStyle name="Comma_Appendix 4 - Segmented Financials" xfId="4" xr:uid="{00000000-0005-0000-0000-000032000000}"/>
    <cellStyle name="Normal 2" xfId="5" xr:uid="{00000000-0005-0000-0000-000033000000}"/>
    <cellStyle name="Normal 2 2" xfId="6" xr:uid="{00000000-0005-0000-0000-000034000000}"/>
    <cellStyle name="Normal 2 3" xfId="7" xr:uid="{00000000-0005-0000-0000-000035000000}"/>
    <cellStyle name="Normal 3" xfId="8" xr:uid="{00000000-0005-0000-0000-000036000000}"/>
    <cellStyle name="Normal 4" xfId="9" xr:uid="{00000000-0005-0000-0000-000037000000}"/>
    <cellStyle name="Normal_Appendix 3 - Related Party and Controlled Transaction List" xfId="10" xr:uid="{00000000-0005-0000-0000-000038000000}"/>
    <cellStyle name="Normal_Appendix 4 - Segmented Financials" xfId="11" xr:uid="{00000000-0005-0000-0000-000039000000}"/>
    <cellStyle name="Normal_Appendix 6 - Segmented Breakdown of SG&amp;A Expenses" xfId="12" xr:uid="{00000000-0005-0000-0000-00003A000000}"/>
    <cellStyle name="Normal_Appendix 7 - Supplier List" xfId="13" xr:uid="{00000000-0005-0000-0000-00003B000000}"/>
    <cellStyle name="Normal_Appendix 8 - Client List" xfId="14" xr:uid="{00000000-0005-0000-0000-00003C000000}"/>
    <cellStyle name="Normal_FinData" xfId="15" xr:uid="{00000000-0005-0000-0000-00003D000000}"/>
    <cellStyle name="Percent 2" xfId="16" xr:uid="{00000000-0005-0000-0000-00003E000000}"/>
    <cellStyle name="Percent 3" xfId="17" xr:uid="{00000000-0005-0000-0000-00003F000000}"/>
    <cellStyle name="百分比" xfId="2" builtinId="5"/>
    <cellStyle name="常规" xfId="0" builtinId="0"/>
    <cellStyle name="常规 2" xfId="18" xr:uid="{00000000-0005-0000-0000-000040000000}"/>
    <cellStyle name="常规 3" xfId="19" xr:uid="{00000000-0005-0000-0000-000041000000}"/>
    <cellStyle name="常规 4" xfId="20" xr:uid="{00000000-0005-0000-0000-000042000000}"/>
    <cellStyle name="千位分隔" xfId="1" builtinId="3"/>
    <cellStyle name="千位分隔 2" xfId="21" xr:uid="{00000000-0005-0000-0000-000043000000}"/>
    <cellStyle name="千位分隔 3" xfId="22" xr:uid="{00000000-0005-0000-0000-000044000000}"/>
  </cellStyles>
  <dxfs count="0"/>
  <tableStyles count="0" defaultTableStyle="TableStyleMedium9" defaultPivotStyle="PivotStyleLight16"/>
  <colors>
    <mruColors>
      <color rgb="FF00A7E1"/>
      <color rgb="FF50B848"/>
      <color rgb="FFCCFFFF"/>
      <color rgb="FF7F7F7F"/>
      <color rgb="FF046A38"/>
      <color rgb="FF86BC2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9" Type="http://schemas.openxmlformats.org/officeDocument/2006/relationships/externalLink" Target="externalLinks/externalLink16.xml"/><Relationship Id="rId21" Type="http://schemas.openxmlformats.org/officeDocument/2006/relationships/worksheet" Target="worksheets/sheet21.xml"/><Relationship Id="rId34" Type="http://schemas.openxmlformats.org/officeDocument/2006/relationships/externalLink" Target="externalLinks/externalLink11.xml"/><Relationship Id="rId42" Type="http://schemas.openxmlformats.org/officeDocument/2006/relationships/externalLink" Target="externalLinks/externalLink19.xml"/><Relationship Id="rId47" Type="http://schemas.openxmlformats.org/officeDocument/2006/relationships/externalLink" Target="externalLinks/externalLink24.xml"/><Relationship Id="rId50" Type="http://schemas.openxmlformats.org/officeDocument/2006/relationships/externalLink" Target="externalLinks/externalLink27.xml"/><Relationship Id="rId55"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externalLink" Target="externalLinks/externalLink9.xml"/><Relationship Id="rId37" Type="http://schemas.openxmlformats.org/officeDocument/2006/relationships/externalLink" Target="externalLinks/externalLink14.xml"/><Relationship Id="rId40" Type="http://schemas.openxmlformats.org/officeDocument/2006/relationships/externalLink" Target="externalLinks/externalLink17.xml"/><Relationship Id="rId45" Type="http://schemas.openxmlformats.org/officeDocument/2006/relationships/externalLink" Target="externalLinks/externalLink22.xml"/><Relationship Id="rId53" Type="http://schemas.openxmlformats.org/officeDocument/2006/relationships/externalLink" Target="externalLinks/externalLink30.xml"/><Relationship Id="rId58" Type="http://schemas.openxmlformats.org/officeDocument/2006/relationships/sheetMetadata" Target="metadata.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externalLink" Target="externalLinks/externalLink7.xml"/><Relationship Id="rId35" Type="http://schemas.openxmlformats.org/officeDocument/2006/relationships/externalLink" Target="externalLinks/externalLink12.xml"/><Relationship Id="rId43" Type="http://schemas.openxmlformats.org/officeDocument/2006/relationships/externalLink" Target="externalLinks/externalLink20.xml"/><Relationship Id="rId48" Type="http://schemas.openxmlformats.org/officeDocument/2006/relationships/externalLink" Target="externalLinks/externalLink25.xml"/><Relationship Id="rId56"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2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externalLink" Target="externalLinks/externalLink10.xml"/><Relationship Id="rId38" Type="http://schemas.openxmlformats.org/officeDocument/2006/relationships/externalLink" Target="externalLinks/externalLink15.xml"/><Relationship Id="rId46" Type="http://schemas.openxmlformats.org/officeDocument/2006/relationships/externalLink" Target="externalLinks/externalLink23.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8.xml"/><Relationship Id="rId54" Type="http://schemas.openxmlformats.org/officeDocument/2006/relationships/externalLink" Target="externalLinks/externalLink3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36" Type="http://schemas.openxmlformats.org/officeDocument/2006/relationships/externalLink" Target="externalLinks/externalLink13.xml"/><Relationship Id="rId49" Type="http://schemas.openxmlformats.org/officeDocument/2006/relationships/externalLink" Target="externalLinks/externalLink26.xml"/><Relationship Id="rId57" Type="http://schemas.openxmlformats.org/officeDocument/2006/relationships/sharedStrings" Target="sharedStrings.xml"/><Relationship Id="rId10" Type="http://schemas.openxmlformats.org/officeDocument/2006/relationships/worksheet" Target="worksheets/sheet10.xml"/><Relationship Id="rId31" Type="http://schemas.openxmlformats.org/officeDocument/2006/relationships/externalLink" Target="externalLinks/externalLink8.xml"/><Relationship Id="rId44" Type="http://schemas.openxmlformats.org/officeDocument/2006/relationships/externalLink" Target="externalLinks/externalLink21.xml"/><Relationship Id="rId52" Type="http://schemas.openxmlformats.org/officeDocument/2006/relationships/externalLink" Target="externalLinks/externalLink2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289560</xdr:colOff>
      <xdr:row>25</xdr:row>
      <xdr:rowOff>121920</xdr:rowOff>
    </xdr:from>
    <xdr:to>
      <xdr:col>2</xdr:col>
      <xdr:colOff>2112645</xdr:colOff>
      <xdr:row>46</xdr:row>
      <xdr:rowOff>6985</xdr:rowOff>
    </xdr:to>
    <xdr:pic>
      <xdr:nvPicPr>
        <xdr:cNvPr id="2" name="图片 1" descr="bd842f700c489841d5c9e9800cd05f5">
          <a:extLst>
            <a:ext uri="{FF2B5EF4-FFF2-40B4-BE49-F238E27FC236}">
              <a16:creationId xmlns:a16="http://schemas.microsoft.com/office/drawing/2014/main" id="{D814B61F-C943-539E-AC85-E724A3CFE09E}"/>
            </a:ext>
          </a:extLst>
        </xdr:cNvPr>
        <xdr:cNvPicPr>
          <a:picLocks noChangeAspect="1"/>
        </xdr:cNvPicPr>
      </xdr:nvPicPr>
      <xdr:blipFill>
        <a:blip xmlns:r="http://schemas.openxmlformats.org/officeDocument/2006/relationships" r:embed="rId1"/>
        <a:stretch>
          <a:fillRect/>
        </a:stretch>
      </xdr:blipFill>
      <xdr:spPr>
        <a:xfrm>
          <a:off x="289560" y="5943600"/>
          <a:ext cx="4528185" cy="3565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657225</xdr:colOff>
      <xdr:row>25</xdr:row>
      <xdr:rowOff>0</xdr:rowOff>
    </xdr:from>
    <xdr:to>
      <xdr:col>0</xdr:col>
      <xdr:colOff>657225</xdr:colOff>
      <xdr:row>25</xdr:row>
      <xdr:rowOff>0</xdr:rowOff>
    </xdr:to>
    <xdr:sp macro="" textlink="">
      <xdr:nvSpPr>
        <xdr:cNvPr id="2167" name="Line 1">
          <a:extLst>
            <a:ext uri="{FF2B5EF4-FFF2-40B4-BE49-F238E27FC236}">
              <a16:creationId xmlns:a16="http://schemas.microsoft.com/office/drawing/2014/main" id="{00000000-0008-0000-0300-000077080000}"/>
            </a:ext>
          </a:extLst>
        </xdr:cNvPr>
        <xdr:cNvSpPr>
          <a:spLocks noChangeShapeType="1"/>
        </xdr:cNvSpPr>
      </xdr:nvSpPr>
      <xdr:spPr>
        <a:xfrm>
          <a:off x="657225" y="5299710"/>
          <a:ext cx="0" cy="0"/>
        </a:xfrm>
        <a:prstGeom prst="line">
          <a:avLst/>
        </a:prstGeom>
        <a:noFill/>
        <a:ln w="9525">
          <a:solidFill>
            <a:srgbClr val="000000"/>
          </a:solidFill>
          <a:rou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nshgsrv001\data_shanghai\Audit\Client99\Wuerth\Hgb%20and%20Ias\e1999hgb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Documents%20and%20Settings\lliu\Local%20Settings\Temporary%20Internet%20Files\Content.Outlook\CQQ4MW7G\&#25105;&#25509;&#25910;&#21040;&#30340;&#25991;&#20214;\Stocktaking\Jan-08\cell\&#21103;&#26412;2%202%2008%20NLOKE_CELL_OH_QTY_W_LOCATOR.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nshafsbc\Department\Documents%20and%20Settings\shirley.zhang\Local%20Settings\Temp\Cost%20and%20exp%20breakdown-2005%20xls.zip%20&#30340;&#20020;&#26102;&#30446;&#24405;%201\Final\Final%20working%20paper-Hanglas\U%20expense-cleared.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Thinkpad\Desktop\WeChat%20Files\wxid_wn3490xgfvtx21\FileStorage\File\2024-11\G&amp;A.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SSC\SSC%20Operation\11%20APV%20New%20Zealand\March%202009\account%20reconciliation\2416\bank%20reconciliation\bank%20reconcile.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Q:\SSC\SSC%20Operation\05%20APV%20Manufactory\2012.02\RTR\monthly%20closing\2012\2012.01\HFM\SPX%20Journal%20Adjustments.Jan1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Users\ffu\AppData\Local\Deloitte.DA4\Docs\Temp\5000029148\1680902662200000084\24100.01%20Accounts%20Payable.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nshafsr03\AUDIT29\My%20Documents\Astra\Astra%2003\Final\LZ\031231.AZ%20Final\My%20Documents\Jobs\2001\BP%20Panyu\MB739502\MB73950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SPRFS4002\TAX\LOCALOFF\CLACTNG\WORKING\RAUTE\BREC9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Q:\Documents%20and%20Settings\fsu01\Local%20Settings\Temporary%20Internet%20Files\Content.Outlook\UN3ELM24\Mthly%20BPR\FT%20APAC%20MTD%20Analytics.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GAABS1532\aws\My%20Documents\WORK\Hanshin\FY02\Adj%20sheet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Q:\Users\pzhang10\AppData\Local\Microsoft\Windows\Temporary%20Internet%20Files\Content.Outlook\M0T5MBV8\Monthly%20Close%20Checklist_SPXFLOW_Full%20Entities.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T:\Documents%20and%20Settings\lliu\Local%20Settings\Temporary%20Internet%20Files\Content.Outlook\ZQN90B0I\A123(China)%20Payroll%20201112.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T:\Documents%20and%20Settings\pcorreia\Local%20Settings\Temporary%20Internet%20Files\OLK30\MS-Inventory%20Valuation%20Report%203_13_08.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I:\Stocktaking\Jan-08\cell\&#21103;&#26412;2%202%2008%20NLOKE_CELL_OH_QTY_W_LOCATOR.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Q:\SSC\SSC%20Operation\05%20APV%20Manufactory\RTR%20related\reporting%20package\2011\2011.04\BS%20recon\BS%20recon%20Apr11v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Q:\Users\fsu01\Desktop\TL\Check%20tools\Entity_HFM_Retreive%20(APV_Shanghai)%202013.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Users\Thinkpad\Desktop\WeChat%20Files\wxid_wn3490xgfvtx21\FileStorage\File\2024-11\040408.sumiko%20cd.spreadsheet.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T:\Cost%20Report\Mar-2011\Inventory%20value%20report_Mar201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Z:\SSC\SSC%20Operation\06%20APV%20SH%20Commercial\Reporting%20Package\0908\BS%20Recon\2185_BS%20Reconciliation_0908.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Users\Thinkpad\Desktop\WeChat%20Files\wxid_wn3490xgfvtx21\FileStorage\File\2024-11\Worksheet%20in%206110%20AP"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Users\mikshen\Desktop\SPX%20Final\SPX%20Flow%20Final%20PBC.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Users\erikzhang\AppData\Local\Temp\Deloitte.DA3\Docs\45876\2114257856400000001\23300.02%20Other%20Receivable%202015.xlsm"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C:\Users\Thinkpad\Desktop\WeChat%20Files\wxid_wn3490xgfvtx21\FileStorage\File\2024-11\Worksheet%20in%206140-1%20AP-&#26242;&#20272;&#26126;&#32454;"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C:\Users\pzhang10\Desktop\SPX%20Flow%20Final%20PBC.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C:\Users\alledeng\Desktop\Valmont\2018\2018wkp\27100%20Related-Party%20Transactions%20and%20Balances%202018(26-03-2019%202.49.54%20PM).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C:\Users\joyao\Desktop\SPX%20CN%20confirmation\For%20pivot.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NSHAFSBC02\Department\Documents%20and%20Settings\ONG%20SENG%20KIAT\Desktop\Documents%20and%20Settings\khoowm\Local%20Settings\Temporary%20Internet%20Files\Content.IE5\ODYBCTIB\CS%20FS%200405%20-%20Final.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CNSHAFSBC02\Department\&#26472;&#26376;&#33805;\&#36134;&#40836;\&#21103;&#26412;2004&#24448;&#26469;.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ROEDL-CN\R&amp;P%20Document\CPAs%20Document\Audit%20template\working%20paper\CPA\Z-&#32508;&#21512;&#31867;&#24037;&#20316;&#24213;&#31295;\Z01\Foreign%20invested\PRC%20report.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Unifss\vol1\Sales\2007sales\Mar\VHSO\Finance\REPORT\2004%20report\income%20statement-VHSO-Oct-200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ey Data"/>
      <sheetName val="031 Comp. list"/>
      <sheetName val="033 Recon. R&amp;L"/>
      <sheetName val="034 Recon. E&amp;I"/>
      <sheetName val="036 Spec. items"/>
      <sheetName val="038 Accruals"/>
      <sheetName val="040 A Bilanz"/>
      <sheetName val="040 B P&amp;L"/>
      <sheetName val="043 Adj. Receiv."/>
      <sheetName val="044 Adj. Inv."/>
      <sheetName val="046 Fixed Ass. mov."/>
      <sheetName val="047 Capital mo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acle vs Physical"/>
      <sheetName val="Physical Count"/>
      <sheetName val="Oracle Data"/>
      <sheetName val="Cost"/>
      <sheetName val="Macro1"/>
    </sheetNames>
    <sheetDataSet>
      <sheetData sheetId="0" refreshError="1"/>
      <sheetData sheetId="1" refreshError="1">
        <row r="1">
          <cell r="A1" t="str">
            <v>100027-002</v>
          </cell>
          <cell r="B1">
            <v>68351.8</v>
          </cell>
        </row>
        <row r="2">
          <cell r="A2" t="str">
            <v>100028-002</v>
          </cell>
          <cell r="B2">
            <v>314351</v>
          </cell>
        </row>
        <row r="3">
          <cell r="A3" t="str">
            <v>100028-003</v>
          </cell>
          <cell r="B3">
            <v>6590.35</v>
          </cell>
        </row>
        <row r="4">
          <cell r="A4" t="str">
            <v>100151-001</v>
          </cell>
          <cell r="B4">
            <v>11172.5</v>
          </cell>
        </row>
        <row r="5">
          <cell r="A5" t="str">
            <v>100152-001</v>
          </cell>
          <cell r="B5">
            <v>6431.7</v>
          </cell>
        </row>
        <row r="6">
          <cell r="A6" t="str">
            <v>100171-001</v>
          </cell>
          <cell r="B6">
            <v>22243</v>
          </cell>
        </row>
        <row r="7">
          <cell r="A7" t="str">
            <v>100172-001</v>
          </cell>
          <cell r="B7">
            <v>149256.57</v>
          </cell>
        </row>
        <row r="8">
          <cell r="A8" t="str">
            <v>100192-001</v>
          </cell>
          <cell r="B8">
            <v>21421.25</v>
          </cell>
        </row>
        <row r="9">
          <cell r="A9" t="str">
            <v>100204-001</v>
          </cell>
          <cell r="B9">
            <v>50485</v>
          </cell>
        </row>
        <row r="10">
          <cell r="A10" t="str">
            <v>200002-001</v>
          </cell>
          <cell r="B10">
            <v>827264</v>
          </cell>
        </row>
        <row r="11">
          <cell r="A11" t="str">
            <v>200004-001</v>
          </cell>
          <cell r="B11">
            <v>550</v>
          </cell>
        </row>
        <row r="12">
          <cell r="A12" t="str">
            <v>200006-001</v>
          </cell>
          <cell r="B12">
            <v>886811</v>
          </cell>
        </row>
        <row r="13">
          <cell r="A13" t="str">
            <v>200007-001</v>
          </cell>
          <cell r="B13">
            <v>1111135</v>
          </cell>
        </row>
        <row r="14">
          <cell r="A14" t="str">
            <v>200009-001</v>
          </cell>
          <cell r="B14">
            <v>404077</v>
          </cell>
        </row>
        <row r="15">
          <cell r="A15" t="str">
            <v>200010-001</v>
          </cell>
          <cell r="B15">
            <v>2006286</v>
          </cell>
        </row>
        <row r="16">
          <cell r="A16" t="str">
            <v>200012-001</v>
          </cell>
          <cell r="B16">
            <v>1187268</v>
          </cell>
        </row>
        <row r="17">
          <cell r="A17" t="str">
            <v>200012-005</v>
          </cell>
          <cell r="B17">
            <v>146100</v>
          </cell>
        </row>
        <row r="18">
          <cell r="A18" t="str">
            <v>200012-006</v>
          </cell>
          <cell r="B18">
            <v>146900</v>
          </cell>
        </row>
        <row r="19">
          <cell r="A19" t="str">
            <v>200013-001</v>
          </cell>
          <cell r="B19">
            <v>6860</v>
          </cell>
        </row>
        <row r="20">
          <cell r="A20" t="str">
            <v>200013-003</v>
          </cell>
          <cell r="B20">
            <v>45712</v>
          </cell>
        </row>
        <row r="21">
          <cell r="A21" t="str">
            <v>200013-004</v>
          </cell>
          <cell r="B21">
            <v>14320</v>
          </cell>
        </row>
        <row r="22">
          <cell r="A22" t="str">
            <v>200013-005</v>
          </cell>
          <cell r="B22">
            <v>10340</v>
          </cell>
        </row>
        <row r="23">
          <cell r="A23" t="str">
            <v>200016-001</v>
          </cell>
          <cell r="B23">
            <v>86526.186300000001</v>
          </cell>
        </row>
        <row r="24">
          <cell r="A24" t="str">
            <v>200016-002</v>
          </cell>
          <cell r="B24">
            <v>15833.964</v>
          </cell>
        </row>
        <row r="25">
          <cell r="A25" t="str">
            <v>200017-001</v>
          </cell>
          <cell r="B25">
            <v>60690.32</v>
          </cell>
        </row>
        <row r="26">
          <cell r="A26" t="str">
            <v>200017-002</v>
          </cell>
          <cell r="B26">
            <v>18450.86</v>
          </cell>
        </row>
        <row r="27">
          <cell r="A27" t="str">
            <v>200018-001</v>
          </cell>
          <cell r="B27">
            <v>59769.012000000002</v>
          </cell>
        </row>
        <row r="28">
          <cell r="A28" t="str">
            <v>200019-001</v>
          </cell>
          <cell r="B28">
            <v>24404</v>
          </cell>
        </row>
        <row r="29">
          <cell r="A29" t="str">
            <v>200019-002</v>
          </cell>
          <cell r="B29">
            <v>23776</v>
          </cell>
        </row>
        <row r="30">
          <cell r="A30" t="str">
            <v>200019-003</v>
          </cell>
          <cell r="B30">
            <v>17130</v>
          </cell>
        </row>
        <row r="31">
          <cell r="A31" t="str">
            <v>200019-004</v>
          </cell>
          <cell r="B31">
            <v>14532</v>
          </cell>
        </row>
        <row r="32">
          <cell r="A32" t="str">
            <v>200025-002</v>
          </cell>
          <cell r="B32">
            <v>4.0149999999999997</v>
          </cell>
        </row>
        <row r="33">
          <cell r="A33" t="str">
            <v>200028-001</v>
          </cell>
          <cell r="B33">
            <v>877348</v>
          </cell>
        </row>
        <row r="34">
          <cell r="A34" t="str">
            <v>200058-001</v>
          </cell>
          <cell r="B34">
            <v>43652</v>
          </cell>
        </row>
        <row r="35">
          <cell r="A35" t="str">
            <v>200059-001</v>
          </cell>
          <cell r="B35">
            <v>68241</v>
          </cell>
        </row>
        <row r="36">
          <cell r="A36" t="str">
            <v>200060-001</v>
          </cell>
          <cell r="B36">
            <v>43579</v>
          </cell>
        </row>
        <row r="37">
          <cell r="A37" t="str">
            <v>200061-001</v>
          </cell>
          <cell r="B37">
            <v>68384</v>
          </cell>
        </row>
        <row r="38">
          <cell r="A38" t="str">
            <v>200062-001</v>
          </cell>
          <cell r="B38">
            <v>119342</v>
          </cell>
        </row>
        <row r="39">
          <cell r="A39" t="str">
            <v>200065-001</v>
          </cell>
          <cell r="B39">
            <v>184034</v>
          </cell>
        </row>
        <row r="40">
          <cell r="A40" t="str">
            <v>200067-001</v>
          </cell>
          <cell r="B40">
            <v>53623</v>
          </cell>
        </row>
        <row r="41">
          <cell r="A41" t="str">
            <v>200068-001</v>
          </cell>
          <cell r="B41">
            <v>17256</v>
          </cell>
        </row>
        <row r="42">
          <cell r="A42" t="str">
            <v>200068-002</v>
          </cell>
          <cell r="B42">
            <v>26473</v>
          </cell>
        </row>
        <row r="43">
          <cell r="A43" t="str">
            <v>200070-001</v>
          </cell>
          <cell r="B43">
            <v>23737</v>
          </cell>
        </row>
        <row r="44">
          <cell r="A44" t="str">
            <v>200070-002</v>
          </cell>
          <cell r="B44">
            <v>30231</v>
          </cell>
        </row>
        <row r="45">
          <cell r="A45" t="str">
            <v>200071-001</v>
          </cell>
          <cell r="B45">
            <v>27020</v>
          </cell>
        </row>
        <row r="46">
          <cell r="A46" t="str">
            <v>200072-001</v>
          </cell>
          <cell r="B46">
            <v>21500</v>
          </cell>
        </row>
        <row r="47">
          <cell r="A47" t="str">
            <v>200080-001</v>
          </cell>
          <cell r="B47">
            <v>340500</v>
          </cell>
        </row>
        <row r="48">
          <cell r="A48" t="str">
            <v>200099-001</v>
          </cell>
          <cell r="B48">
            <v>79499</v>
          </cell>
        </row>
        <row r="49">
          <cell r="A49" t="str">
            <v>200100-001</v>
          </cell>
          <cell r="B49">
            <v>56000</v>
          </cell>
        </row>
        <row r="50">
          <cell r="A50" t="str">
            <v>200101-001</v>
          </cell>
          <cell r="B50">
            <v>9150</v>
          </cell>
        </row>
        <row r="51">
          <cell r="A51" t="str">
            <v>200121-001</v>
          </cell>
          <cell r="B51">
            <v>74353</v>
          </cell>
        </row>
        <row r="52">
          <cell r="A52" t="str">
            <v>200122-001</v>
          </cell>
          <cell r="B52">
            <v>6375</v>
          </cell>
        </row>
        <row r="53">
          <cell r="A53" t="str">
            <v>200124-001</v>
          </cell>
          <cell r="B53">
            <v>2730</v>
          </cell>
        </row>
        <row r="54">
          <cell r="A54" t="str">
            <v>200125-001</v>
          </cell>
          <cell r="B54">
            <v>3930</v>
          </cell>
        </row>
        <row r="55">
          <cell r="A55" t="str">
            <v>200129-001</v>
          </cell>
          <cell r="B55">
            <v>2580</v>
          </cell>
        </row>
        <row r="56">
          <cell r="A56" t="str">
            <v>200131-001</v>
          </cell>
          <cell r="B56">
            <v>150182</v>
          </cell>
        </row>
        <row r="57">
          <cell r="A57" t="str">
            <v>300006-001</v>
          </cell>
          <cell r="B57">
            <v>557157</v>
          </cell>
        </row>
        <row r="58">
          <cell r="A58" t="str">
            <v>300008-001</v>
          </cell>
          <cell r="B58">
            <v>294292</v>
          </cell>
        </row>
        <row r="59">
          <cell r="A59" t="str">
            <v>300044-001</v>
          </cell>
          <cell r="B59">
            <v>86560</v>
          </cell>
        </row>
        <row r="60">
          <cell r="A60" t="str">
            <v>300044-002</v>
          </cell>
          <cell r="B60">
            <v>84997</v>
          </cell>
        </row>
        <row r="61">
          <cell r="A61" t="str">
            <v>300046-001</v>
          </cell>
          <cell r="B61">
            <v>26202</v>
          </cell>
        </row>
        <row r="62">
          <cell r="A62" t="str">
            <v>300046-002</v>
          </cell>
          <cell r="B62">
            <v>9030</v>
          </cell>
        </row>
        <row r="63">
          <cell r="A63" t="str">
            <v>300047-001</v>
          </cell>
          <cell r="B63">
            <v>33482</v>
          </cell>
        </row>
        <row r="64">
          <cell r="A64" t="str">
            <v>300047-002</v>
          </cell>
          <cell r="B64">
            <v>9125</v>
          </cell>
        </row>
        <row r="65">
          <cell r="A65" t="str">
            <v>300048-001</v>
          </cell>
          <cell r="B65">
            <v>4250</v>
          </cell>
        </row>
        <row r="66">
          <cell r="A66" t="str">
            <v>300048-002</v>
          </cell>
          <cell r="B66">
            <v>485</v>
          </cell>
        </row>
        <row r="67">
          <cell r="A67" t="str">
            <v>300048-003</v>
          </cell>
          <cell r="B67">
            <v>3130</v>
          </cell>
        </row>
        <row r="68">
          <cell r="A68" t="str">
            <v>300040-001</v>
          </cell>
          <cell r="B68">
            <v>8846</v>
          </cell>
        </row>
        <row r="69">
          <cell r="A69" t="str">
            <v>300045-001</v>
          </cell>
          <cell r="B69">
            <v>1094</v>
          </cell>
        </row>
        <row r="70">
          <cell r="A70" t="str">
            <v>300045-002</v>
          </cell>
          <cell r="B70">
            <v>1047</v>
          </cell>
        </row>
        <row r="71">
          <cell r="A71" t="str">
            <v>300045-004</v>
          </cell>
          <cell r="B71">
            <v>0</v>
          </cell>
        </row>
        <row r="72">
          <cell r="A72" t="str">
            <v>300050-001</v>
          </cell>
          <cell r="B72">
            <v>2534</v>
          </cell>
        </row>
        <row r="73">
          <cell r="A73" t="str">
            <v>300055-001</v>
          </cell>
          <cell r="B73">
            <v>0</v>
          </cell>
        </row>
        <row r="74">
          <cell r="A74" t="str">
            <v>300055-003</v>
          </cell>
          <cell r="B74">
            <v>720</v>
          </cell>
        </row>
        <row r="75">
          <cell r="A75" t="str">
            <v>300071-001</v>
          </cell>
          <cell r="B75">
            <v>3113</v>
          </cell>
        </row>
        <row r="76">
          <cell r="A76" t="str">
            <v>300075-001</v>
          </cell>
          <cell r="B76">
            <v>2586</v>
          </cell>
        </row>
        <row r="77">
          <cell r="A77" t="str">
            <v>300075-003</v>
          </cell>
          <cell r="B77">
            <v>936</v>
          </cell>
        </row>
        <row r="78">
          <cell r="A78" t="str">
            <v>300001-001</v>
          </cell>
          <cell r="B78">
            <v>0</v>
          </cell>
        </row>
        <row r="79">
          <cell r="A79" t="str">
            <v>300063-001</v>
          </cell>
          <cell r="B79">
            <v>21734</v>
          </cell>
        </row>
        <row r="80">
          <cell r="A80" t="str">
            <v>300001-002</v>
          </cell>
          <cell r="B80">
            <v>0</v>
          </cell>
        </row>
        <row r="81">
          <cell r="A81" t="str">
            <v>300063-002</v>
          </cell>
          <cell r="B81">
            <v>12682</v>
          </cell>
        </row>
        <row r="82">
          <cell r="A82" t="str">
            <v>200077-001</v>
          </cell>
          <cell r="B82">
            <v>93</v>
          </cell>
        </row>
        <row r="83">
          <cell r="A83" t="str">
            <v>200079-001</v>
          </cell>
          <cell r="B83">
            <v>7081</v>
          </cell>
        </row>
        <row r="84">
          <cell r="A84" t="str">
            <v>200079-002</v>
          </cell>
          <cell r="B84">
            <v>392</v>
          </cell>
        </row>
        <row r="85">
          <cell r="A85" t="str">
            <v>200106-002</v>
          </cell>
          <cell r="B85">
            <v>2777</v>
          </cell>
        </row>
        <row r="86">
          <cell r="A86" t="str">
            <v>200107-001</v>
          </cell>
          <cell r="B86">
            <v>12264</v>
          </cell>
        </row>
        <row r="87">
          <cell r="A87" t="str">
            <v>200107-002</v>
          </cell>
          <cell r="B87">
            <v>21399</v>
          </cell>
        </row>
        <row r="88">
          <cell r="A88" t="str">
            <v>200116-001</v>
          </cell>
          <cell r="B88">
            <v>403</v>
          </cell>
        </row>
        <row r="89">
          <cell r="A89" t="str">
            <v>200118-001</v>
          </cell>
          <cell r="B89">
            <v>4526</v>
          </cell>
        </row>
        <row r="90">
          <cell r="A90" t="str">
            <v>300040-002</v>
          </cell>
          <cell r="B90">
            <v>18</v>
          </cell>
        </row>
        <row r="91">
          <cell r="A91" t="str">
            <v>300043-001</v>
          </cell>
          <cell r="B91">
            <v>5908</v>
          </cell>
        </row>
        <row r="92">
          <cell r="A92" t="str">
            <v>300043-002</v>
          </cell>
          <cell r="B92">
            <v>2149</v>
          </cell>
        </row>
        <row r="93">
          <cell r="A93" t="str">
            <v>300061-001</v>
          </cell>
          <cell r="B93">
            <v>11753</v>
          </cell>
        </row>
        <row r="94">
          <cell r="A94" t="str">
            <v>300061-002</v>
          </cell>
          <cell r="B94">
            <v>22913</v>
          </cell>
        </row>
        <row r="95">
          <cell r="A95" t="str">
            <v>300074-001</v>
          </cell>
          <cell r="B95">
            <v>4806</v>
          </cell>
        </row>
      </sheetData>
      <sheetData sheetId="2" refreshError="1"/>
      <sheetData sheetId="3" refreshError="1">
        <row r="1">
          <cell r="A1" t="str">
            <v>Item</v>
          </cell>
          <cell r="B1" t="str">
            <v>Cost Type</v>
          </cell>
          <cell r="C1" t="str">
            <v>Use Default Controls</v>
          </cell>
          <cell r="D1" t="str">
            <v>Inventory Asset</v>
          </cell>
          <cell r="E1" t="str">
            <v>Based on Rollup</v>
          </cell>
          <cell r="F1" t="str">
            <v>Lot Size</v>
          </cell>
          <cell r="G1" t="str">
            <v>MFG Shrinkage</v>
          </cell>
          <cell r="H1" t="str">
            <v>Unit Cost</v>
          </cell>
          <cell r="I1" t="str">
            <v>Material</v>
          </cell>
          <cell r="J1" t="str">
            <v>Material Overhead</v>
          </cell>
          <cell r="K1" t="str">
            <v>Resource</v>
          </cell>
          <cell r="L1" t="str">
            <v>Outside Processing</v>
          </cell>
          <cell r="M1" t="str">
            <v>Overhead</v>
          </cell>
          <cell r="N1" t="str">
            <v>COGS Account</v>
          </cell>
          <cell r="O1" t="str">
            <v>Sales Account</v>
          </cell>
          <cell r="P1" t="str">
            <v>Make / Buy</v>
          </cell>
        </row>
        <row r="2">
          <cell r="A2" t="str">
            <v>000000-000</v>
          </cell>
          <cell r="B2" t="str">
            <v>Frozen</v>
          </cell>
          <cell r="D2" t="str">
            <v>*</v>
          </cell>
          <cell r="E2" t="str">
            <v>*</v>
          </cell>
          <cell r="F2">
            <v>1</v>
          </cell>
          <cell r="G2">
            <v>0</v>
          </cell>
          <cell r="H2">
            <v>0</v>
          </cell>
          <cell r="N2" t="str">
            <v>35.00.000.5102.000000.0000.0000</v>
          </cell>
          <cell r="O2" t="str">
            <v>35.00.000.4110.000000.0000.0000</v>
          </cell>
          <cell r="P2" t="str">
            <v>Make</v>
          </cell>
        </row>
        <row r="3">
          <cell r="A3" t="str">
            <v>100016-001</v>
          </cell>
          <cell r="B3" t="str">
            <v>Frozen</v>
          </cell>
          <cell r="D3" t="str">
            <v>*</v>
          </cell>
          <cell r="F3">
            <v>1</v>
          </cell>
          <cell r="G3">
            <v>0</v>
          </cell>
          <cell r="H3">
            <v>0</v>
          </cell>
          <cell r="N3" t="str">
            <v>35.00.000.5101.000000.0000.0000</v>
          </cell>
          <cell r="O3" t="str">
            <v>35.00.000.4010.000000.0000.0000</v>
          </cell>
          <cell r="P3" t="str">
            <v>Buy</v>
          </cell>
        </row>
        <row r="4">
          <cell r="A4" t="str">
            <v>100026-001</v>
          </cell>
          <cell r="B4" t="str">
            <v>Frozen</v>
          </cell>
          <cell r="D4" t="str">
            <v>*</v>
          </cell>
          <cell r="F4">
            <v>1</v>
          </cell>
          <cell r="G4">
            <v>0</v>
          </cell>
          <cell r="H4">
            <v>0</v>
          </cell>
          <cell r="N4" t="str">
            <v>35.00.000.5101.000000.0000.0000</v>
          </cell>
          <cell r="O4" t="str">
            <v>35.00.000.4010.000000.0000.0000</v>
          </cell>
          <cell r="P4" t="str">
            <v>Buy</v>
          </cell>
        </row>
        <row r="5">
          <cell r="A5" t="str">
            <v>100027-002</v>
          </cell>
          <cell r="B5" t="str">
            <v>Frozen</v>
          </cell>
          <cell r="D5" t="str">
            <v>*</v>
          </cell>
          <cell r="F5">
            <v>1</v>
          </cell>
          <cell r="G5">
            <v>0</v>
          </cell>
          <cell r="H5">
            <v>5.3447500000000003</v>
          </cell>
          <cell r="I5">
            <v>5.3447500000000003</v>
          </cell>
          <cell r="N5" t="str">
            <v>35.00.000.5101.000000.0000.0000</v>
          </cell>
          <cell r="O5" t="str">
            <v>35.00.000.4010.000000.0000.0000</v>
          </cell>
          <cell r="P5" t="str">
            <v>Buy</v>
          </cell>
        </row>
        <row r="6">
          <cell r="A6" t="str">
            <v>100028-002</v>
          </cell>
          <cell r="B6" t="str">
            <v>Frozen</v>
          </cell>
          <cell r="D6" t="str">
            <v>*</v>
          </cell>
          <cell r="E6" t="str">
            <v>*</v>
          </cell>
          <cell r="F6">
            <v>1</v>
          </cell>
          <cell r="G6">
            <v>0</v>
          </cell>
          <cell r="H6">
            <v>3.7389492</v>
          </cell>
          <cell r="I6">
            <v>3.7389492</v>
          </cell>
          <cell r="N6" t="str">
            <v>35.00.000.5101.000000.0000.0000</v>
          </cell>
          <cell r="O6" t="str">
            <v>35.00.000.4010.000000.0000.0000</v>
          </cell>
          <cell r="P6" t="str">
            <v>Buy</v>
          </cell>
        </row>
        <row r="7">
          <cell r="A7" t="str">
            <v>100028-003</v>
          </cell>
          <cell r="B7" t="str">
            <v>Frozen</v>
          </cell>
          <cell r="D7" t="str">
            <v>*</v>
          </cell>
          <cell r="E7" t="str">
            <v>*</v>
          </cell>
          <cell r="F7">
            <v>1</v>
          </cell>
          <cell r="G7">
            <v>0</v>
          </cell>
          <cell r="H7">
            <v>3.6814779999999998</v>
          </cell>
          <cell r="I7">
            <v>3.6814779999999998</v>
          </cell>
          <cell r="N7" t="str">
            <v>35.00.000.5101.000000.0000.0000</v>
          </cell>
          <cell r="O7" t="str">
            <v>35.00.000.4010.000000.0000.0000</v>
          </cell>
          <cell r="P7" t="str">
            <v>Buy</v>
          </cell>
        </row>
        <row r="8">
          <cell r="A8" t="str">
            <v>100049-001</v>
          </cell>
          <cell r="B8" t="str">
            <v>Frozen</v>
          </cell>
          <cell r="D8" t="str">
            <v>*</v>
          </cell>
          <cell r="E8" t="str">
            <v>*</v>
          </cell>
          <cell r="F8">
            <v>1</v>
          </cell>
          <cell r="G8">
            <v>0</v>
          </cell>
          <cell r="H8">
            <v>0</v>
          </cell>
          <cell r="N8" t="str">
            <v>35.00.000.5101.000000.0000.0000</v>
          </cell>
          <cell r="O8" t="str">
            <v>35.00.000.4010.000000.0000.0000</v>
          </cell>
          <cell r="P8" t="str">
            <v>Make</v>
          </cell>
        </row>
        <row r="9">
          <cell r="A9" t="str">
            <v>100059-001</v>
          </cell>
          <cell r="B9" t="str">
            <v>Frozen</v>
          </cell>
          <cell r="D9" t="str">
            <v>*</v>
          </cell>
          <cell r="F9">
            <v>1</v>
          </cell>
          <cell r="G9">
            <v>0</v>
          </cell>
          <cell r="H9">
            <v>0</v>
          </cell>
          <cell r="N9" t="str">
            <v>35.00.000.5101.000000.0000.0000</v>
          </cell>
          <cell r="O9" t="str">
            <v>35.00.000.4010.000000.0000.0000</v>
          </cell>
          <cell r="P9" t="str">
            <v>Buy</v>
          </cell>
        </row>
        <row r="10">
          <cell r="A10" t="str">
            <v>100060-001</v>
          </cell>
          <cell r="B10" t="str">
            <v>Frozen</v>
          </cell>
          <cell r="D10" t="str">
            <v>*</v>
          </cell>
          <cell r="F10">
            <v>1</v>
          </cell>
          <cell r="G10">
            <v>0</v>
          </cell>
          <cell r="H10">
            <v>0</v>
          </cell>
          <cell r="N10" t="str">
            <v>35.00.000.5101.000000.0000.0000</v>
          </cell>
          <cell r="O10" t="str">
            <v>35.00.000.4010.000000.0000.0000</v>
          </cell>
          <cell r="P10" t="str">
            <v>Buy</v>
          </cell>
        </row>
        <row r="11">
          <cell r="A11" t="str">
            <v>100142-001</v>
          </cell>
          <cell r="B11" t="str">
            <v>Frozen</v>
          </cell>
          <cell r="D11" t="str">
            <v>*</v>
          </cell>
          <cell r="E11" t="str">
            <v>*</v>
          </cell>
          <cell r="F11">
            <v>1</v>
          </cell>
          <cell r="G11">
            <v>0</v>
          </cell>
          <cell r="H11">
            <v>0</v>
          </cell>
          <cell r="N11" t="str">
            <v>35.00.000.5101.000000.0000.0000</v>
          </cell>
          <cell r="O11" t="str">
            <v>35.00.000.4010.000000.0000.0000</v>
          </cell>
          <cell r="P11" t="str">
            <v>Make</v>
          </cell>
        </row>
        <row r="12">
          <cell r="A12" t="str">
            <v>100151-001</v>
          </cell>
          <cell r="B12" t="str">
            <v>Frozen</v>
          </cell>
          <cell r="D12" t="str">
            <v>*</v>
          </cell>
          <cell r="E12" t="str">
            <v>*</v>
          </cell>
          <cell r="F12">
            <v>1</v>
          </cell>
          <cell r="G12">
            <v>0</v>
          </cell>
          <cell r="H12">
            <v>7.0251000000000001</v>
          </cell>
          <cell r="I12">
            <v>7.0251000000000001</v>
          </cell>
          <cell r="N12" t="str">
            <v>35.00.000.5101.000000.0000.0000</v>
          </cell>
          <cell r="O12" t="str">
            <v>35.00.000.4010.000000.0000.0000</v>
          </cell>
          <cell r="P12" t="str">
            <v>Buy</v>
          </cell>
        </row>
        <row r="13">
          <cell r="A13" t="str">
            <v>100152-001</v>
          </cell>
          <cell r="B13" t="str">
            <v>Frozen</v>
          </cell>
          <cell r="D13" t="str">
            <v>*</v>
          </cell>
          <cell r="E13" t="str">
            <v>*</v>
          </cell>
          <cell r="F13">
            <v>1</v>
          </cell>
          <cell r="G13">
            <v>0</v>
          </cell>
          <cell r="H13">
            <v>3.9286186000000001</v>
          </cell>
          <cell r="I13">
            <v>3.9286186000000001</v>
          </cell>
          <cell r="N13" t="str">
            <v>35.00.000.5101.000000.0000.0000</v>
          </cell>
          <cell r="O13" t="str">
            <v>35.00.000.4010.000000.0000.0000</v>
          </cell>
          <cell r="P13" t="str">
            <v>Buy</v>
          </cell>
        </row>
        <row r="14">
          <cell r="A14" t="str">
            <v>100171-001</v>
          </cell>
          <cell r="B14" t="str">
            <v>Frozen</v>
          </cell>
          <cell r="D14" t="str">
            <v>*</v>
          </cell>
          <cell r="E14" t="str">
            <v>*</v>
          </cell>
          <cell r="F14">
            <v>1</v>
          </cell>
          <cell r="G14">
            <v>0</v>
          </cell>
          <cell r="H14">
            <v>11.036347599999999</v>
          </cell>
          <cell r="I14">
            <v>11.036347599999999</v>
          </cell>
          <cell r="N14" t="str">
            <v>35.00.000.5101.000000.0000.0000</v>
          </cell>
          <cell r="O14" t="str">
            <v>35.00.000.4010.000000.0000.0000</v>
          </cell>
          <cell r="P14" t="str">
            <v>Buy</v>
          </cell>
        </row>
        <row r="15">
          <cell r="A15" t="str">
            <v>100172-001</v>
          </cell>
          <cell r="B15" t="str">
            <v>Frozen</v>
          </cell>
          <cell r="D15" t="str">
            <v>*</v>
          </cell>
          <cell r="E15" t="str">
            <v>*</v>
          </cell>
          <cell r="F15">
            <v>1</v>
          </cell>
          <cell r="G15">
            <v>0</v>
          </cell>
          <cell r="H15">
            <v>7.0376950000000003</v>
          </cell>
          <cell r="I15">
            <v>7.0376950000000003</v>
          </cell>
          <cell r="N15" t="str">
            <v>35.00.000.5101.000000.0000.0000</v>
          </cell>
          <cell r="O15" t="str">
            <v>35.00.000.4010.000000.0000.0000</v>
          </cell>
          <cell r="P15" t="str">
            <v>Buy</v>
          </cell>
        </row>
        <row r="16">
          <cell r="A16" t="str">
            <v>100192-001</v>
          </cell>
          <cell r="B16" t="str">
            <v>Frozen</v>
          </cell>
          <cell r="D16" t="str">
            <v>*</v>
          </cell>
          <cell r="E16" t="str">
            <v>*</v>
          </cell>
          <cell r="F16">
            <v>1</v>
          </cell>
          <cell r="G16">
            <v>0</v>
          </cell>
          <cell r="H16">
            <v>12.14662</v>
          </cell>
          <cell r="I16">
            <v>12.14662</v>
          </cell>
          <cell r="N16" t="str">
            <v>35.00.000.5102.000000.0000.0000</v>
          </cell>
          <cell r="O16" t="str">
            <v>35.00.000.4110.000000.0000.0000</v>
          </cell>
          <cell r="P16" t="str">
            <v>Buy</v>
          </cell>
        </row>
        <row r="17">
          <cell r="A17" t="str">
            <v>100199-001</v>
          </cell>
          <cell r="B17" t="str">
            <v>Frozen</v>
          </cell>
          <cell r="D17" t="str">
            <v>*</v>
          </cell>
          <cell r="E17" t="str">
            <v>*</v>
          </cell>
          <cell r="F17">
            <v>1</v>
          </cell>
          <cell r="G17">
            <v>0</v>
          </cell>
          <cell r="H17">
            <v>23.105319999999999</v>
          </cell>
          <cell r="I17">
            <v>23.105319999999999</v>
          </cell>
          <cell r="N17" t="str">
            <v>35.00.000.5102.000000.0000.0000</v>
          </cell>
          <cell r="O17" t="str">
            <v>35.00.000.4110.000000.0000.0000</v>
          </cell>
          <cell r="P17" t="str">
            <v>Buy</v>
          </cell>
        </row>
        <row r="18">
          <cell r="A18" t="str">
            <v>100204-001</v>
          </cell>
          <cell r="B18" t="str">
            <v>Frozen</v>
          </cell>
          <cell r="D18" t="str">
            <v>*</v>
          </cell>
          <cell r="F18">
            <v>1</v>
          </cell>
          <cell r="G18">
            <v>0</v>
          </cell>
          <cell r="H18">
            <v>5.1179692000000001</v>
          </cell>
          <cell r="I18">
            <v>5.1179692000000001</v>
          </cell>
          <cell r="N18" t="str">
            <v>35.00.000.5102.000000.0000.0000</v>
          </cell>
          <cell r="O18" t="str">
            <v>35.00.000.4110.000000.0000.0000</v>
          </cell>
          <cell r="P18" t="str">
            <v>Buy</v>
          </cell>
        </row>
        <row r="19">
          <cell r="A19" t="str">
            <v>200001-001</v>
          </cell>
          <cell r="B19" t="str">
            <v>Frozen</v>
          </cell>
          <cell r="D19" t="str">
            <v>*</v>
          </cell>
          <cell r="E19" t="str">
            <v>*</v>
          </cell>
          <cell r="F19">
            <v>1</v>
          </cell>
          <cell r="G19">
            <v>0</v>
          </cell>
          <cell r="H19">
            <v>22.949660000000002</v>
          </cell>
          <cell r="I19">
            <v>22.949660000000002</v>
          </cell>
          <cell r="N19" t="str">
            <v>35.00.000.5101.000000.0000.0000</v>
          </cell>
          <cell r="O19" t="str">
            <v>35.00.000.4010.000000.0000.0000</v>
          </cell>
          <cell r="P19" t="str">
            <v>Make</v>
          </cell>
        </row>
        <row r="20">
          <cell r="A20" t="str">
            <v>200002-001</v>
          </cell>
          <cell r="B20" t="str">
            <v>Frozen</v>
          </cell>
          <cell r="D20" t="str">
            <v>*</v>
          </cell>
          <cell r="F20">
            <v>1</v>
          </cell>
          <cell r="G20">
            <v>0</v>
          </cell>
          <cell r="H20">
            <v>0.18873000000000001</v>
          </cell>
          <cell r="I20">
            <v>0.18873000000000001</v>
          </cell>
          <cell r="N20" t="str">
            <v>35.00.000.5101.000000.0000.0000</v>
          </cell>
          <cell r="O20" t="str">
            <v>35.00.000.4010.000000.0000.0000</v>
          </cell>
          <cell r="P20" t="str">
            <v>Buy</v>
          </cell>
        </row>
        <row r="21">
          <cell r="A21" t="str">
            <v>200003-001</v>
          </cell>
          <cell r="B21" t="str">
            <v>Frozen</v>
          </cell>
          <cell r="D21" t="str">
            <v>*</v>
          </cell>
          <cell r="E21" t="str">
            <v>*</v>
          </cell>
          <cell r="F21">
            <v>1</v>
          </cell>
          <cell r="G21">
            <v>0</v>
          </cell>
          <cell r="H21">
            <v>22.633859999999999</v>
          </cell>
          <cell r="I21">
            <v>22.633859999999999</v>
          </cell>
          <cell r="N21" t="str">
            <v>35.00.000.5101.000000.0000.0000</v>
          </cell>
          <cell r="O21" t="str">
            <v>35.00.000.4010.000000.0000.0000</v>
          </cell>
          <cell r="P21" t="str">
            <v>Make</v>
          </cell>
        </row>
        <row r="22">
          <cell r="A22" t="str">
            <v>200004-001</v>
          </cell>
          <cell r="B22" t="str">
            <v>Frozen</v>
          </cell>
          <cell r="D22" t="str">
            <v>*</v>
          </cell>
          <cell r="F22">
            <v>1</v>
          </cell>
          <cell r="G22">
            <v>0</v>
          </cell>
          <cell r="H22">
            <v>126.8554</v>
          </cell>
          <cell r="I22">
            <v>126.8554</v>
          </cell>
          <cell r="N22" t="str">
            <v>35.00.000.5101.000000.0000.0000</v>
          </cell>
          <cell r="O22" t="str">
            <v>35.00.000.4010.000000.0000.0000</v>
          </cell>
          <cell r="P22" t="str">
            <v>Buy</v>
          </cell>
        </row>
        <row r="23">
          <cell r="A23" t="str">
            <v>200005-001</v>
          </cell>
          <cell r="B23" t="str">
            <v>Frozen</v>
          </cell>
          <cell r="D23" t="str">
            <v>*</v>
          </cell>
          <cell r="E23" t="str">
            <v>*</v>
          </cell>
          <cell r="F23">
            <v>1</v>
          </cell>
          <cell r="G23">
            <v>0</v>
          </cell>
          <cell r="H23">
            <v>20.794460000000001</v>
          </cell>
          <cell r="I23">
            <v>20.794460000000001</v>
          </cell>
          <cell r="N23" t="str">
            <v>35.00.000.5101.000000.0000.0000</v>
          </cell>
          <cell r="O23" t="str">
            <v>35.00.000.4010.000000.0000.0000</v>
          </cell>
          <cell r="P23" t="str">
            <v>Make</v>
          </cell>
        </row>
        <row r="24">
          <cell r="A24" t="str">
            <v>200006-001</v>
          </cell>
          <cell r="B24" t="str">
            <v>Frozen</v>
          </cell>
          <cell r="D24" t="str">
            <v>*</v>
          </cell>
          <cell r="F24">
            <v>1</v>
          </cell>
          <cell r="G24">
            <v>0</v>
          </cell>
          <cell r="H24">
            <v>1.57064</v>
          </cell>
          <cell r="I24">
            <v>1.57064</v>
          </cell>
          <cell r="N24" t="str">
            <v>35.00.000.5101.000000.0000.0000</v>
          </cell>
          <cell r="O24" t="str">
            <v>35.00.000.4010.000000.0000.0000</v>
          </cell>
          <cell r="P24" t="str">
            <v>Buy</v>
          </cell>
        </row>
        <row r="25">
          <cell r="A25" t="str">
            <v>200007-001</v>
          </cell>
          <cell r="B25" t="str">
            <v>Frozen</v>
          </cell>
          <cell r="D25" t="str">
            <v>*</v>
          </cell>
          <cell r="F25">
            <v>1</v>
          </cell>
          <cell r="G25">
            <v>0</v>
          </cell>
          <cell r="H25">
            <v>1.2707200000000001</v>
          </cell>
          <cell r="I25">
            <v>1.2707200000000001</v>
          </cell>
          <cell r="N25" t="str">
            <v>35.00.000.5101.000000.0000.0000</v>
          </cell>
          <cell r="O25" t="str">
            <v>35.00.000.4010.000000.0000.0000</v>
          </cell>
          <cell r="P25" t="str">
            <v>Buy</v>
          </cell>
        </row>
        <row r="26">
          <cell r="A26" t="str">
            <v>200009-001</v>
          </cell>
          <cell r="B26" t="str">
            <v>Frozen</v>
          </cell>
          <cell r="D26" t="str">
            <v>*</v>
          </cell>
          <cell r="F26">
            <v>1</v>
          </cell>
          <cell r="G26">
            <v>0</v>
          </cell>
          <cell r="H26">
            <v>0.69889999999999997</v>
          </cell>
          <cell r="I26">
            <v>0.69889999999999997</v>
          </cell>
          <cell r="N26" t="str">
            <v>35.00.000.5101.000000.0000.0000</v>
          </cell>
          <cell r="O26" t="str">
            <v>35.00.000.4010.000000.0000.0000</v>
          </cell>
          <cell r="P26" t="str">
            <v>Buy</v>
          </cell>
        </row>
        <row r="27">
          <cell r="A27" t="str">
            <v>200010-001</v>
          </cell>
          <cell r="B27" t="str">
            <v>Frozen</v>
          </cell>
          <cell r="D27" t="str">
            <v>*</v>
          </cell>
          <cell r="F27">
            <v>1</v>
          </cell>
          <cell r="G27">
            <v>0</v>
          </cell>
          <cell r="H27">
            <v>0.12706999999999999</v>
          </cell>
          <cell r="I27">
            <v>0.12706999999999999</v>
          </cell>
          <cell r="N27" t="str">
            <v>35.00.000.5101.000000.0000.0000</v>
          </cell>
          <cell r="O27" t="str">
            <v>35.00.000.4010.000000.0000.0000</v>
          </cell>
          <cell r="P27" t="str">
            <v>Buy</v>
          </cell>
        </row>
        <row r="28">
          <cell r="A28" t="str">
            <v>200011-001</v>
          </cell>
          <cell r="B28" t="str">
            <v>Frozen</v>
          </cell>
          <cell r="D28" t="str">
            <v>*</v>
          </cell>
          <cell r="E28" t="str">
            <v>*</v>
          </cell>
          <cell r="F28">
            <v>1</v>
          </cell>
          <cell r="G28">
            <v>0</v>
          </cell>
          <cell r="H28">
            <v>16.984490000000001</v>
          </cell>
          <cell r="I28">
            <v>16.984490000000001</v>
          </cell>
          <cell r="N28" t="str">
            <v>35.00.000.5101.000000.0000.0000</v>
          </cell>
          <cell r="O28" t="str">
            <v>35.00.000.4010.000000.0000.0000</v>
          </cell>
          <cell r="P28" t="str">
            <v>Make</v>
          </cell>
        </row>
        <row r="29">
          <cell r="A29" t="str">
            <v>200012-001</v>
          </cell>
          <cell r="B29" t="str">
            <v>Frozen</v>
          </cell>
          <cell r="D29" t="str">
            <v>*</v>
          </cell>
          <cell r="F29">
            <v>1</v>
          </cell>
          <cell r="G29">
            <v>0</v>
          </cell>
          <cell r="H29">
            <v>0.77325999999999995</v>
          </cell>
          <cell r="I29">
            <v>0.77325999999999995</v>
          </cell>
          <cell r="N29" t="str">
            <v>35.00.000.5101.000000.0000.0000</v>
          </cell>
          <cell r="O29" t="str">
            <v>35.00.000.4010.000000.0000.0000</v>
          </cell>
          <cell r="P29" t="str">
            <v>Buy</v>
          </cell>
        </row>
        <row r="30">
          <cell r="A30" t="str">
            <v>200012-005</v>
          </cell>
          <cell r="B30" t="str">
            <v>Frozen</v>
          </cell>
          <cell r="D30" t="str">
            <v>*</v>
          </cell>
          <cell r="F30">
            <v>1</v>
          </cell>
          <cell r="G30">
            <v>0</v>
          </cell>
          <cell r="H30">
            <v>1.2996000000000001</v>
          </cell>
          <cell r="I30">
            <v>1.2996000000000001</v>
          </cell>
          <cell r="N30" t="str">
            <v>35.00.000.5101.000000.0000.0000</v>
          </cell>
          <cell r="O30" t="str">
            <v>35.00.000.4010.000000.0000.0000</v>
          </cell>
          <cell r="P30" t="str">
            <v>Buy</v>
          </cell>
        </row>
        <row r="31">
          <cell r="A31" t="str">
            <v>200012-006</v>
          </cell>
          <cell r="B31" t="str">
            <v>Frozen</v>
          </cell>
          <cell r="D31" t="str">
            <v>*</v>
          </cell>
          <cell r="F31">
            <v>1</v>
          </cell>
          <cell r="G31">
            <v>0</v>
          </cell>
          <cell r="H31">
            <v>1.8714200000000001</v>
          </cell>
          <cell r="I31">
            <v>1.8714200000000001</v>
          </cell>
          <cell r="N31" t="str">
            <v>35.00.000.5101.000000.0000.0000</v>
          </cell>
          <cell r="O31" t="str">
            <v>35.00.000.4010.000000.0000.0000</v>
          </cell>
          <cell r="P31" t="str">
            <v>Buy</v>
          </cell>
        </row>
        <row r="32">
          <cell r="A32" t="str">
            <v>200013-001</v>
          </cell>
          <cell r="B32" t="str">
            <v>Frozen</v>
          </cell>
          <cell r="D32" t="str">
            <v>*</v>
          </cell>
          <cell r="F32">
            <v>1</v>
          </cell>
          <cell r="G32">
            <v>0</v>
          </cell>
          <cell r="H32">
            <v>0.8</v>
          </cell>
          <cell r="I32">
            <v>0.8</v>
          </cell>
          <cell r="N32" t="str">
            <v>35.00.000.5101.000000.0000.0000</v>
          </cell>
          <cell r="O32" t="str">
            <v>35.00.000.4010.000000.0000.0000</v>
          </cell>
          <cell r="P32" t="str">
            <v>Buy</v>
          </cell>
        </row>
        <row r="33">
          <cell r="A33" t="str">
            <v>200013-003</v>
          </cell>
          <cell r="B33" t="str">
            <v>Frozen</v>
          </cell>
          <cell r="D33" t="str">
            <v>*</v>
          </cell>
          <cell r="F33">
            <v>1</v>
          </cell>
          <cell r="G33">
            <v>0</v>
          </cell>
          <cell r="H33">
            <v>1.19</v>
          </cell>
          <cell r="I33">
            <v>1.19</v>
          </cell>
          <cell r="N33" t="str">
            <v>35.00.000.5101.000000.0000.0000</v>
          </cell>
          <cell r="O33" t="str">
            <v>35.00.000.4010.000000.0000.0000</v>
          </cell>
          <cell r="P33" t="str">
            <v>Buy</v>
          </cell>
        </row>
        <row r="34">
          <cell r="A34" t="str">
            <v>200013-004</v>
          </cell>
          <cell r="B34" t="str">
            <v>Frozen</v>
          </cell>
          <cell r="D34" t="str">
            <v>*</v>
          </cell>
          <cell r="F34">
            <v>1</v>
          </cell>
          <cell r="G34">
            <v>0</v>
          </cell>
          <cell r="H34">
            <v>0.3</v>
          </cell>
          <cell r="I34">
            <v>0.3</v>
          </cell>
          <cell r="N34" t="str">
            <v>35.00.000.5101.000000.0000.0000</v>
          </cell>
          <cell r="O34" t="str">
            <v>35.00.000.4010.000000.0000.0000</v>
          </cell>
          <cell r="P34" t="str">
            <v>Buy</v>
          </cell>
        </row>
        <row r="35">
          <cell r="A35" t="str">
            <v>200013-005</v>
          </cell>
          <cell r="B35" t="str">
            <v>Frozen</v>
          </cell>
          <cell r="D35" t="str">
            <v>*</v>
          </cell>
          <cell r="F35">
            <v>1</v>
          </cell>
          <cell r="G35">
            <v>0</v>
          </cell>
          <cell r="H35">
            <v>1.1000000000000001</v>
          </cell>
          <cell r="I35">
            <v>1.1000000000000001</v>
          </cell>
          <cell r="N35" t="str">
            <v>35.00.000.5101.000000.0000.0000</v>
          </cell>
          <cell r="O35" t="str">
            <v>35.00.000.4010.000000.0000.0000</v>
          </cell>
          <cell r="P35" t="str">
            <v>Buy</v>
          </cell>
        </row>
        <row r="36">
          <cell r="A36" t="str">
            <v>200014-001</v>
          </cell>
          <cell r="B36" t="str">
            <v>Frozen</v>
          </cell>
          <cell r="D36" t="str">
            <v>*</v>
          </cell>
          <cell r="E36" t="str">
            <v>*</v>
          </cell>
          <cell r="F36">
            <v>1</v>
          </cell>
          <cell r="G36">
            <v>0</v>
          </cell>
          <cell r="H36">
            <v>8.0491299999999999</v>
          </cell>
          <cell r="I36">
            <v>8.0491299999999999</v>
          </cell>
          <cell r="N36" t="str">
            <v>35.00.000.5101.000000.0000.0000</v>
          </cell>
          <cell r="O36" t="str">
            <v>35.00.000.4010.000000.0000.0000</v>
          </cell>
          <cell r="P36" t="str">
            <v>Make</v>
          </cell>
        </row>
        <row r="37">
          <cell r="A37" t="str">
            <v>200015-001</v>
          </cell>
          <cell r="B37" t="str">
            <v>Frozen</v>
          </cell>
          <cell r="D37" t="str">
            <v>*</v>
          </cell>
          <cell r="E37" t="str">
            <v>*</v>
          </cell>
          <cell r="F37">
            <v>1</v>
          </cell>
          <cell r="G37">
            <v>0</v>
          </cell>
          <cell r="H37">
            <v>6.0421199999999997</v>
          </cell>
          <cell r="I37">
            <v>6.0421199999999997</v>
          </cell>
          <cell r="N37" t="str">
            <v>35.00.000.5101.000000.0000.0000</v>
          </cell>
          <cell r="O37" t="str">
            <v>35.00.000.4010.000000.0000.0000</v>
          </cell>
          <cell r="P37" t="str">
            <v>Make</v>
          </cell>
        </row>
        <row r="38">
          <cell r="A38" t="str">
            <v>200016-001</v>
          </cell>
          <cell r="B38" t="str">
            <v>Frozen</v>
          </cell>
          <cell r="D38" t="str">
            <v>*</v>
          </cell>
          <cell r="F38">
            <v>1</v>
          </cell>
          <cell r="G38">
            <v>0</v>
          </cell>
          <cell r="H38">
            <v>0.17327999999999999</v>
          </cell>
          <cell r="I38">
            <v>0.17327999999999999</v>
          </cell>
          <cell r="N38" t="str">
            <v>35.00.000.5101.000000.0000.0000</v>
          </cell>
          <cell r="O38" t="str">
            <v>35.00.000.4010.000000.0000.0000</v>
          </cell>
          <cell r="P38" t="str">
            <v>Buy</v>
          </cell>
        </row>
        <row r="39">
          <cell r="A39" t="str">
            <v>200016-002</v>
          </cell>
          <cell r="B39" t="str">
            <v>Frozen</v>
          </cell>
          <cell r="D39" t="str">
            <v>*</v>
          </cell>
          <cell r="F39">
            <v>1</v>
          </cell>
          <cell r="G39">
            <v>0</v>
          </cell>
          <cell r="H39">
            <v>4.3319999999999999</v>
          </cell>
          <cell r="I39">
            <v>4.3319999999999999</v>
          </cell>
          <cell r="N39" t="str">
            <v>35.00.000.5101.000000.0000.0000</v>
          </cell>
          <cell r="O39" t="str">
            <v>35.00.000.4010.000000.0000.0000</v>
          </cell>
          <cell r="P39" t="str">
            <v>Buy</v>
          </cell>
        </row>
        <row r="40">
          <cell r="A40" t="str">
            <v>200017-001</v>
          </cell>
          <cell r="B40" t="str">
            <v>Frozen</v>
          </cell>
          <cell r="D40" t="str">
            <v>*</v>
          </cell>
          <cell r="F40">
            <v>1</v>
          </cell>
          <cell r="G40">
            <v>0</v>
          </cell>
          <cell r="H40">
            <v>1.6606000000000001</v>
          </cell>
          <cell r="I40">
            <v>1.6606000000000001</v>
          </cell>
          <cell r="N40" t="str">
            <v>35.00.000.5101.000000.0000.0000</v>
          </cell>
          <cell r="O40" t="str">
            <v>35.00.000.4010.000000.0000.0000</v>
          </cell>
          <cell r="P40" t="str">
            <v>Buy</v>
          </cell>
        </row>
        <row r="41">
          <cell r="A41" t="str">
            <v>200017-002</v>
          </cell>
          <cell r="B41" t="str">
            <v>Frozen</v>
          </cell>
          <cell r="D41" t="str">
            <v>*</v>
          </cell>
          <cell r="F41">
            <v>1</v>
          </cell>
          <cell r="G41">
            <v>0</v>
          </cell>
          <cell r="H41">
            <v>7.9420000000000002</v>
          </cell>
          <cell r="I41">
            <v>7.9420000000000002</v>
          </cell>
          <cell r="N41" t="str">
            <v>35.00.000.5101.000000.0000.0000</v>
          </cell>
          <cell r="O41" t="str">
            <v>35.00.000.4010.000000.0000.0000</v>
          </cell>
          <cell r="P41" t="str">
            <v>Buy</v>
          </cell>
        </row>
        <row r="42">
          <cell r="A42" t="str">
            <v>200018-001</v>
          </cell>
          <cell r="B42" t="str">
            <v>Frozen</v>
          </cell>
          <cell r="D42" t="str">
            <v>*</v>
          </cell>
          <cell r="F42">
            <v>1</v>
          </cell>
          <cell r="G42">
            <v>0</v>
          </cell>
          <cell r="H42">
            <v>0.35377999999999998</v>
          </cell>
          <cell r="I42">
            <v>0.35377999999999998</v>
          </cell>
          <cell r="N42" t="str">
            <v>35.00.000.5101.000000.0000.0000</v>
          </cell>
          <cell r="O42" t="str">
            <v>35.00.000.4010.000000.0000.0000</v>
          </cell>
          <cell r="P42" t="str">
            <v>Buy</v>
          </cell>
        </row>
        <row r="43">
          <cell r="A43" t="str">
            <v>200019-001</v>
          </cell>
          <cell r="B43" t="str">
            <v>Frozen</v>
          </cell>
          <cell r="D43" t="str">
            <v>*</v>
          </cell>
          <cell r="F43">
            <v>1</v>
          </cell>
          <cell r="G43">
            <v>0</v>
          </cell>
          <cell r="H43">
            <v>0.39273000000000002</v>
          </cell>
          <cell r="I43">
            <v>0.39273000000000002</v>
          </cell>
          <cell r="N43" t="str">
            <v>35.00.000.5101.000000.0000.0000</v>
          </cell>
          <cell r="O43" t="str">
            <v>35.00.000.4010.000000.0000.0000</v>
          </cell>
          <cell r="P43" t="str">
            <v>Buy</v>
          </cell>
        </row>
        <row r="44">
          <cell r="A44" t="str">
            <v>200019-002</v>
          </cell>
          <cell r="B44" t="str">
            <v>Frozen</v>
          </cell>
          <cell r="D44" t="str">
            <v>*</v>
          </cell>
          <cell r="F44">
            <v>1</v>
          </cell>
          <cell r="G44">
            <v>0</v>
          </cell>
          <cell r="H44">
            <v>0.19636000000000001</v>
          </cell>
          <cell r="I44">
            <v>0.19636000000000001</v>
          </cell>
          <cell r="N44" t="str">
            <v>35.00.000.5101.000000.0000.0000</v>
          </cell>
          <cell r="O44" t="str">
            <v>35.00.000.4010.000000.0000.0000</v>
          </cell>
          <cell r="P44" t="str">
            <v>Buy</v>
          </cell>
        </row>
        <row r="45">
          <cell r="A45" t="str">
            <v>200019-003</v>
          </cell>
          <cell r="B45" t="str">
            <v>Frozen</v>
          </cell>
          <cell r="D45" t="str">
            <v>*</v>
          </cell>
          <cell r="F45">
            <v>1</v>
          </cell>
          <cell r="G45">
            <v>0</v>
          </cell>
          <cell r="H45">
            <v>0.49091000000000001</v>
          </cell>
          <cell r="I45">
            <v>0.49091000000000001</v>
          </cell>
          <cell r="N45" t="str">
            <v>35.00.000.5101.000000.0000.0000</v>
          </cell>
          <cell r="O45" t="str">
            <v>35.00.000.4010.000000.0000.0000</v>
          </cell>
          <cell r="P45" t="str">
            <v>Buy</v>
          </cell>
        </row>
        <row r="46">
          <cell r="A46" t="str">
            <v>200019-004</v>
          </cell>
          <cell r="B46" t="str">
            <v>Frozen</v>
          </cell>
          <cell r="D46" t="str">
            <v>*</v>
          </cell>
          <cell r="F46">
            <v>1</v>
          </cell>
          <cell r="G46">
            <v>0</v>
          </cell>
          <cell r="H46">
            <v>0.32727000000000001</v>
          </cell>
          <cell r="I46">
            <v>0.32727000000000001</v>
          </cell>
          <cell r="N46" t="str">
            <v>35.00.000.5102.000000.0000.0000</v>
          </cell>
          <cell r="O46" t="str">
            <v>35.00.000.4110.000000.0000.0000</v>
          </cell>
          <cell r="P46" t="str">
            <v>Buy</v>
          </cell>
        </row>
        <row r="47">
          <cell r="A47" t="str">
            <v>200025-002</v>
          </cell>
          <cell r="B47" t="str">
            <v>Frozen</v>
          </cell>
          <cell r="D47" t="str">
            <v>*</v>
          </cell>
          <cell r="F47">
            <v>1</v>
          </cell>
          <cell r="G47">
            <v>0</v>
          </cell>
          <cell r="H47">
            <v>924.16</v>
          </cell>
          <cell r="I47">
            <v>924.16</v>
          </cell>
          <cell r="N47" t="str">
            <v>35.00.000.5101.000000.0000.0000</v>
          </cell>
          <cell r="O47" t="str">
            <v>35.00.000.4010.000000.0000.0000</v>
          </cell>
          <cell r="P47" t="str">
            <v>Buy</v>
          </cell>
        </row>
        <row r="48">
          <cell r="A48" t="str">
            <v>200026-001</v>
          </cell>
          <cell r="B48" t="str">
            <v>Frozen</v>
          </cell>
          <cell r="D48" t="str">
            <v>*</v>
          </cell>
          <cell r="E48" t="str">
            <v>*</v>
          </cell>
          <cell r="F48">
            <v>1</v>
          </cell>
          <cell r="G48">
            <v>0</v>
          </cell>
          <cell r="H48">
            <v>8.0171299999999999</v>
          </cell>
          <cell r="I48">
            <v>8.0171299999999999</v>
          </cell>
          <cell r="N48" t="str">
            <v>35.00.000.5101.000000.0000.0000</v>
          </cell>
          <cell r="O48" t="str">
            <v>35.00.000.4010.000000.0000.0000</v>
          </cell>
          <cell r="P48" t="str">
            <v>Make</v>
          </cell>
        </row>
        <row r="49">
          <cell r="A49" t="str">
            <v>200027-001</v>
          </cell>
          <cell r="B49" t="str">
            <v>Frozen</v>
          </cell>
          <cell r="D49" t="str">
            <v>*</v>
          </cell>
          <cell r="E49" t="str">
            <v>*</v>
          </cell>
          <cell r="F49">
            <v>1</v>
          </cell>
          <cell r="G49">
            <v>0</v>
          </cell>
          <cell r="H49">
            <v>5.8514600000000003</v>
          </cell>
          <cell r="I49">
            <v>5.8514600000000003</v>
          </cell>
          <cell r="N49" t="str">
            <v>35.00.000.5101.000000.0000.0000</v>
          </cell>
          <cell r="O49" t="str">
            <v>35.00.000.4010.000000.0000.0000</v>
          </cell>
          <cell r="P49" t="str">
            <v>Make</v>
          </cell>
        </row>
        <row r="50">
          <cell r="A50" t="str">
            <v>200028-001</v>
          </cell>
          <cell r="B50" t="str">
            <v>Frozen</v>
          </cell>
          <cell r="D50" t="str">
            <v>*</v>
          </cell>
          <cell r="F50">
            <v>1</v>
          </cell>
          <cell r="G50">
            <v>0</v>
          </cell>
          <cell r="H50">
            <v>0.12706999999999999</v>
          </cell>
          <cell r="I50">
            <v>0.12706999999999999</v>
          </cell>
          <cell r="N50" t="str">
            <v>35.00.000.5101.000000.0000.0000</v>
          </cell>
          <cell r="O50" t="str">
            <v>35.00.000.4010.000000.0000.0000</v>
          </cell>
          <cell r="P50" t="str">
            <v>Buy</v>
          </cell>
        </row>
        <row r="51">
          <cell r="A51" t="str">
            <v>200032-001</v>
          </cell>
          <cell r="B51" t="str">
            <v>Frozen</v>
          </cell>
          <cell r="D51" t="str">
            <v>*</v>
          </cell>
          <cell r="E51" t="str">
            <v>*</v>
          </cell>
          <cell r="F51">
            <v>1</v>
          </cell>
          <cell r="G51">
            <v>0</v>
          </cell>
          <cell r="H51">
            <v>1.5570000000000001E-2</v>
          </cell>
          <cell r="I51">
            <v>1.5570000000000001E-2</v>
          </cell>
          <cell r="N51" t="str">
            <v>35.00.000.5101.000000.0000.0000</v>
          </cell>
          <cell r="O51" t="str">
            <v>35.00.000.4010.000000.0000.0000</v>
          </cell>
          <cell r="P51" t="str">
            <v>Make</v>
          </cell>
        </row>
        <row r="52">
          <cell r="A52" t="str">
            <v>200033-001</v>
          </cell>
          <cell r="B52" t="str">
            <v>Frozen</v>
          </cell>
          <cell r="D52" t="str">
            <v>*</v>
          </cell>
          <cell r="E52" t="str">
            <v>*</v>
          </cell>
          <cell r="F52">
            <v>1</v>
          </cell>
          <cell r="G52">
            <v>0</v>
          </cell>
          <cell r="H52">
            <v>1.57064</v>
          </cell>
          <cell r="I52">
            <v>1.57064</v>
          </cell>
          <cell r="N52" t="str">
            <v>35.00.000.5101.000000.0000.0000</v>
          </cell>
          <cell r="O52" t="str">
            <v>35.00.000.4010.000000.0000.0000</v>
          </cell>
          <cell r="P52" t="str">
            <v>Make</v>
          </cell>
        </row>
        <row r="53">
          <cell r="A53" t="str">
            <v>200047-002</v>
          </cell>
          <cell r="B53" t="str">
            <v>Frozen</v>
          </cell>
          <cell r="D53" t="str">
            <v>*</v>
          </cell>
          <cell r="F53">
            <v>1</v>
          </cell>
          <cell r="G53">
            <v>0</v>
          </cell>
          <cell r="H53">
            <v>0</v>
          </cell>
          <cell r="N53" t="str">
            <v>35.00.000.5102.000000.0000.0000</v>
          </cell>
          <cell r="O53" t="str">
            <v>35.00.000.4110.000000.0000.0000</v>
          </cell>
          <cell r="P53" t="str">
            <v>Buy</v>
          </cell>
        </row>
        <row r="54">
          <cell r="A54" t="str">
            <v>200058-001</v>
          </cell>
          <cell r="B54" t="str">
            <v>Frozen</v>
          </cell>
          <cell r="D54" t="str">
            <v>*</v>
          </cell>
          <cell r="F54">
            <v>1</v>
          </cell>
          <cell r="G54">
            <v>0</v>
          </cell>
          <cell r="H54">
            <v>1.5229900000000001</v>
          </cell>
          <cell r="I54">
            <v>1.5229900000000001</v>
          </cell>
          <cell r="N54" t="str">
            <v>35.00.000.5101.000000.0000.0000</v>
          </cell>
          <cell r="O54" t="str">
            <v>35.00.000.4010.000000.0000.0000</v>
          </cell>
          <cell r="P54" t="str">
            <v>Buy</v>
          </cell>
        </row>
        <row r="55">
          <cell r="A55" t="str">
            <v>200059-001</v>
          </cell>
          <cell r="B55" t="str">
            <v>Frozen</v>
          </cell>
          <cell r="D55" t="str">
            <v>*</v>
          </cell>
          <cell r="F55">
            <v>1</v>
          </cell>
          <cell r="G55">
            <v>0</v>
          </cell>
          <cell r="H55">
            <v>1.5229900000000001</v>
          </cell>
          <cell r="I55">
            <v>1.5229900000000001</v>
          </cell>
          <cell r="N55" t="str">
            <v>35.00.000.5101.000000.0000.0000</v>
          </cell>
          <cell r="O55" t="str">
            <v>35.00.000.4010.000000.0000.0000</v>
          </cell>
          <cell r="P55" t="str">
            <v>Buy</v>
          </cell>
        </row>
        <row r="56">
          <cell r="A56" t="str">
            <v>200060-001</v>
          </cell>
          <cell r="B56" t="str">
            <v>Frozen</v>
          </cell>
          <cell r="D56" t="str">
            <v>*</v>
          </cell>
          <cell r="F56">
            <v>1</v>
          </cell>
          <cell r="G56">
            <v>0</v>
          </cell>
          <cell r="H56">
            <v>1.35375</v>
          </cell>
          <cell r="I56">
            <v>1.35375</v>
          </cell>
          <cell r="N56" t="str">
            <v>35.00.000.5101.000000.0000.0000</v>
          </cell>
          <cell r="O56" t="str">
            <v>35.00.000.4010.000000.0000.0000</v>
          </cell>
          <cell r="P56" t="str">
            <v>Buy</v>
          </cell>
        </row>
        <row r="57">
          <cell r="A57" t="str">
            <v>200061-001</v>
          </cell>
          <cell r="B57" t="str">
            <v>Frozen</v>
          </cell>
          <cell r="D57" t="str">
            <v>*</v>
          </cell>
          <cell r="F57">
            <v>1</v>
          </cell>
          <cell r="G57">
            <v>0</v>
          </cell>
          <cell r="H57">
            <v>1.35375</v>
          </cell>
          <cell r="I57">
            <v>1.35375</v>
          </cell>
          <cell r="N57" t="str">
            <v>35.00.000.5101.000000.0000.0000</v>
          </cell>
          <cell r="O57" t="str">
            <v>35.00.000.4010.000000.0000.0000</v>
          </cell>
          <cell r="P57" t="str">
            <v>Buy</v>
          </cell>
        </row>
        <row r="58">
          <cell r="A58" t="str">
            <v>200062-001</v>
          </cell>
          <cell r="B58" t="str">
            <v>Frozen</v>
          </cell>
          <cell r="D58" t="str">
            <v>*</v>
          </cell>
          <cell r="F58">
            <v>1</v>
          </cell>
          <cell r="G58">
            <v>0</v>
          </cell>
          <cell r="H58">
            <v>0.45124999999999998</v>
          </cell>
          <cell r="I58">
            <v>0.45124999999999998</v>
          </cell>
          <cell r="N58" t="str">
            <v>35.00.000.5101.000000.0000.0000</v>
          </cell>
          <cell r="O58" t="str">
            <v>35.00.000.4010.000000.0000.0000</v>
          </cell>
          <cell r="P58" t="str">
            <v>Buy</v>
          </cell>
        </row>
        <row r="59">
          <cell r="A59" t="str">
            <v>200065-001</v>
          </cell>
          <cell r="B59" t="str">
            <v>Frozen</v>
          </cell>
          <cell r="D59" t="str">
            <v>*</v>
          </cell>
          <cell r="F59">
            <v>1</v>
          </cell>
          <cell r="G59">
            <v>0</v>
          </cell>
          <cell r="H59">
            <v>0.11262999999999999</v>
          </cell>
          <cell r="I59">
            <v>0.11262999999999999</v>
          </cell>
          <cell r="N59" t="str">
            <v>35.00.000.5101.000000.0000.0000</v>
          </cell>
          <cell r="O59" t="str">
            <v>35.00.000.4010.000000.0000.0000</v>
          </cell>
          <cell r="P59" t="str">
            <v>Buy</v>
          </cell>
        </row>
        <row r="60">
          <cell r="A60" t="str">
            <v>200067-001</v>
          </cell>
          <cell r="B60" t="str">
            <v>Frozen</v>
          </cell>
          <cell r="D60" t="str">
            <v>*</v>
          </cell>
          <cell r="F60">
            <v>1</v>
          </cell>
          <cell r="G60">
            <v>0</v>
          </cell>
          <cell r="H60">
            <v>2.8000000000000001E-2</v>
          </cell>
          <cell r="I60">
            <v>2.8000000000000001E-2</v>
          </cell>
          <cell r="N60" t="str">
            <v>35.00.000.5101.000000.0000.0000</v>
          </cell>
          <cell r="O60" t="str">
            <v>35.00.000.4010.000000.0000.0000</v>
          </cell>
          <cell r="P60" t="str">
            <v>Buy</v>
          </cell>
        </row>
        <row r="61">
          <cell r="A61" t="str">
            <v>200068-001</v>
          </cell>
          <cell r="B61" t="str">
            <v>Frozen</v>
          </cell>
          <cell r="D61" t="str">
            <v>*</v>
          </cell>
          <cell r="F61">
            <v>1</v>
          </cell>
          <cell r="G61">
            <v>0</v>
          </cell>
          <cell r="H61">
            <v>5.0540000000000003</v>
          </cell>
          <cell r="I61">
            <v>5.0540000000000003</v>
          </cell>
          <cell r="N61" t="str">
            <v>35.00.000.5101.000000.0000.0000</v>
          </cell>
          <cell r="O61" t="str">
            <v>35.00.000.4010.000000.0000.0000</v>
          </cell>
          <cell r="P61" t="str">
            <v>Buy</v>
          </cell>
        </row>
        <row r="62">
          <cell r="A62" t="str">
            <v>200068-002</v>
          </cell>
          <cell r="B62" t="str">
            <v>Frozen</v>
          </cell>
          <cell r="D62" t="str">
            <v>*</v>
          </cell>
          <cell r="F62">
            <v>1</v>
          </cell>
          <cell r="G62">
            <v>0</v>
          </cell>
          <cell r="H62">
            <v>5.0540000000000003</v>
          </cell>
          <cell r="I62">
            <v>5.0540000000000003</v>
          </cell>
          <cell r="N62" t="str">
            <v>35.00.000.5101.000000.0000.0000</v>
          </cell>
          <cell r="O62" t="str">
            <v>35.00.000.4010.000000.0000.0000</v>
          </cell>
          <cell r="P62" t="str">
            <v>Buy</v>
          </cell>
        </row>
        <row r="63">
          <cell r="A63" t="str">
            <v>200070-001</v>
          </cell>
          <cell r="B63" t="str">
            <v>Frozen</v>
          </cell>
          <cell r="D63" t="str">
            <v>*</v>
          </cell>
          <cell r="F63">
            <v>1</v>
          </cell>
          <cell r="G63">
            <v>0</v>
          </cell>
          <cell r="H63">
            <v>2.4818799999999999</v>
          </cell>
          <cell r="I63">
            <v>2.4818799999999999</v>
          </cell>
          <cell r="N63" t="str">
            <v>35.00.000.5101.000000.0000.0000</v>
          </cell>
          <cell r="O63" t="str">
            <v>35.00.000.4010.000000.0000.0000</v>
          </cell>
          <cell r="P63" t="str">
            <v>Buy</v>
          </cell>
        </row>
        <row r="64">
          <cell r="A64" t="str">
            <v>200070-002</v>
          </cell>
          <cell r="B64" t="str">
            <v>Frozen</v>
          </cell>
          <cell r="D64" t="str">
            <v>*</v>
          </cell>
          <cell r="F64">
            <v>1</v>
          </cell>
          <cell r="G64">
            <v>0</v>
          </cell>
          <cell r="H64">
            <v>2.7075</v>
          </cell>
          <cell r="I64">
            <v>2.7075</v>
          </cell>
          <cell r="N64" t="str">
            <v>35.00.000.5101.000000.0000.0000</v>
          </cell>
          <cell r="O64" t="str">
            <v>35.00.000.4010.000000.0000.0000</v>
          </cell>
          <cell r="P64" t="str">
            <v>Buy</v>
          </cell>
        </row>
        <row r="65">
          <cell r="A65" t="str">
            <v>200071-001</v>
          </cell>
          <cell r="B65" t="str">
            <v>Frozen</v>
          </cell>
          <cell r="D65" t="str">
            <v>*</v>
          </cell>
          <cell r="F65">
            <v>1</v>
          </cell>
          <cell r="G65">
            <v>0</v>
          </cell>
          <cell r="H65">
            <v>9.6003600000000002</v>
          </cell>
          <cell r="I65">
            <v>9.6003600000000002</v>
          </cell>
          <cell r="N65" t="str">
            <v>35.00.000.5101.000000.0000.0000</v>
          </cell>
          <cell r="O65" t="str">
            <v>35.00.000.4010.000000.0000.0000</v>
          </cell>
          <cell r="P65" t="str">
            <v>Buy</v>
          </cell>
        </row>
        <row r="66">
          <cell r="A66" t="str">
            <v>200072-001</v>
          </cell>
          <cell r="B66" t="str">
            <v>Frozen</v>
          </cell>
          <cell r="D66" t="str">
            <v>*</v>
          </cell>
          <cell r="F66">
            <v>1</v>
          </cell>
          <cell r="G66">
            <v>0</v>
          </cell>
          <cell r="H66">
            <v>9.6003600000000002</v>
          </cell>
          <cell r="I66">
            <v>9.6003600000000002</v>
          </cell>
          <cell r="N66" t="str">
            <v>35.00.000.5101.000000.0000.0000</v>
          </cell>
          <cell r="O66" t="str">
            <v>35.00.000.4010.000000.0000.0000</v>
          </cell>
          <cell r="P66" t="str">
            <v>Buy</v>
          </cell>
        </row>
        <row r="67">
          <cell r="A67" t="str">
            <v>200073-001</v>
          </cell>
          <cell r="B67" t="str">
            <v>Frozen</v>
          </cell>
          <cell r="D67" t="str">
            <v>*</v>
          </cell>
          <cell r="E67" t="str">
            <v>*</v>
          </cell>
          <cell r="F67">
            <v>1</v>
          </cell>
          <cell r="G67">
            <v>0</v>
          </cell>
          <cell r="H67">
            <v>23.119599999999998</v>
          </cell>
          <cell r="I67">
            <v>23.119599999999998</v>
          </cell>
          <cell r="N67" t="str">
            <v>35.00.000.5101.000000.0000.0000</v>
          </cell>
          <cell r="O67" t="str">
            <v>35.00.000.4010.000000.0000.0000</v>
          </cell>
          <cell r="P67" t="str">
            <v>Make</v>
          </cell>
        </row>
        <row r="68">
          <cell r="A68" t="str">
            <v>200074-001</v>
          </cell>
          <cell r="B68" t="str">
            <v>Frozen</v>
          </cell>
          <cell r="D68" t="str">
            <v>*</v>
          </cell>
          <cell r="E68" t="str">
            <v>*</v>
          </cell>
          <cell r="F68">
            <v>1</v>
          </cell>
          <cell r="G68">
            <v>0</v>
          </cell>
          <cell r="H68">
            <v>0</v>
          </cell>
          <cell r="N68" t="str">
            <v>35.00.000.5101.000000.0000.0000</v>
          </cell>
          <cell r="O68" t="str">
            <v>35.00.000.4010.000000.0000.0000</v>
          </cell>
          <cell r="P68" t="str">
            <v>Make</v>
          </cell>
        </row>
        <row r="69">
          <cell r="A69" t="str">
            <v>200075-001</v>
          </cell>
          <cell r="B69" t="str">
            <v>Frozen</v>
          </cell>
          <cell r="D69" t="str">
            <v>*</v>
          </cell>
          <cell r="E69" t="str">
            <v>*</v>
          </cell>
          <cell r="F69">
            <v>1</v>
          </cell>
          <cell r="G69">
            <v>0</v>
          </cell>
          <cell r="H69">
            <v>24.139779999999998</v>
          </cell>
          <cell r="I69">
            <v>24.139779999999998</v>
          </cell>
          <cell r="N69" t="str">
            <v>35.00.000.5101.000000.0000.0000</v>
          </cell>
          <cell r="O69" t="str">
            <v>35.00.000.4010.000000.0000.0000</v>
          </cell>
          <cell r="P69" t="str">
            <v>Make</v>
          </cell>
        </row>
        <row r="70">
          <cell r="A70" t="str">
            <v>200076-001</v>
          </cell>
          <cell r="B70" t="str">
            <v>Frozen</v>
          </cell>
          <cell r="D70" t="str">
            <v>*</v>
          </cell>
          <cell r="E70" t="str">
            <v>*</v>
          </cell>
          <cell r="F70">
            <v>1</v>
          </cell>
          <cell r="G70">
            <v>0</v>
          </cell>
          <cell r="H70">
            <v>0</v>
          </cell>
          <cell r="N70" t="str">
            <v>35.00.000.5101.000000.0000.0000</v>
          </cell>
          <cell r="O70" t="str">
            <v>35.00.000.4010.000000.0000.0000</v>
          </cell>
          <cell r="P70" t="str">
            <v>Make</v>
          </cell>
        </row>
        <row r="71">
          <cell r="A71" t="str">
            <v>200077-001</v>
          </cell>
          <cell r="B71" t="str">
            <v>Frozen</v>
          </cell>
          <cell r="D71" t="str">
            <v>*</v>
          </cell>
          <cell r="E71" t="str">
            <v>*</v>
          </cell>
          <cell r="F71">
            <v>1</v>
          </cell>
          <cell r="G71">
            <v>0</v>
          </cell>
          <cell r="H71">
            <v>58.07385</v>
          </cell>
          <cell r="I71">
            <v>58.07385</v>
          </cell>
          <cell r="N71" t="str">
            <v>35.00.000.5101.000000.0000.0000</v>
          </cell>
          <cell r="O71" t="str">
            <v>35.00.000.4010.000000.0000.0000</v>
          </cell>
          <cell r="P71" t="str">
            <v>Make</v>
          </cell>
        </row>
        <row r="72">
          <cell r="A72" t="str">
            <v>200077-002</v>
          </cell>
          <cell r="B72" t="str">
            <v>Frozen</v>
          </cell>
          <cell r="D72" t="str">
            <v>*</v>
          </cell>
          <cell r="E72" t="str">
            <v>*</v>
          </cell>
          <cell r="F72">
            <v>1</v>
          </cell>
          <cell r="G72">
            <v>0</v>
          </cell>
          <cell r="H72">
            <v>62.458930000000002</v>
          </cell>
          <cell r="I72">
            <v>62.458930000000002</v>
          </cell>
          <cell r="N72" t="str">
            <v>35.00.000.5102.000000.0000.0000</v>
          </cell>
          <cell r="O72" t="str">
            <v>35.00.000.4110.000000.0000.0000</v>
          </cell>
          <cell r="P72" t="str">
            <v>Make</v>
          </cell>
        </row>
        <row r="73">
          <cell r="A73" t="str">
            <v>200078-001</v>
          </cell>
          <cell r="B73" t="str">
            <v>Frozen</v>
          </cell>
          <cell r="D73" t="str">
            <v>*</v>
          </cell>
          <cell r="E73" t="str">
            <v>*</v>
          </cell>
          <cell r="F73">
            <v>1</v>
          </cell>
          <cell r="G73">
            <v>0</v>
          </cell>
          <cell r="H73">
            <v>64.252949999999998</v>
          </cell>
          <cell r="I73">
            <v>64.252949999999998</v>
          </cell>
          <cell r="N73" t="str">
            <v>35.00.000.5101.000000.0000.0000</v>
          </cell>
          <cell r="O73" t="str">
            <v>35.00.000.4010.000000.0000.0000</v>
          </cell>
          <cell r="P73" t="str">
            <v>Make</v>
          </cell>
        </row>
        <row r="74">
          <cell r="A74" t="str">
            <v>200079-001</v>
          </cell>
          <cell r="B74" t="str">
            <v>Frozen</v>
          </cell>
          <cell r="D74" t="str">
            <v>*</v>
          </cell>
          <cell r="E74" t="str">
            <v>*</v>
          </cell>
          <cell r="F74">
            <v>1</v>
          </cell>
          <cell r="G74">
            <v>0</v>
          </cell>
          <cell r="H74">
            <v>85.936000000000007</v>
          </cell>
          <cell r="I74">
            <v>85.936000000000007</v>
          </cell>
          <cell r="N74" t="str">
            <v>35.00.000.5101.000000.0000.0000</v>
          </cell>
          <cell r="O74" t="str">
            <v>35.00.000.4010.000000.0000.0000</v>
          </cell>
          <cell r="P74" t="str">
            <v>Make</v>
          </cell>
        </row>
        <row r="75">
          <cell r="A75" t="str">
            <v>200079-002</v>
          </cell>
          <cell r="B75" t="str">
            <v>Frozen</v>
          </cell>
          <cell r="D75" t="str">
            <v>*</v>
          </cell>
          <cell r="E75" t="str">
            <v>*</v>
          </cell>
          <cell r="F75">
            <v>1</v>
          </cell>
          <cell r="G75">
            <v>0</v>
          </cell>
          <cell r="H75">
            <v>90.320629999999994</v>
          </cell>
          <cell r="I75">
            <v>90.320629999999994</v>
          </cell>
          <cell r="N75" t="str">
            <v>35.00.000.5102.000000.0000.0000</v>
          </cell>
          <cell r="O75" t="str">
            <v>35.00.000.4110.000000.0000.0000</v>
          </cell>
          <cell r="P75" t="str">
            <v>Make</v>
          </cell>
        </row>
        <row r="76">
          <cell r="A76" t="str">
            <v>200080-001</v>
          </cell>
          <cell r="B76" t="str">
            <v>Frozen</v>
          </cell>
          <cell r="D76" t="str">
            <v>*</v>
          </cell>
          <cell r="F76">
            <v>1</v>
          </cell>
          <cell r="G76">
            <v>0</v>
          </cell>
          <cell r="H76">
            <v>0.03</v>
          </cell>
          <cell r="I76">
            <v>0.03</v>
          </cell>
          <cell r="N76" t="str">
            <v>35.00.000.5101.000000.0000.0000</v>
          </cell>
          <cell r="O76" t="str">
            <v>35.00.000.4010.000000.0000.0000</v>
          </cell>
          <cell r="P76" t="str">
            <v>Buy</v>
          </cell>
        </row>
        <row r="77">
          <cell r="A77" t="str">
            <v>200081-001</v>
          </cell>
          <cell r="B77" t="str">
            <v>Frozen</v>
          </cell>
          <cell r="D77" t="str">
            <v>*</v>
          </cell>
          <cell r="E77" t="str">
            <v>*</v>
          </cell>
          <cell r="F77">
            <v>1</v>
          </cell>
          <cell r="G77">
            <v>0</v>
          </cell>
          <cell r="H77">
            <v>90.279079999999993</v>
          </cell>
          <cell r="I77">
            <v>90.279079999999993</v>
          </cell>
          <cell r="N77" t="str">
            <v>35.00.000.5101.000000.0000.0000</v>
          </cell>
          <cell r="O77" t="str">
            <v>35.00.000.4010.000000.0000.0000</v>
          </cell>
          <cell r="P77" t="str">
            <v>Make</v>
          </cell>
        </row>
        <row r="78">
          <cell r="A78" t="str">
            <v>200082-001</v>
          </cell>
          <cell r="B78" t="str">
            <v>Frozen</v>
          </cell>
          <cell r="D78" t="str">
            <v>*</v>
          </cell>
          <cell r="E78" t="str">
            <v>*</v>
          </cell>
          <cell r="F78">
            <v>1</v>
          </cell>
          <cell r="G78">
            <v>0</v>
          </cell>
          <cell r="H78">
            <v>90.746039999999994</v>
          </cell>
          <cell r="I78">
            <v>90.746039999999994</v>
          </cell>
          <cell r="N78" t="str">
            <v>35.00.000.5101.000000.0000.0000</v>
          </cell>
          <cell r="O78" t="str">
            <v>35.00.000.4010.000000.0000.0000</v>
          </cell>
          <cell r="P78" t="str">
            <v>Make</v>
          </cell>
        </row>
        <row r="79">
          <cell r="A79" t="str">
            <v>200083-001</v>
          </cell>
          <cell r="B79" t="str">
            <v>Frozen</v>
          </cell>
          <cell r="D79" t="str">
            <v>*</v>
          </cell>
          <cell r="E79" t="str">
            <v>*</v>
          </cell>
          <cell r="F79">
            <v>1</v>
          </cell>
          <cell r="G79">
            <v>0</v>
          </cell>
          <cell r="H79">
            <v>28.473780000000001</v>
          </cell>
          <cell r="I79">
            <v>28.473780000000001</v>
          </cell>
          <cell r="N79" t="str">
            <v>35.00.000.5101.000000.0000.0000</v>
          </cell>
          <cell r="O79" t="str">
            <v>35.00.000.4010.000000.0000.0000</v>
          </cell>
          <cell r="P79" t="str">
            <v>Make</v>
          </cell>
        </row>
        <row r="80">
          <cell r="A80" t="str">
            <v>200084-001</v>
          </cell>
          <cell r="B80" t="str">
            <v>Frozen</v>
          </cell>
          <cell r="D80" t="str">
            <v>*</v>
          </cell>
          <cell r="E80" t="str">
            <v>*</v>
          </cell>
          <cell r="F80">
            <v>1</v>
          </cell>
          <cell r="G80">
            <v>0</v>
          </cell>
          <cell r="H80">
            <v>19.072150000000001</v>
          </cell>
          <cell r="I80">
            <v>19.072150000000001</v>
          </cell>
          <cell r="N80" t="str">
            <v>35.00.000.5101.000000.0000.0000</v>
          </cell>
          <cell r="O80" t="str">
            <v>35.00.000.4010.000000.0000.0000</v>
          </cell>
          <cell r="P80" t="str">
            <v>Make</v>
          </cell>
        </row>
        <row r="81">
          <cell r="A81" t="str">
            <v>200085-001</v>
          </cell>
          <cell r="B81" t="str">
            <v>Frozen</v>
          </cell>
          <cell r="D81" t="str">
            <v>*</v>
          </cell>
          <cell r="E81" t="str">
            <v>*</v>
          </cell>
          <cell r="F81">
            <v>1</v>
          </cell>
          <cell r="G81">
            <v>0</v>
          </cell>
          <cell r="H81">
            <v>29.493960000000001</v>
          </cell>
          <cell r="I81">
            <v>29.493960000000001</v>
          </cell>
          <cell r="N81" t="str">
            <v>35.00.000.5101.000000.0000.0000</v>
          </cell>
          <cell r="O81" t="str">
            <v>35.00.000.4010.000000.0000.0000</v>
          </cell>
          <cell r="P81" t="str">
            <v>Make</v>
          </cell>
        </row>
        <row r="82">
          <cell r="A82" t="str">
            <v>200086-001</v>
          </cell>
          <cell r="B82" t="str">
            <v>Frozen</v>
          </cell>
          <cell r="D82" t="str">
            <v>*</v>
          </cell>
          <cell r="E82" t="str">
            <v>*</v>
          </cell>
          <cell r="F82">
            <v>1</v>
          </cell>
          <cell r="G82">
            <v>0</v>
          </cell>
          <cell r="H82">
            <v>20.71575</v>
          </cell>
          <cell r="I82">
            <v>20.71575</v>
          </cell>
          <cell r="N82" t="str">
            <v>35.00.000.5101.000000.0000.0000</v>
          </cell>
          <cell r="O82" t="str">
            <v>35.00.000.4010.000000.0000.0000</v>
          </cell>
          <cell r="P82" t="str">
            <v>Make</v>
          </cell>
        </row>
        <row r="83">
          <cell r="A83" t="str">
            <v>200087-001</v>
          </cell>
          <cell r="B83" t="str">
            <v>Frozen</v>
          </cell>
          <cell r="D83" t="str">
            <v>*</v>
          </cell>
          <cell r="E83" t="str">
            <v>*</v>
          </cell>
          <cell r="F83">
            <v>1</v>
          </cell>
          <cell r="G83">
            <v>0</v>
          </cell>
          <cell r="H83">
            <v>66.528030000000001</v>
          </cell>
          <cell r="I83">
            <v>66.528030000000001</v>
          </cell>
          <cell r="N83" t="str">
            <v>35.00.000.5101.000000.0000.0000</v>
          </cell>
          <cell r="O83" t="str">
            <v>35.00.000.4010.000000.0000.0000</v>
          </cell>
          <cell r="P83" t="str">
            <v>Make</v>
          </cell>
        </row>
        <row r="84">
          <cell r="A84" t="str">
            <v>200088-001</v>
          </cell>
          <cell r="B84" t="str">
            <v>Frozen</v>
          </cell>
          <cell r="D84" t="str">
            <v>*</v>
          </cell>
          <cell r="E84" t="str">
            <v>*</v>
          </cell>
          <cell r="F84">
            <v>1</v>
          </cell>
          <cell r="G84">
            <v>0</v>
          </cell>
          <cell r="H84">
            <v>72.707130000000006</v>
          </cell>
          <cell r="I84">
            <v>72.707130000000006</v>
          </cell>
          <cell r="N84" t="str">
            <v>35.00.000.5101.000000.0000.0000</v>
          </cell>
          <cell r="O84" t="str">
            <v>35.00.000.4010.000000.0000.0000</v>
          </cell>
          <cell r="P84" t="str">
            <v>Make</v>
          </cell>
        </row>
        <row r="85">
          <cell r="A85" t="str">
            <v>200089-001</v>
          </cell>
          <cell r="B85" t="str">
            <v>Frozen</v>
          </cell>
          <cell r="D85" t="str">
            <v>*</v>
          </cell>
          <cell r="E85" t="str">
            <v>*</v>
          </cell>
          <cell r="F85">
            <v>1</v>
          </cell>
          <cell r="G85">
            <v>0</v>
          </cell>
          <cell r="H85">
            <v>94.615350000000007</v>
          </cell>
          <cell r="I85">
            <v>94.615350000000007</v>
          </cell>
          <cell r="N85" t="str">
            <v>35.00.000.5101.000000.0000.0000</v>
          </cell>
          <cell r="O85" t="str">
            <v>35.00.000.4010.000000.0000.0000</v>
          </cell>
          <cell r="P85" t="str">
            <v>Make</v>
          </cell>
        </row>
        <row r="86">
          <cell r="A86" t="str">
            <v>200090-001</v>
          </cell>
          <cell r="B86" t="str">
            <v>Frozen</v>
          </cell>
          <cell r="D86" t="str">
            <v>*</v>
          </cell>
          <cell r="E86" t="str">
            <v>*</v>
          </cell>
          <cell r="F86">
            <v>1</v>
          </cell>
          <cell r="G86">
            <v>0</v>
          </cell>
          <cell r="H86">
            <v>100.98812</v>
          </cell>
          <cell r="I86">
            <v>100.98812</v>
          </cell>
          <cell r="N86" t="str">
            <v>35.00.000.5101.000000.0000.0000</v>
          </cell>
          <cell r="O86" t="str">
            <v>35.00.000.4010.000000.0000.0000</v>
          </cell>
          <cell r="P86" t="str">
            <v>Make</v>
          </cell>
        </row>
        <row r="87">
          <cell r="A87" t="str">
            <v>200091-001</v>
          </cell>
          <cell r="B87" t="str">
            <v>Frozen</v>
          </cell>
          <cell r="D87" t="str">
            <v>*</v>
          </cell>
          <cell r="E87" t="str">
            <v>*</v>
          </cell>
          <cell r="F87">
            <v>1</v>
          </cell>
          <cell r="G87">
            <v>0</v>
          </cell>
          <cell r="H87">
            <v>101.45508</v>
          </cell>
          <cell r="I87">
            <v>101.45508</v>
          </cell>
          <cell r="N87" t="str">
            <v>35.00.000.5101.000000.0000.0000</v>
          </cell>
          <cell r="O87" t="str">
            <v>35.00.000.4010.000000.0000.0000</v>
          </cell>
          <cell r="P87" t="str">
            <v>Make</v>
          </cell>
        </row>
        <row r="88">
          <cell r="A88" t="str">
            <v>200093-001</v>
          </cell>
          <cell r="B88" t="str">
            <v>Frozen</v>
          </cell>
          <cell r="D88" t="str">
            <v>*</v>
          </cell>
          <cell r="E88" t="str">
            <v>*</v>
          </cell>
          <cell r="F88">
            <v>1</v>
          </cell>
          <cell r="G88">
            <v>0</v>
          </cell>
          <cell r="H88">
            <v>0</v>
          </cell>
          <cell r="N88" t="str">
            <v>35.00.000.5101.000000.0000.0000</v>
          </cell>
          <cell r="O88" t="str">
            <v>35.00.000.4010.000000.0000.0000</v>
          </cell>
          <cell r="P88" t="str">
            <v>Make</v>
          </cell>
        </row>
        <row r="89">
          <cell r="A89" t="str">
            <v>200094-001</v>
          </cell>
          <cell r="B89" t="str">
            <v>Frozen</v>
          </cell>
          <cell r="D89" t="str">
            <v>*</v>
          </cell>
          <cell r="E89" t="str">
            <v>*</v>
          </cell>
          <cell r="F89">
            <v>1</v>
          </cell>
          <cell r="G89">
            <v>0</v>
          </cell>
          <cell r="H89">
            <v>0</v>
          </cell>
          <cell r="N89" t="str">
            <v>35.00.000.5101.000000.0000.0000</v>
          </cell>
          <cell r="O89" t="str">
            <v>35.00.000.4010.000000.0000.0000</v>
          </cell>
          <cell r="P89" t="str">
            <v>Make</v>
          </cell>
        </row>
        <row r="90">
          <cell r="A90" t="str">
            <v>200095-001</v>
          </cell>
          <cell r="B90" t="str">
            <v>Frozen</v>
          </cell>
          <cell r="D90" t="str">
            <v>*</v>
          </cell>
          <cell r="E90" t="str">
            <v>*</v>
          </cell>
          <cell r="F90">
            <v>1</v>
          </cell>
          <cell r="G90">
            <v>0</v>
          </cell>
          <cell r="H90">
            <v>0</v>
          </cell>
          <cell r="N90" t="str">
            <v>35.00.000.5101.000000.0000.0000</v>
          </cell>
          <cell r="O90" t="str">
            <v>35.00.000.4010.000000.0000.0000</v>
          </cell>
          <cell r="P90" t="str">
            <v>Make</v>
          </cell>
        </row>
        <row r="91">
          <cell r="A91" t="str">
            <v>200096-001</v>
          </cell>
          <cell r="B91" t="str">
            <v>Frozen</v>
          </cell>
          <cell r="D91" t="str">
            <v>*</v>
          </cell>
          <cell r="E91" t="str">
            <v>*</v>
          </cell>
          <cell r="F91">
            <v>1</v>
          </cell>
          <cell r="G91">
            <v>0</v>
          </cell>
          <cell r="H91">
            <v>0</v>
          </cell>
          <cell r="N91" t="str">
            <v>35.00.000.5101.000000.0000.0000</v>
          </cell>
          <cell r="O91" t="str">
            <v>35.00.000.4010.000000.0000.0000</v>
          </cell>
          <cell r="P91" t="str">
            <v>Make</v>
          </cell>
        </row>
        <row r="92">
          <cell r="A92" t="str">
            <v>200097-001</v>
          </cell>
          <cell r="B92" t="str">
            <v>Frozen</v>
          </cell>
          <cell r="D92" t="str">
            <v>*</v>
          </cell>
          <cell r="E92" t="str">
            <v>*</v>
          </cell>
          <cell r="F92">
            <v>1</v>
          </cell>
          <cell r="G92">
            <v>0</v>
          </cell>
          <cell r="H92">
            <v>0</v>
          </cell>
          <cell r="N92" t="str">
            <v>35.00.000.5101.000000.0000.0000</v>
          </cell>
          <cell r="O92" t="str">
            <v>35.00.000.4010.000000.0000.0000</v>
          </cell>
          <cell r="P92" t="str">
            <v>Make</v>
          </cell>
        </row>
        <row r="93">
          <cell r="A93" t="str">
            <v>200097-002</v>
          </cell>
          <cell r="B93" t="str">
            <v>Frozen</v>
          </cell>
          <cell r="D93" t="str">
            <v>*</v>
          </cell>
          <cell r="E93" t="str">
            <v>*</v>
          </cell>
          <cell r="F93">
            <v>1</v>
          </cell>
          <cell r="G93">
            <v>0</v>
          </cell>
          <cell r="H93">
            <v>0</v>
          </cell>
          <cell r="N93" t="str">
            <v>35.00.000.5101.000000.0000.0000</v>
          </cell>
          <cell r="O93" t="str">
            <v>35.00.000.4010.000000.0000.0000</v>
          </cell>
          <cell r="P93" t="str">
            <v>Make</v>
          </cell>
        </row>
        <row r="94">
          <cell r="A94" t="str">
            <v>200098-001</v>
          </cell>
          <cell r="B94" t="str">
            <v>Frozen</v>
          </cell>
          <cell r="D94" t="str">
            <v>*</v>
          </cell>
          <cell r="E94" t="str">
            <v>*</v>
          </cell>
          <cell r="F94">
            <v>1</v>
          </cell>
          <cell r="G94">
            <v>0</v>
          </cell>
          <cell r="H94">
            <v>0</v>
          </cell>
          <cell r="N94" t="str">
            <v>35.00.000.5101.000000.0000.0000</v>
          </cell>
          <cell r="O94" t="str">
            <v>35.00.000.4010.000000.0000.0000</v>
          </cell>
          <cell r="P94" t="str">
            <v>Make</v>
          </cell>
        </row>
        <row r="95">
          <cell r="A95" t="str">
            <v>200099-001</v>
          </cell>
          <cell r="B95" t="str">
            <v>Frozen</v>
          </cell>
          <cell r="D95" t="str">
            <v>*</v>
          </cell>
          <cell r="F95">
            <v>1</v>
          </cell>
          <cell r="G95">
            <v>0</v>
          </cell>
          <cell r="H95">
            <v>2.8000000000000001E-2</v>
          </cell>
          <cell r="I95">
            <v>2.8000000000000001E-2</v>
          </cell>
          <cell r="N95" t="str">
            <v>35.00.000.5101.000000.0000.0000</v>
          </cell>
          <cell r="O95" t="str">
            <v>35.00.000.4010.000000.0000.0000</v>
          </cell>
          <cell r="P95" t="str">
            <v>Buy</v>
          </cell>
        </row>
        <row r="96">
          <cell r="A96" t="str">
            <v>200100-001</v>
          </cell>
          <cell r="B96" t="str">
            <v>Frozen</v>
          </cell>
          <cell r="D96" t="str">
            <v>*</v>
          </cell>
          <cell r="F96">
            <v>1</v>
          </cell>
          <cell r="G96">
            <v>0</v>
          </cell>
          <cell r="H96">
            <v>2.8000000000000001E-2</v>
          </cell>
          <cell r="I96">
            <v>2.8000000000000001E-2</v>
          </cell>
          <cell r="N96" t="str">
            <v>35.00.000.5101.000000.0000.0000</v>
          </cell>
          <cell r="O96" t="str">
            <v>35.00.000.4010.000000.0000.0000</v>
          </cell>
          <cell r="P96" t="str">
            <v>Buy</v>
          </cell>
        </row>
        <row r="97">
          <cell r="A97" t="str">
            <v>200101-001</v>
          </cell>
          <cell r="B97" t="str">
            <v>Frozen</v>
          </cell>
          <cell r="D97" t="str">
            <v>*</v>
          </cell>
          <cell r="F97">
            <v>1</v>
          </cell>
          <cell r="G97">
            <v>0</v>
          </cell>
          <cell r="H97">
            <v>0.32727000000000001</v>
          </cell>
          <cell r="I97">
            <v>0.32727000000000001</v>
          </cell>
          <cell r="N97" t="str">
            <v>35.00.000.5101.000000.0000.0000</v>
          </cell>
          <cell r="O97" t="str">
            <v>35.00.000.4010.000000.0000.0000</v>
          </cell>
          <cell r="P97" t="str">
            <v>Buy</v>
          </cell>
        </row>
        <row r="98">
          <cell r="A98" t="str">
            <v>200106-001</v>
          </cell>
          <cell r="B98" t="str">
            <v>Frozen</v>
          </cell>
          <cell r="D98" t="str">
            <v>*</v>
          </cell>
          <cell r="E98" t="str">
            <v>*</v>
          </cell>
          <cell r="F98">
            <v>1</v>
          </cell>
          <cell r="G98">
            <v>0</v>
          </cell>
          <cell r="H98">
            <v>18.070399999999999</v>
          </cell>
          <cell r="I98">
            <v>18.070399999999999</v>
          </cell>
          <cell r="N98" t="str">
            <v>35.00.000.5102.000000.0000.0000</v>
          </cell>
          <cell r="O98" t="str">
            <v>35.00.000.4110.000000.0000.0000</v>
          </cell>
          <cell r="P98" t="str">
            <v>Make</v>
          </cell>
        </row>
        <row r="99">
          <cell r="A99" t="str">
            <v>200106-002</v>
          </cell>
          <cell r="B99" t="str">
            <v>Frozen</v>
          </cell>
          <cell r="D99" t="str">
            <v>*</v>
          </cell>
          <cell r="E99" t="str">
            <v>*</v>
          </cell>
          <cell r="F99">
            <v>1</v>
          </cell>
          <cell r="G99">
            <v>0</v>
          </cell>
          <cell r="H99">
            <v>17.972829999999998</v>
          </cell>
          <cell r="I99">
            <v>17.972829999999998</v>
          </cell>
          <cell r="N99" t="str">
            <v>35.00.000.5102.000000.0000.0000</v>
          </cell>
          <cell r="O99" t="str">
            <v>35.00.000.4110.000000.0000.0000</v>
          </cell>
          <cell r="P99" t="str">
            <v>Make</v>
          </cell>
        </row>
        <row r="100">
          <cell r="A100" t="str">
            <v>200107-001</v>
          </cell>
          <cell r="B100" t="str">
            <v>Frozen</v>
          </cell>
          <cell r="D100" t="str">
            <v>*</v>
          </cell>
          <cell r="E100" t="str">
            <v>*</v>
          </cell>
          <cell r="F100">
            <v>1</v>
          </cell>
          <cell r="G100">
            <v>0</v>
          </cell>
          <cell r="H100">
            <v>21.88119</v>
          </cell>
          <cell r="I100">
            <v>21.88119</v>
          </cell>
          <cell r="N100" t="str">
            <v>35.00.000.5102.000000.0000.0000</v>
          </cell>
          <cell r="O100" t="str">
            <v>35.00.000.4110.000000.0000.0000</v>
          </cell>
          <cell r="P100" t="str">
            <v>Make</v>
          </cell>
        </row>
        <row r="101">
          <cell r="A101" t="str">
            <v>200107-002</v>
          </cell>
          <cell r="B101" t="str">
            <v>Frozen</v>
          </cell>
          <cell r="D101" t="str">
            <v>*</v>
          </cell>
          <cell r="E101" t="str">
            <v>*</v>
          </cell>
          <cell r="F101">
            <v>1</v>
          </cell>
          <cell r="G101">
            <v>0</v>
          </cell>
          <cell r="H101">
            <v>22.113620000000001</v>
          </cell>
          <cell r="I101">
            <v>22.113620000000001</v>
          </cell>
          <cell r="N101" t="str">
            <v>35.00.000.5102.000000.0000.0000</v>
          </cell>
          <cell r="O101" t="str">
            <v>35.00.000.4110.000000.0000.0000</v>
          </cell>
          <cell r="P101" t="str">
            <v>Make</v>
          </cell>
        </row>
        <row r="102">
          <cell r="A102" t="str">
            <v>200108-001</v>
          </cell>
          <cell r="B102" t="str">
            <v>Frozen</v>
          </cell>
          <cell r="D102" t="str">
            <v>*</v>
          </cell>
          <cell r="E102" t="str">
            <v>*</v>
          </cell>
          <cell r="F102">
            <v>1</v>
          </cell>
          <cell r="G102">
            <v>0</v>
          </cell>
          <cell r="H102">
            <v>0</v>
          </cell>
          <cell r="N102" t="str">
            <v>35.00.000.5102.000000.0000.0000</v>
          </cell>
          <cell r="O102" t="str">
            <v>35.00.000.4110.000000.0000.0000</v>
          </cell>
          <cell r="P102" t="str">
            <v>Make</v>
          </cell>
        </row>
        <row r="103">
          <cell r="A103" t="str">
            <v>200108-002</v>
          </cell>
          <cell r="B103" t="str">
            <v>Frozen</v>
          </cell>
          <cell r="D103" t="str">
            <v>*</v>
          </cell>
          <cell r="E103" t="str">
            <v>*</v>
          </cell>
          <cell r="F103">
            <v>1</v>
          </cell>
          <cell r="G103">
            <v>0</v>
          </cell>
          <cell r="H103">
            <v>0</v>
          </cell>
          <cell r="N103" t="str">
            <v>35.00.000.5102.000000.0000.0000</v>
          </cell>
          <cell r="O103" t="str">
            <v>35.00.000.4110.000000.0000.0000</v>
          </cell>
          <cell r="P103" t="str">
            <v>Make</v>
          </cell>
        </row>
        <row r="104">
          <cell r="A104" t="str">
            <v>200109-001</v>
          </cell>
          <cell r="B104" t="str">
            <v>Frozen</v>
          </cell>
          <cell r="D104" t="str">
            <v>*</v>
          </cell>
          <cell r="E104" t="str">
            <v>*</v>
          </cell>
          <cell r="F104">
            <v>1</v>
          </cell>
          <cell r="G104">
            <v>0</v>
          </cell>
          <cell r="H104">
            <v>0</v>
          </cell>
          <cell r="N104" t="str">
            <v>35.00.000.5102.000000.0000.0000</v>
          </cell>
          <cell r="O104" t="str">
            <v>35.00.000.4110.000000.0000.0000</v>
          </cell>
          <cell r="P104" t="str">
            <v>Make</v>
          </cell>
        </row>
        <row r="105">
          <cell r="A105" t="str">
            <v>200109-002</v>
          </cell>
          <cell r="B105" t="str">
            <v>Frozen</v>
          </cell>
          <cell r="D105" t="str">
            <v>*</v>
          </cell>
          <cell r="E105" t="str">
            <v>*</v>
          </cell>
          <cell r="F105">
            <v>1</v>
          </cell>
          <cell r="G105">
            <v>0</v>
          </cell>
          <cell r="H105">
            <v>0</v>
          </cell>
          <cell r="N105" t="str">
            <v>35.00.000.5102.000000.0000.0000</v>
          </cell>
          <cell r="O105" t="str">
            <v>35.00.000.4110.000000.0000.0000</v>
          </cell>
          <cell r="P105" t="str">
            <v>Make</v>
          </cell>
        </row>
        <row r="106">
          <cell r="A106" t="str">
            <v>200112-001</v>
          </cell>
          <cell r="B106" t="str">
            <v>Frozen</v>
          </cell>
          <cell r="D106" t="str">
            <v>*</v>
          </cell>
          <cell r="E106" t="str">
            <v>*</v>
          </cell>
          <cell r="F106">
            <v>1</v>
          </cell>
          <cell r="G106">
            <v>0</v>
          </cell>
          <cell r="H106">
            <v>0</v>
          </cell>
          <cell r="N106" t="str">
            <v>35.00.000.5102.000000.0000.0000</v>
          </cell>
          <cell r="O106" t="str">
            <v>35.00.000.4110.000000.0000.0000</v>
          </cell>
          <cell r="P106" t="str">
            <v>Make</v>
          </cell>
        </row>
        <row r="107">
          <cell r="A107" t="str">
            <v>200113-001</v>
          </cell>
          <cell r="B107" t="str">
            <v>Frozen</v>
          </cell>
          <cell r="D107" t="str">
            <v>*</v>
          </cell>
          <cell r="E107" t="str">
            <v>*</v>
          </cell>
          <cell r="F107">
            <v>1</v>
          </cell>
          <cell r="G107">
            <v>0</v>
          </cell>
          <cell r="H107">
            <v>0</v>
          </cell>
          <cell r="N107" t="str">
            <v>35.00.000.5102.000000.0000.0000</v>
          </cell>
          <cell r="O107" t="str">
            <v>35.00.000.4110.000000.0000.0000</v>
          </cell>
          <cell r="P107" t="str">
            <v>Make</v>
          </cell>
        </row>
        <row r="108">
          <cell r="A108" t="str">
            <v>200114-001</v>
          </cell>
          <cell r="B108" t="str">
            <v>Frozen</v>
          </cell>
          <cell r="D108" t="str">
            <v>*</v>
          </cell>
          <cell r="E108" t="str">
            <v>*</v>
          </cell>
          <cell r="F108">
            <v>1</v>
          </cell>
          <cell r="G108">
            <v>0</v>
          </cell>
          <cell r="H108">
            <v>0</v>
          </cell>
          <cell r="N108" t="str">
            <v>35.00.000.5102.000000.0000.0000</v>
          </cell>
          <cell r="O108" t="str">
            <v>35.00.000.4110.000000.0000.0000</v>
          </cell>
          <cell r="P108" t="str">
            <v>Make</v>
          </cell>
        </row>
        <row r="109">
          <cell r="A109" t="str">
            <v>200115-001</v>
          </cell>
          <cell r="B109" t="str">
            <v>Frozen</v>
          </cell>
          <cell r="D109" t="str">
            <v>*</v>
          </cell>
          <cell r="E109" t="str">
            <v>*</v>
          </cell>
          <cell r="F109">
            <v>1</v>
          </cell>
          <cell r="G109">
            <v>0</v>
          </cell>
          <cell r="H109">
            <v>0</v>
          </cell>
          <cell r="N109" t="str">
            <v>35.00.000.5102.000000.0000.0000</v>
          </cell>
          <cell r="O109" t="str">
            <v>35.00.000.4110.000000.0000.0000</v>
          </cell>
          <cell r="P109" t="str">
            <v>Make</v>
          </cell>
        </row>
        <row r="110">
          <cell r="A110" t="str">
            <v>200116-001</v>
          </cell>
          <cell r="B110" t="str">
            <v>Frozen</v>
          </cell>
          <cell r="D110" t="str">
            <v>*</v>
          </cell>
          <cell r="E110" t="str">
            <v>*</v>
          </cell>
          <cell r="F110">
            <v>1</v>
          </cell>
          <cell r="G110">
            <v>0</v>
          </cell>
          <cell r="H110">
            <v>63.599119999999999</v>
          </cell>
          <cell r="I110">
            <v>63.599119999999999</v>
          </cell>
          <cell r="N110" t="str">
            <v>35.00.000.5102.000000.0000.0000</v>
          </cell>
          <cell r="O110" t="str">
            <v>35.00.000.4110.000000.0000.0000</v>
          </cell>
          <cell r="P110" t="str">
            <v>Make</v>
          </cell>
        </row>
        <row r="111">
          <cell r="A111" t="str">
            <v>200117-001</v>
          </cell>
          <cell r="B111" t="str">
            <v>Frozen</v>
          </cell>
          <cell r="D111" t="str">
            <v>*</v>
          </cell>
          <cell r="E111" t="str">
            <v>*</v>
          </cell>
          <cell r="F111">
            <v>1</v>
          </cell>
          <cell r="G111">
            <v>0</v>
          </cell>
          <cell r="H111">
            <v>0</v>
          </cell>
          <cell r="N111" t="str">
            <v>35.00.000.5102.000000.0000.0000</v>
          </cell>
          <cell r="O111" t="str">
            <v>35.00.000.4110.000000.0000.0000</v>
          </cell>
          <cell r="P111" t="str">
            <v>Make</v>
          </cell>
        </row>
        <row r="112">
          <cell r="A112" t="str">
            <v>200118-001</v>
          </cell>
          <cell r="B112" t="str">
            <v>Frozen</v>
          </cell>
          <cell r="D112" t="str">
            <v>*</v>
          </cell>
          <cell r="E112" t="str">
            <v>*</v>
          </cell>
          <cell r="F112">
            <v>1</v>
          </cell>
          <cell r="G112">
            <v>0</v>
          </cell>
          <cell r="H112">
            <v>91.687340000000006</v>
          </cell>
          <cell r="I112">
            <v>91.687340000000006</v>
          </cell>
          <cell r="N112" t="str">
            <v>35.00.000.5102.000000.0000.0000</v>
          </cell>
          <cell r="O112" t="str">
            <v>35.00.000.4110.000000.0000.0000</v>
          </cell>
          <cell r="P112" t="str">
            <v>Make</v>
          </cell>
        </row>
        <row r="113">
          <cell r="A113" t="str">
            <v>200119-001</v>
          </cell>
          <cell r="B113" t="str">
            <v>Frozen</v>
          </cell>
          <cell r="D113" t="str">
            <v>*</v>
          </cell>
          <cell r="E113" t="str">
            <v>*</v>
          </cell>
          <cell r="F113">
            <v>1</v>
          </cell>
          <cell r="G113">
            <v>0</v>
          </cell>
          <cell r="H113">
            <v>0</v>
          </cell>
          <cell r="N113" t="str">
            <v>35.00.000.5102.000000.0000.0000</v>
          </cell>
          <cell r="O113" t="str">
            <v>35.00.000.4110.000000.0000.0000</v>
          </cell>
          <cell r="P113" t="str">
            <v>Make</v>
          </cell>
        </row>
        <row r="114">
          <cell r="A114" t="str">
            <v>200120-001</v>
          </cell>
          <cell r="B114" t="str">
            <v>Frozen</v>
          </cell>
          <cell r="D114" t="str">
            <v>*</v>
          </cell>
          <cell r="E114" t="str">
            <v>*</v>
          </cell>
          <cell r="F114">
            <v>1</v>
          </cell>
          <cell r="G114">
            <v>0</v>
          </cell>
          <cell r="H114">
            <v>0</v>
          </cell>
          <cell r="N114" t="str">
            <v>35.00.000.5102.000000.0000.0000</v>
          </cell>
          <cell r="O114" t="str">
            <v>35.00.000.4110.000000.0000.0000</v>
          </cell>
          <cell r="P114" t="str">
            <v>Make</v>
          </cell>
        </row>
        <row r="115">
          <cell r="A115" t="str">
            <v>200121-001</v>
          </cell>
          <cell r="B115" t="str">
            <v>Frozen</v>
          </cell>
          <cell r="D115" t="str">
            <v>*</v>
          </cell>
          <cell r="F115">
            <v>1</v>
          </cell>
          <cell r="G115">
            <v>0</v>
          </cell>
          <cell r="H115">
            <v>2.8000000000000001E-2</v>
          </cell>
          <cell r="I115">
            <v>2.8000000000000001E-2</v>
          </cell>
          <cell r="N115" t="str">
            <v>35.00.000.5102.000000.0000.0000</v>
          </cell>
          <cell r="O115" t="str">
            <v>35.00.000.4110.000000.0000.0000</v>
          </cell>
          <cell r="P115" t="str">
            <v>Buy</v>
          </cell>
        </row>
        <row r="116">
          <cell r="A116" t="str">
            <v>200122-001</v>
          </cell>
          <cell r="B116" t="str">
            <v>Frozen</v>
          </cell>
          <cell r="D116" t="str">
            <v>*</v>
          </cell>
          <cell r="F116">
            <v>1</v>
          </cell>
          <cell r="G116">
            <v>0</v>
          </cell>
          <cell r="H116">
            <v>2.74925</v>
          </cell>
          <cell r="I116">
            <v>2.74925</v>
          </cell>
          <cell r="N116" t="str">
            <v>35.00.000.5102.000000.0000.0000</v>
          </cell>
          <cell r="O116" t="str">
            <v>35.00.000.4110.000000.0000.0000</v>
          </cell>
          <cell r="P116" t="str">
            <v>Buy</v>
          </cell>
        </row>
        <row r="117">
          <cell r="A117" t="str">
            <v>200124-001</v>
          </cell>
          <cell r="B117" t="str">
            <v>Frozen</v>
          </cell>
          <cell r="D117" t="str">
            <v>*</v>
          </cell>
          <cell r="F117">
            <v>1</v>
          </cell>
          <cell r="G117">
            <v>0</v>
          </cell>
          <cell r="H117">
            <v>11.782500000000001</v>
          </cell>
          <cell r="I117">
            <v>11.782500000000001</v>
          </cell>
          <cell r="N117" t="str">
            <v>35.00.000.5102.000000.0000.0000</v>
          </cell>
          <cell r="O117" t="str">
            <v>35.00.000.4110.000000.0000.0000</v>
          </cell>
          <cell r="P117" t="str">
            <v>Buy</v>
          </cell>
        </row>
        <row r="118">
          <cell r="A118" t="str">
            <v>200125-001</v>
          </cell>
          <cell r="B118" t="str">
            <v>Frozen</v>
          </cell>
          <cell r="D118" t="str">
            <v>*</v>
          </cell>
          <cell r="F118">
            <v>1</v>
          </cell>
          <cell r="G118">
            <v>0</v>
          </cell>
          <cell r="H118">
            <v>11.782500000000001</v>
          </cell>
          <cell r="I118">
            <v>11.782500000000001</v>
          </cell>
          <cell r="N118" t="str">
            <v>35.00.000.5102.000000.0000.0000</v>
          </cell>
          <cell r="O118" t="str">
            <v>35.00.000.4110.000000.0000.0000</v>
          </cell>
          <cell r="P118" t="str">
            <v>Buy</v>
          </cell>
        </row>
        <row r="119">
          <cell r="A119" t="str">
            <v>200128-001</v>
          </cell>
          <cell r="B119" t="str">
            <v>Frozen</v>
          </cell>
          <cell r="D119" t="str">
            <v>*</v>
          </cell>
          <cell r="F119">
            <v>1</v>
          </cell>
          <cell r="G119">
            <v>0</v>
          </cell>
          <cell r="H119">
            <v>0.15709999999999999</v>
          </cell>
          <cell r="I119">
            <v>0.15709999999999999</v>
          </cell>
          <cell r="N119" t="str">
            <v>35.00.000.5102.000000.0000.0000</v>
          </cell>
          <cell r="O119" t="str">
            <v>35.00.000.4110.000000.0000.0000</v>
          </cell>
          <cell r="P119" t="str">
            <v>Buy</v>
          </cell>
        </row>
        <row r="120">
          <cell r="A120" t="str">
            <v>200129-001</v>
          </cell>
          <cell r="B120" t="str">
            <v>Frozen</v>
          </cell>
          <cell r="D120" t="str">
            <v>*</v>
          </cell>
          <cell r="F120">
            <v>1</v>
          </cell>
          <cell r="G120">
            <v>0</v>
          </cell>
          <cell r="H120">
            <v>2.25</v>
          </cell>
          <cell r="I120">
            <v>2.25</v>
          </cell>
          <cell r="N120" t="str">
            <v>35.00.000.5102.000000.0000.0000</v>
          </cell>
          <cell r="O120" t="str">
            <v>35.00.000.4110.000000.0000.0000</v>
          </cell>
          <cell r="P120" t="str">
            <v>Buy</v>
          </cell>
        </row>
        <row r="121">
          <cell r="A121" t="str">
            <v>200131-001</v>
          </cell>
          <cell r="B121" t="str">
            <v>Frozen</v>
          </cell>
          <cell r="D121" t="str">
            <v>*</v>
          </cell>
          <cell r="F121">
            <v>1</v>
          </cell>
          <cell r="G121">
            <v>0</v>
          </cell>
          <cell r="H121">
            <v>0.33</v>
          </cell>
          <cell r="I121">
            <v>0.33</v>
          </cell>
          <cell r="N121" t="str">
            <v>35.00.000.5102.000000.0000.0000</v>
          </cell>
          <cell r="O121" t="str">
            <v>35.00.000.4110.000000.0000.0000</v>
          </cell>
          <cell r="P121" t="str">
            <v>Buy</v>
          </cell>
        </row>
        <row r="122">
          <cell r="A122" t="str">
            <v>200134-001</v>
          </cell>
          <cell r="B122" t="str">
            <v>Frozen</v>
          </cell>
          <cell r="D122" t="str">
            <v>*</v>
          </cell>
          <cell r="E122" t="str">
            <v>*</v>
          </cell>
          <cell r="F122">
            <v>1</v>
          </cell>
          <cell r="G122">
            <v>0</v>
          </cell>
          <cell r="H122">
            <v>0</v>
          </cell>
          <cell r="N122" t="str">
            <v>35.00.000.5102.000000.0000.0000</v>
          </cell>
          <cell r="O122" t="str">
            <v>35.00.000.4110.000000.0000.0000</v>
          </cell>
          <cell r="P122" t="str">
            <v>Make</v>
          </cell>
        </row>
        <row r="123">
          <cell r="A123" t="str">
            <v>300001-001</v>
          </cell>
          <cell r="B123" t="str">
            <v>Frozen</v>
          </cell>
          <cell r="D123" t="str">
            <v>*</v>
          </cell>
          <cell r="E123" t="str">
            <v>*</v>
          </cell>
          <cell r="F123">
            <v>1</v>
          </cell>
          <cell r="G123">
            <v>0</v>
          </cell>
          <cell r="H123">
            <v>27.543289999999999</v>
          </cell>
          <cell r="I123">
            <v>24.693290000000001</v>
          </cell>
          <cell r="K123">
            <v>0.45</v>
          </cell>
          <cell r="M123">
            <v>2.4</v>
          </cell>
          <cell r="N123" t="str">
            <v>35.00.000.5101.000000.0000.0000</v>
          </cell>
          <cell r="O123" t="str">
            <v>35.00.000.4010.000000.0000.0000</v>
          </cell>
          <cell r="P123" t="str">
            <v>Make</v>
          </cell>
        </row>
        <row r="124">
          <cell r="A124" t="str">
            <v>300001-002</v>
          </cell>
          <cell r="B124" t="str">
            <v>Frozen</v>
          </cell>
          <cell r="D124" t="str">
            <v>*</v>
          </cell>
          <cell r="E124" t="str">
            <v>*</v>
          </cell>
          <cell r="F124">
            <v>1</v>
          </cell>
          <cell r="G124">
            <v>0</v>
          </cell>
          <cell r="H124">
            <v>28.277100000000001</v>
          </cell>
          <cell r="I124">
            <v>25.427099999999999</v>
          </cell>
          <cell r="K124">
            <v>0.45</v>
          </cell>
          <cell r="M124">
            <v>2.4</v>
          </cell>
          <cell r="N124" t="str">
            <v>35.00.000.5101.000000.0000.0000</v>
          </cell>
          <cell r="O124" t="str">
            <v>35.00.000.4010.000000.0000.0000</v>
          </cell>
          <cell r="P124" t="str">
            <v>Make</v>
          </cell>
        </row>
        <row r="125">
          <cell r="A125" t="str">
            <v>300002-001</v>
          </cell>
          <cell r="B125" t="str">
            <v>Frozen</v>
          </cell>
          <cell r="D125" t="str">
            <v>*</v>
          </cell>
          <cell r="E125" t="str">
            <v>*</v>
          </cell>
          <cell r="F125">
            <v>1</v>
          </cell>
          <cell r="G125">
            <v>0</v>
          </cell>
          <cell r="H125">
            <v>23.003900000000002</v>
          </cell>
          <cell r="I125">
            <v>23.003900000000002</v>
          </cell>
          <cell r="N125" t="str">
            <v>35.00.000.5101.000000.0000.0000</v>
          </cell>
          <cell r="O125" t="str">
            <v>35.00.000.4010.000000.0000.0000</v>
          </cell>
          <cell r="P125" t="str">
            <v>Make</v>
          </cell>
        </row>
        <row r="126">
          <cell r="A126" t="str">
            <v>300003-001</v>
          </cell>
          <cell r="B126" t="str">
            <v>Frozen</v>
          </cell>
          <cell r="D126" t="str">
            <v>*</v>
          </cell>
          <cell r="E126" t="str">
            <v>*</v>
          </cell>
          <cell r="F126">
            <v>1</v>
          </cell>
          <cell r="G126">
            <v>0</v>
          </cell>
          <cell r="H126">
            <v>23.003900000000002</v>
          </cell>
          <cell r="I126">
            <v>23.003900000000002</v>
          </cell>
          <cell r="N126" t="str">
            <v>35.00.000.5101.000000.0000.0000</v>
          </cell>
          <cell r="O126" t="str">
            <v>35.00.000.4010.000000.0000.0000</v>
          </cell>
          <cell r="P126" t="str">
            <v>Make</v>
          </cell>
        </row>
        <row r="127">
          <cell r="A127" t="str">
            <v>300004-001</v>
          </cell>
          <cell r="B127" t="str">
            <v>Frozen</v>
          </cell>
          <cell r="D127" t="str">
            <v>*</v>
          </cell>
          <cell r="E127" t="str">
            <v>*</v>
          </cell>
          <cell r="F127">
            <v>1</v>
          </cell>
          <cell r="G127">
            <v>0</v>
          </cell>
          <cell r="H127">
            <v>22.633859999999999</v>
          </cell>
          <cell r="I127">
            <v>22.633859999999999</v>
          </cell>
          <cell r="N127" t="str">
            <v>35.00.000.5101.000000.0000.0000</v>
          </cell>
          <cell r="O127" t="str">
            <v>35.00.000.4010.000000.0000.0000</v>
          </cell>
          <cell r="P127" t="str">
            <v>Make</v>
          </cell>
        </row>
        <row r="128">
          <cell r="A128" t="str">
            <v>300005-001</v>
          </cell>
          <cell r="B128" t="str">
            <v>Frozen</v>
          </cell>
          <cell r="D128" t="str">
            <v>*</v>
          </cell>
          <cell r="E128" t="str">
            <v>*</v>
          </cell>
          <cell r="F128">
            <v>1</v>
          </cell>
          <cell r="G128">
            <v>0</v>
          </cell>
          <cell r="H128">
            <v>0</v>
          </cell>
          <cell r="N128" t="str">
            <v>35.00.000.5101.000000.0000.0000</v>
          </cell>
          <cell r="O128" t="str">
            <v>35.00.000.4010.000000.0000.0000</v>
          </cell>
          <cell r="P128" t="str">
            <v>Make</v>
          </cell>
        </row>
        <row r="129">
          <cell r="A129" t="str">
            <v>300006-001</v>
          </cell>
          <cell r="B129" t="str">
            <v>Frozen</v>
          </cell>
          <cell r="D129" t="str">
            <v>*</v>
          </cell>
          <cell r="F129">
            <v>1</v>
          </cell>
          <cell r="G129">
            <v>0</v>
          </cell>
          <cell r="H129">
            <v>0.47536</v>
          </cell>
          <cell r="I129">
            <v>0.47536</v>
          </cell>
          <cell r="N129" t="str">
            <v>35.00.000.5101.000000.0000.0000</v>
          </cell>
          <cell r="O129" t="str">
            <v>35.00.000.4010.000000.0000.0000</v>
          </cell>
          <cell r="P129" t="str">
            <v>Buy</v>
          </cell>
        </row>
        <row r="130">
          <cell r="A130" t="str">
            <v>300008-001</v>
          </cell>
          <cell r="B130" t="str">
            <v>Frozen</v>
          </cell>
          <cell r="D130" t="str">
            <v>*</v>
          </cell>
          <cell r="F130">
            <v>1</v>
          </cell>
          <cell r="G130">
            <v>0</v>
          </cell>
          <cell r="H130">
            <v>4.4999999999999998E-2</v>
          </cell>
          <cell r="I130">
            <v>4.4999999999999998E-2</v>
          </cell>
          <cell r="N130" t="str">
            <v>35.00.000.5101.000000.0000.0000</v>
          </cell>
          <cell r="O130" t="str">
            <v>35.00.000.4010.000000.0000.0000</v>
          </cell>
          <cell r="P130" t="str">
            <v>Buy</v>
          </cell>
        </row>
        <row r="131">
          <cell r="A131" t="str">
            <v>300010-001</v>
          </cell>
          <cell r="B131" t="str">
            <v>Frozen</v>
          </cell>
          <cell r="D131" t="str">
            <v>*</v>
          </cell>
          <cell r="F131">
            <v>1</v>
          </cell>
          <cell r="G131">
            <v>0</v>
          </cell>
          <cell r="H131">
            <v>7</v>
          </cell>
          <cell r="I131">
            <v>7</v>
          </cell>
          <cell r="N131" t="str">
            <v>35.00.000.5101.000000.0000.0000</v>
          </cell>
          <cell r="O131" t="str">
            <v>35.00.000.4010.000000.0000.0000</v>
          </cell>
          <cell r="P131" t="str">
            <v>Buy</v>
          </cell>
        </row>
        <row r="132">
          <cell r="A132" t="str">
            <v>300013-001</v>
          </cell>
          <cell r="B132" t="str">
            <v>Frozen</v>
          </cell>
          <cell r="D132" t="str">
            <v>*</v>
          </cell>
          <cell r="F132">
            <v>1</v>
          </cell>
          <cell r="G132">
            <v>0</v>
          </cell>
          <cell r="H132">
            <v>7</v>
          </cell>
          <cell r="I132">
            <v>7</v>
          </cell>
          <cell r="N132" t="str">
            <v>35.00.000.5101.000000.0000.0000</v>
          </cell>
          <cell r="O132" t="str">
            <v>35.00.000.4010.000000.0000.0000</v>
          </cell>
          <cell r="P132" t="str">
            <v>Buy</v>
          </cell>
        </row>
        <row r="133">
          <cell r="A133" t="str">
            <v>300015-001</v>
          </cell>
          <cell r="B133" t="str">
            <v>Frozen</v>
          </cell>
          <cell r="D133" t="str">
            <v>*</v>
          </cell>
          <cell r="F133">
            <v>1</v>
          </cell>
          <cell r="G133">
            <v>0</v>
          </cell>
          <cell r="H133">
            <v>97</v>
          </cell>
          <cell r="I133">
            <v>97</v>
          </cell>
          <cell r="N133" t="str">
            <v>35.00.000.5101.000000.0000.0000</v>
          </cell>
          <cell r="O133" t="str">
            <v>35.00.000.4010.000000.0000.0000</v>
          </cell>
          <cell r="P133" t="str">
            <v>Buy</v>
          </cell>
        </row>
        <row r="134">
          <cell r="A134" t="str">
            <v>300016-001</v>
          </cell>
          <cell r="B134" t="str">
            <v>Frozen</v>
          </cell>
          <cell r="D134" t="str">
            <v>*</v>
          </cell>
          <cell r="F134">
            <v>1</v>
          </cell>
          <cell r="G134">
            <v>0</v>
          </cell>
          <cell r="H134">
            <v>1.4</v>
          </cell>
          <cell r="I134">
            <v>1.4</v>
          </cell>
          <cell r="N134" t="str">
            <v>35.00.000.5101.000000.0000.0000</v>
          </cell>
          <cell r="O134" t="str">
            <v>35.00.000.4010.000000.0000.0000</v>
          </cell>
          <cell r="P134" t="str">
            <v>Buy</v>
          </cell>
        </row>
        <row r="135">
          <cell r="A135" t="str">
            <v>300040-001</v>
          </cell>
          <cell r="B135" t="str">
            <v>Frozen</v>
          </cell>
          <cell r="D135" t="str">
            <v>*</v>
          </cell>
          <cell r="E135" t="str">
            <v>*</v>
          </cell>
          <cell r="F135">
            <v>1</v>
          </cell>
          <cell r="G135">
            <v>0</v>
          </cell>
          <cell r="H135">
            <v>90.481570000000005</v>
          </cell>
          <cell r="I135">
            <v>90.481570000000005</v>
          </cell>
          <cell r="N135" t="str">
            <v>35.00.000.5101.000000.0000.0000</v>
          </cell>
          <cell r="O135" t="str">
            <v>35.00.000.4010.000000.0000.0000</v>
          </cell>
          <cell r="P135" t="str">
            <v>Make</v>
          </cell>
        </row>
        <row r="136">
          <cell r="A136" t="str">
            <v>300040-002</v>
          </cell>
          <cell r="B136" t="str">
            <v>Frozen</v>
          </cell>
          <cell r="D136" t="str">
            <v>*</v>
          </cell>
          <cell r="E136" t="str">
            <v>*</v>
          </cell>
          <cell r="F136">
            <v>1</v>
          </cell>
          <cell r="G136">
            <v>0</v>
          </cell>
          <cell r="H136">
            <v>94.866200000000006</v>
          </cell>
          <cell r="I136">
            <v>94.866200000000006</v>
          </cell>
          <cell r="N136" t="str">
            <v>35.00.000.5102.000000.0000.0000</v>
          </cell>
          <cell r="O136" t="str">
            <v>35.00.000.4110.000000.0000.0000</v>
          </cell>
          <cell r="P136" t="str">
            <v>Make</v>
          </cell>
        </row>
        <row r="137">
          <cell r="A137" t="str">
            <v>300041-001</v>
          </cell>
          <cell r="B137" t="str">
            <v>Frozen</v>
          </cell>
          <cell r="D137" t="str">
            <v>*</v>
          </cell>
          <cell r="E137" t="str">
            <v>*</v>
          </cell>
          <cell r="F137">
            <v>1</v>
          </cell>
          <cell r="G137">
            <v>0</v>
          </cell>
          <cell r="N137" t="str">
            <v>35.00.000.5101.000000.0000.0000</v>
          </cell>
          <cell r="O137" t="str">
            <v>35.00.000.4010.000000.0000.0000</v>
          </cell>
          <cell r="P137" t="str">
            <v>Make</v>
          </cell>
        </row>
        <row r="138">
          <cell r="A138" t="str">
            <v>300042-001</v>
          </cell>
          <cell r="B138" t="str">
            <v>Frozen</v>
          </cell>
          <cell r="D138" t="str">
            <v>*</v>
          </cell>
          <cell r="E138" t="str">
            <v>*</v>
          </cell>
          <cell r="F138">
            <v>1</v>
          </cell>
          <cell r="G138">
            <v>0</v>
          </cell>
          <cell r="H138">
            <v>90.481570000000005</v>
          </cell>
          <cell r="I138">
            <v>90.481570000000005</v>
          </cell>
          <cell r="N138" t="str">
            <v>35.00.000.5101.000000.0000.0000</v>
          </cell>
          <cell r="O138" t="str">
            <v>35.00.000.4010.000000.0000.0000</v>
          </cell>
          <cell r="P138" t="str">
            <v>Make</v>
          </cell>
        </row>
        <row r="139">
          <cell r="A139" t="str">
            <v>300043-001</v>
          </cell>
          <cell r="B139" t="str">
            <v>Frozen</v>
          </cell>
          <cell r="D139" t="str">
            <v>*</v>
          </cell>
          <cell r="E139" t="str">
            <v>*</v>
          </cell>
          <cell r="F139">
            <v>1</v>
          </cell>
          <cell r="G139">
            <v>0</v>
          </cell>
          <cell r="H139">
            <v>90.481570000000005</v>
          </cell>
          <cell r="I139">
            <v>90.481570000000005</v>
          </cell>
          <cell r="N139" t="str">
            <v>35.00.000.5101.000000.0000.0000</v>
          </cell>
          <cell r="O139" t="str">
            <v>35.00.000.4010.000000.0000.0000</v>
          </cell>
          <cell r="P139" t="str">
            <v>Make</v>
          </cell>
        </row>
        <row r="140">
          <cell r="A140" t="str">
            <v>300043-002</v>
          </cell>
          <cell r="B140" t="str">
            <v>Frozen</v>
          </cell>
          <cell r="D140" t="str">
            <v>*</v>
          </cell>
          <cell r="E140" t="str">
            <v>*</v>
          </cell>
          <cell r="F140">
            <v>1</v>
          </cell>
          <cell r="G140">
            <v>0</v>
          </cell>
          <cell r="H140">
            <v>94.866200000000006</v>
          </cell>
          <cell r="I140">
            <v>94.866200000000006</v>
          </cell>
          <cell r="N140" t="str">
            <v>35.00.000.5102.000000.0000.0000</v>
          </cell>
          <cell r="O140" t="str">
            <v>35.00.000.4110.000000.0000.0000</v>
          </cell>
          <cell r="P140" t="str">
            <v>Make</v>
          </cell>
        </row>
        <row r="141">
          <cell r="A141" t="str">
            <v>300044-001</v>
          </cell>
          <cell r="B141" t="str">
            <v>Frozen</v>
          </cell>
          <cell r="D141" t="str">
            <v>*</v>
          </cell>
          <cell r="F141">
            <v>1</v>
          </cell>
          <cell r="G141">
            <v>0</v>
          </cell>
          <cell r="H141">
            <v>0.04</v>
          </cell>
          <cell r="I141">
            <v>0.04</v>
          </cell>
          <cell r="N141" t="str">
            <v>35.00.000.5101.000000.0000.0000</v>
          </cell>
          <cell r="O141" t="str">
            <v>35.00.000.4010.000000.0000.0000</v>
          </cell>
          <cell r="P141" t="str">
            <v>Buy</v>
          </cell>
        </row>
        <row r="142">
          <cell r="A142" t="str">
            <v>300044-002</v>
          </cell>
          <cell r="B142" t="str">
            <v>Frozen</v>
          </cell>
          <cell r="D142" t="str">
            <v>*</v>
          </cell>
          <cell r="F142">
            <v>1</v>
          </cell>
          <cell r="G142">
            <v>0</v>
          </cell>
          <cell r="H142">
            <v>3.5000000000000003E-2</v>
          </cell>
          <cell r="I142">
            <v>3.5000000000000003E-2</v>
          </cell>
          <cell r="N142" t="str">
            <v>35.00.000.5101.000000.0000.0000</v>
          </cell>
          <cell r="O142" t="str">
            <v>35.00.000.4010.000000.0000.0000</v>
          </cell>
          <cell r="P142" t="str">
            <v>Buy</v>
          </cell>
        </row>
        <row r="143">
          <cell r="A143" t="str">
            <v>300045-001</v>
          </cell>
          <cell r="B143" t="str">
            <v>Frozen</v>
          </cell>
          <cell r="D143" t="str">
            <v>*</v>
          </cell>
          <cell r="E143" t="str">
            <v>*</v>
          </cell>
          <cell r="F143">
            <v>1</v>
          </cell>
          <cell r="G143">
            <v>0</v>
          </cell>
          <cell r="H143">
            <v>95.406570000000002</v>
          </cell>
          <cell r="I143">
            <v>92.556569999999994</v>
          </cell>
          <cell r="K143">
            <v>0.45</v>
          </cell>
          <cell r="M143">
            <v>2.4</v>
          </cell>
          <cell r="N143" t="str">
            <v>35.00.000.5101.000000.0000.0000</v>
          </cell>
          <cell r="O143" t="str">
            <v>35.00.000.4010.000000.0000.0000</v>
          </cell>
          <cell r="P143" t="str">
            <v>Make</v>
          </cell>
        </row>
        <row r="144">
          <cell r="A144" t="str">
            <v>300045-002</v>
          </cell>
          <cell r="B144" t="str">
            <v>Frozen</v>
          </cell>
          <cell r="D144" t="str">
            <v>*</v>
          </cell>
          <cell r="E144" t="str">
            <v>*</v>
          </cell>
          <cell r="F144">
            <v>1</v>
          </cell>
          <cell r="G144">
            <v>0</v>
          </cell>
          <cell r="H144">
            <v>99.467830000000006</v>
          </cell>
          <cell r="I144">
            <v>96.617829999999998</v>
          </cell>
          <cell r="K144">
            <v>0.45</v>
          </cell>
          <cell r="M144">
            <v>2.4</v>
          </cell>
          <cell r="N144" t="str">
            <v>35.00.000.5102.000000.0000.0000</v>
          </cell>
          <cell r="O144" t="str">
            <v>35.00.000.4110.000000.0000.0000</v>
          </cell>
          <cell r="P144" t="str">
            <v>Make</v>
          </cell>
        </row>
        <row r="145">
          <cell r="A145" t="str">
            <v>300045-004</v>
          </cell>
          <cell r="B145" t="str">
            <v>Frozen</v>
          </cell>
          <cell r="D145" t="str">
            <v>*</v>
          </cell>
          <cell r="E145" t="str">
            <v>*</v>
          </cell>
          <cell r="F145">
            <v>1</v>
          </cell>
          <cell r="G145">
            <v>0</v>
          </cell>
          <cell r="H145">
            <v>115.59256999999999</v>
          </cell>
          <cell r="I145">
            <v>112.74257</v>
          </cell>
          <cell r="K145">
            <v>0.45</v>
          </cell>
          <cell r="M145">
            <v>2.4</v>
          </cell>
          <cell r="N145" t="str">
            <v>35.00.000.5102.000000.0000.0000</v>
          </cell>
          <cell r="O145" t="str">
            <v>35.00.000.4110.000000.0000.0000</v>
          </cell>
          <cell r="P145" t="str">
            <v>Make</v>
          </cell>
        </row>
        <row r="146">
          <cell r="A146" t="str">
            <v>300045-101</v>
          </cell>
          <cell r="B146" t="str">
            <v>Frozen</v>
          </cell>
          <cell r="D146" t="str">
            <v>*</v>
          </cell>
          <cell r="E146" t="str">
            <v>*</v>
          </cell>
          <cell r="F146">
            <v>1</v>
          </cell>
          <cell r="G146">
            <v>0</v>
          </cell>
          <cell r="H146">
            <v>99.791200000000003</v>
          </cell>
          <cell r="I146">
            <v>96.941199999999995</v>
          </cell>
          <cell r="K146">
            <v>0.45</v>
          </cell>
          <cell r="M146">
            <v>2.4</v>
          </cell>
          <cell r="N146" t="str">
            <v>35.00.000.5102.000000.0000.0000</v>
          </cell>
          <cell r="O146" t="str">
            <v>35.00.000.4110.000000.0000.0000</v>
          </cell>
          <cell r="P146" t="str">
            <v>Make</v>
          </cell>
        </row>
        <row r="147">
          <cell r="A147" t="str">
            <v>300045-102</v>
          </cell>
          <cell r="B147" t="str">
            <v>Frozen</v>
          </cell>
          <cell r="D147" t="str">
            <v>*</v>
          </cell>
          <cell r="E147" t="str">
            <v>*</v>
          </cell>
          <cell r="F147">
            <v>1</v>
          </cell>
          <cell r="G147">
            <v>0</v>
          </cell>
          <cell r="H147">
            <v>103.85245999999999</v>
          </cell>
          <cell r="I147">
            <v>101.00246</v>
          </cell>
          <cell r="K147">
            <v>0.45</v>
          </cell>
          <cell r="M147">
            <v>2.4</v>
          </cell>
          <cell r="N147" t="str">
            <v>35.00.000.5102.000000.0000.0000</v>
          </cell>
          <cell r="O147" t="str">
            <v>35.00.000.4110.000000.0000.0000</v>
          </cell>
          <cell r="P147" t="str">
            <v>Make</v>
          </cell>
        </row>
        <row r="148">
          <cell r="A148" t="str">
            <v>300045-104</v>
          </cell>
          <cell r="B148" t="str">
            <v>Frozen</v>
          </cell>
          <cell r="D148" t="str">
            <v>*</v>
          </cell>
          <cell r="E148" t="str">
            <v>*</v>
          </cell>
          <cell r="F148">
            <v>1</v>
          </cell>
          <cell r="G148">
            <v>0</v>
          </cell>
          <cell r="H148">
            <v>119.9772</v>
          </cell>
          <cell r="I148">
            <v>117.1272</v>
          </cell>
          <cell r="K148">
            <v>0.45</v>
          </cell>
          <cell r="M148">
            <v>2.4</v>
          </cell>
          <cell r="N148" t="str">
            <v>35.00.000.5102.000000.0000.0000</v>
          </cell>
          <cell r="O148" t="str">
            <v>35.00.000.4110.000000.0000.0000</v>
          </cell>
          <cell r="P148" t="str">
            <v>Make</v>
          </cell>
        </row>
        <row r="149">
          <cell r="A149" t="str">
            <v>300046-001</v>
          </cell>
          <cell r="B149" t="str">
            <v>Frozen</v>
          </cell>
          <cell r="D149" t="str">
            <v>*</v>
          </cell>
          <cell r="F149">
            <v>1</v>
          </cell>
          <cell r="G149">
            <v>0</v>
          </cell>
          <cell r="H149">
            <v>2.0306299999999999</v>
          </cell>
          <cell r="I149">
            <v>2.0306299999999999</v>
          </cell>
          <cell r="N149" t="str">
            <v>35.00.000.5102.000000.0000.0000</v>
          </cell>
          <cell r="O149" t="str">
            <v>35.00.000.4110.000000.0000.0000</v>
          </cell>
          <cell r="P149" t="str">
            <v>Buy</v>
          </cell>
        </row>
        <row r="150">
          <cell r="A150" t="str">
            <v>300046-002</v>
          </cell>
          <cell r="B150" t="str">
            <v>Frozen</v>
          </cell>
          <cell r="D150" t="str">
            <v>*</v>
          </cell>
          <cell r="F150">
            <v>1</v>
          </cell>
          <cell r="G150">
            <v>0</v>
          </cell>
          <cell r="H150">
            <v>2.0306299999999999</v>
          </cell>
          <cell r="I150">
            <v>2.0306299999999999</v>
          </cell>
          <cell r="N150" t="str">
            <v>35.00.000.5102.000000.0000.0000</v>
          </cell>
          <cell r="O150" t="str">
            <v>35.00.000.4110.000000.0000.0000</v>
          </cell>
          <cell r="P150" t="str">
            <v>Buy</v>
          </cell>
        </row>
        <row r="151">
          <cell r="A151" t="str">
            <v>300047-001</v>
          </cell>
          <cell r="B151" t="str">
            <v>Frozen</v>
          </cell>
          <cell r="D151" t="str">
            <v>*</v>
          </cell>
          <cell r="F151">
            <v>1</v>
          </cell>
          <cell r="G151">
            <v>0</v>
          </cell>
          <cell r="H151">
            <v>2.0306299999999999</v>
          </cell>
          <cell r="I151">
            <v>2.0306299999999999</v>
          </cell>
          <cell r="N151" t="str">
            <v>35.00.000.5102.000000.0000.0000</v>
          </cell>
          <cell r="O151" t="str">
            <v>35.00.000.4110.000000.0000.0000</v>
          </cell>
          <cell r="P151" t="str">
            <v>Buy</v>
          </cell>
        </row>
        <row r="152">
          <cell r="A152" t="str">
            <v>300047-002</v>
          </cell>
          <cell r="B152" t="str">
            <v>Frozen</v>
          </cell>
          <cell r="D152" t="str">
            <v>*</v>
          </cell>
          <cell r="F152">
            <v>1</v>
          </cell>
          <cell r="G152">
            <v>0</v>
          </cell>
          <cell r="H152">
            <v>2.0306299999999999</v>
          </cell>
          <cell r="I152">
            <v>2.0306299999999999</v>
          </cell>
          <cell r="N152" t="str">
            <v>35.00.000.5102.000000.0000.0000</v>
          </cell>
          <cell r="O152" t="str">
            <v>35.00.000.4110.000000.0000.0000</v>
          </cell>
          <cell r="P152" t="str">
            <v>Buy</v>
          </cell>
        </row>
        <row r="153">
          <cell r="A153" t="str">
            <v>300048-001</v>
          </cell>
          <cell r="B153" t="str">
            <v>Frozen</v>
          </cell>
          <cell r="D153" t="str">
            <v>*</v>
          </cell>
          <cell r="F153">
            <v>1</v>
          </cell>
          <cell r="G153">
            <v>0</v>
          </cell>
          <cell r="H153">
            <v>1.97</v>
          </cell>
          <cell r="I153">
            <v>1.97</v>
          </cell>
          <cell r="N153" t="str">
            <v>35.00.000.5101.000000.0000.0000</v>
          </cell>
          <cell r="O153" t="str">
            <v>35.00.000.4010.000000.0000.0000</v>
          </cell>
          <cell r="P153" t="str">
            <v>Buy</v>
          </cell>
        </row>
        <row r="154">
          <cell r="A154" t="str">
            <v>300048-002</v>
          </cell>
          <cell r="B154" t="str">
            <v>Frozen</v>
          </cell>
          <cell r="D154" t="str">
            <v>*</v>
          </cell>
          <cell r="F154">
            <v>1</v>
          </cell>
          <cell r="G154">
            <v>0</v>
          </cell>
          <cell r="H154">
            <v>1.97</v>
          </cell>
          <cell r="I154">
            <v>1.97</v>
          </cell>
          <cell r="N154" t="str">
            <v>35.00.000.5101.000000.0000.0000</v>
          </cell>
          <cell r="O154" t="str">
            <v>35.00.000.4010.000000.0000.0000</v>
          </cell>
          <cell r="P154" t="str">
            <v>Buy</v>
          </cell>
        </row>
        <row r="155">
          <cell r="A155" t="str">
            <v>300048-003</v>
          </cell>
          <cell r="B155" t="str">
            <v>Frozen</v>
          </cell>
          <cell r="D155" t="str">
            <v>*</v>
          </cell>
          <cell r="F155">
            <v>1</v>
          </cell>
          <cell r="G155">
            <v>0</v>
          </cell>
          <cell r="H155">
            <v>1.97</v>
          </cell>
          <cell r="I155">
            <v>1.97</v>
          </cell>
          <cell r="N155" t="str">
            <v>35.00.000.5102.000000.0000.0000</v>
          </cell>
          <cell r="O155" t="str">
            <v>35.00.000.4110.000000.0000.0000</v>
          </cell>
          <cell r="P155" t="str">
            <v>Buy</v>
          </cell>
        </row>
        <row r="156">
          <cell r="A156" t="str">
            <v>300050-001</v>
          </cell>
          <cell r="B156" t="str">
            <v>Frozen</v>
          </cell>
          <cell r="D156" t="str">
            <v>*</v>
          </cell>
          <cell r="E156" t="str">
            <v>*</v>
          </cell>
          <cell r="F156">
            <v>1</v>
          </cell>
          <cell r="G156">
            <v>0</v>
          </cell>
          <cell r="H156">
            <v>101.45508</v>
          </cell>
          <cell r="I156">
            <v>101.45508</v>
          </cell>
          <cell r="N156" t="str">
            <v>35.00.000.5101.000000.0000.0000</v>
          </cell>
          <cell r="O156" t="str">
            <v>35.00.000.4010.000000.0000.0000</v>
          </cell>
          <cell r="P156" t="str">
            <v>Make</v>
          </cell>
        </row>
        <row r="157">
          <cell r="A157" t="str">
            <v>300051-001</v>
          </cell>
          <cell r="B157" t="str">
            <v>Frozen</v>
          </cell>
          <cell r="D157" t="str">
            <v>*</v>
          </cell>
          <cell r="E157" t="str">
            <v>*</v>
          </cell>
          <cell r="F157">
            <v>1</v>
          </cell>
          <cell r="G157">
            <v>0</v>
          </cell>
          <cell r="H157">
            <v>101.45508</v>
          </cell>
          <cell r="I157">
            <v>101.45508</v>
          </cell>
          <cell r="N157" t="str">
            <v>35.00.000.5101.000000.0000.0000</v>
          </cell>
          <cell r="O157" t="str">
            <v>35.00.000.4010.000000.0000.0000</v>
          </cell>
          <cell r="P157" t="str">
            <v>Make</v>
          </cell>
        </row>
        <row r="158">
          <cell r="A158" t="str">
            <v>300052-001</v>
          </cell>
          <cell r="B158" t="str">
            <v>Frozen</v>
          </cell>
          <cell r="D158" t="str">
            <v>*</v>
          </cell>
          <cell r="E158" t="str">
            <v>*</v>
          </cell>
          <cell r="F158">
            <v>1</v>
          </cell>
          <cell r="G158">
            <v>0</v>
          </cell>
          <cell r="H158">
            <v>101.45508</v>
          </cell>
          <cell r="I158">
            <v>101.45508</v>
          </cell>
          <cell r="N158" t="str">
            <v>35.00.000.5101.000000.0000.0000</v>
          </cell>
          <cell r="O158" t="str">
            <v>35.00.000.4010.000000.0000.0000</v>
          </cell>
          <cell r="P158" t="str">
            <v>Make</v>
          </cell>
        </row>
        <row r="159">
          <cell r="A159" t="str">
            <v>300053-001</v>
          </cell>
          <cell r="B159" t="str">
            <v>Frozen</v>
          </cell>
          <cell r="D159" t="str">
            <v>*</v>
          </cell>
          <cell r="E159" t="str">
            <v>*</v>
          </cell>
          <cell r="F159">
            <v>1</v>
          </cell>
          <cell r="G159">
            <v>0</v>
          </cell>
          <cell r="H159">
            <v>101.45508</v>
          </cell>
          <cell r="I159">
            <v>101.45508</v>
          </cell>
          <cell r="N159" t="str">
            <v>35.00.000.5101.000000.0000.0000</v>
          </cell>
          <cell r="O159" t="str">
            <v>35.00.000.4010.000000.0000.0000</v>
          </cell>
          <cell r="P159" t="str">
            <v>Make</v>
          </cell>
        </row>
        <row r="160">
          <cell r="A160" t="str">
            <v>300055-001</v>
          </cell>
          <cell r="B160" t="str">
            <v>Frozen</v>
          </cell>
          <cell r="D160" t="str">
            <v>*</v>
          </cell>
          <cell r="E160" t="str">
            <v>*</v>
          </cell>
          <cell r="F160">
            <v>1</v>
          </cell>
          <cell r="G160">
            <v>0</v>
          </cell>
          <cell r="H160">
            <v>104.71892</v>
          </cell>
          <cell r="I160">
            <v>101.86892</v>
          </cell>
          <cell r="K160">
            <v>0.45</v>
          </cell>
          <cell r="M160">
            <v>2.4</v>
          </cell>
          <cell r="N160" t="str">
            <v>35.00.000.5101.000000.0000.0000</v>
          </cell>
          <cell r="O160" t="str">
            <v>35.00.000.4010.000000.0000.0000</v>
          </cell>
          <cell r="P160" t="str">
            <v>Make</v>
          </cell>
        </row>
        <row r="161">
          <cell r="A161" t="str">
            <v>300055-003</v>
          </cell>
          <cell r="B161" t="str">
            <v>Frozen</v>
          </cell>
          <cell r="D161" t="str">
            <v>*</v>
          </cell>
          <cell r="E161" t="str">
            <v>*</v>
          </cell>
          <cell r="F161">
            <v>1</v>
          </cell>
          <cell r="G161">
            <v>0</v>
          </cell>
          <cell r="H161">
            <v>139.78018</v>
          </cell>
          <cell r="I161">
            <v>136.93018000000001</v>
          </cell>
          <cell r="K161">
            <v>0.45</v>
          </cell>
          <cell r="M161">
            <v>2.4</v>
          </cell>
          <cell r="N161" t="str">
            <v>35.00.000.5101.000000.0000.0000</v>
          </cell>
          <cell r="O161" t="str">
            <v>35.00.000.4010.000000.0000.0000</v>
          </cell>
          <cell r="P161" t="str">
            <v>Make</v>
          </cell>
        </row>
        <row r="162">
          <cell r="A162" t="str">
            <v>300061-001</v>
          </cell>
          <cell r="B162" t="str">
            <v>Frozen</v>
          </cell>
          <cell r="D162" t="str">
            <v>*</v>
          </cell>
          <cell r="E162" t="str">
            <v>*</v>
          </cell>
          <cell r="F162">
            <v>1</v>
          </cell>
          <cell r="G162">
            <v>0</v>
          </cell>
          <cell r="H162">
            <v>24.217929999999999</v>
          </cell>
          <cell r="I162">
            <v>24.217929999999999</v>
          </cell>
          <cell r="N162" t="str">
            <v>35.00.000.5102.000000.0000.0000</v>
          </cell>
          <cell r="O162" t="str">
            <v>35.00.000.4110.000000.0000.0000</v>
          </cell>
          <cell r="P162" t="str">
            <v>Make</v>
          </cell>
        </row>
        <row r="163">
          <cell r="A163" t="str">
            <v>300061-002</v>
          </cell>
          <cell r="B163" t="str">
            <v>Frozen</v>
          </cell>
          <cell r="D163" t="str">
            <v>*</v>
          </cell>
          <cell r="E163" t="str">
            <v>*</v>
          </cell>
          <cell r="F163">
            <v>1</v>
          </cell>
          <cell r="G163">
            <v>0</v>
          </cell>
          <cell r="H163">
            <v>24.45036</v>
          </cell>
          <cell r="I163">
            <v>24.45036</v>
          </cell>
          <cell r="N163" t="str">
            <v>35.00.000.5102.000000.0000.0000</v>
          </cell>
          <cell r="O163" t="str">
            <v>35.00.000.4110.000000.0000.0000</v>
          </cell>
          <cell r="P163" t="str">
            <v>Make</v>
          </cell>
        </row>
        <row r="164">
          <cell r="A164" t="str">
            <v>300062-001</v>
          </cell>
          <cell r="B164" t="str">
            <v>Frozen</v>
          </cell>
          <cell r="D164" t="str">
            <v>*</v>
          </cell>
          <cell r="E164" t="str">
            <v>*</v>
          </cell>
          <cell r="F164">
            <v>1</v>
          </cell>
          <cell r="G164">
            <v>0</v>
          </cell>
          <cell r="H164">
            <v>0</v>
          </cell>
          <cell r="N164" t="str">
            <v>35.00.000.5102.000000.0000.0000</v>
          </cell>
          <cell r="O164" t="str">
            <v>35.00.000.4110.000000.0000.0000</v>
          </cell>
          <cell r="P164" t="str">
            <v>Make</v>
          </cell>
        </row>
        <row r="165">
          <cell r="A165" t="str">
            <v>300062-002</v>
          </cell>
          <cell r="B165" t="str">
            <v>Frozen</v>
          </cell>
          <cell r="D165" t="str">
            <v>*</v>
          </cell>
          <cell r="E165" t="str">
            <v>*</v>
          </cell>
          <cell r="F165">
            <v>1</v>
          </cell>
          <cell r="G165">
            <v>0</v>
          </cell>
          <cell r="H165">
            <v>0</v>
          </cell>
          <cell r="N165" t="str">
            <v>35.00.000.5102.000000.0000.0000</v>
          </cell>
          <cell r="O165" t="str">
            <v>35.00.000.4110.000000.0000.0000</v>
          </cell>
          <cell r="P165" t="str">
            <v>Make</v>
          </cell>
        </row>
        <row r="166">
          <cell r="A166" t="str">
            <v>300063-001</v>
          </cell>
          <cell r="B166" t="str">
            <v>Frozen</v>
          </cell>
          <cell r="D166" t="str">
            <v>*</v>
          </cell>
          <cell r="E166" t="str">
            <v>*</v>
          </cell>
          <cell r="F166">
            <v>1</v>
          </cell>
          <cell r="G166">
            <v>0</v>
          </cell>
          <cell r="H166">
            <v>24.217929999999999</v>
          </cell>
          <cell r="I166">
            <v>24.217929999999999</v>
          </cell>
          <cell r="N166" t="str">
            <v>35.00.000.5102.000000.0000.0000</v>
          </cell>
          <cell r="O166" t="str">
            <v>35.00.000.4110.000000.0000.0000</v>
          </cell>
          <cell r="P166" t="str">
            <v>Make</v>
          </cell>
        </row>
        <row r="167">
          <cell r="A167" t="str">
            <v>300063-002</v>
          </cell>
          <cell r="B167" t="str">
            <v>Frozen</v>
          </cell>
          <cell r="D167" t="str">
            <v>*</v>
          </cell>
          <cell r="E167" t="str">
            <v>*</v>
          </cell>
          <cell r="F167">
            <v>1</v>
          </cell>
          <cell r="G167">
            <v>0</v>
          </cell>
          <cell r="H167">
            <v>24.45036</v>
          </cell>
          <cell r="I167">
            <v>24.45036</v>
          </cell>
          <cell r="N167" t="str">
            <v>35.00.000.5102.000000.0000.0000</v>
          </cell>
          <cell r="O167" t="str">
            <v>35.00.000.4110.000000.0000.0000</v>
          </cell>
          <cell r="P167" t="str">
            <v>Make</v>
          </cell>
        </row>
        <row r="168">
          <cell r="A168" t="str">
            <v>300064-001</v>
          </cell>
          <cell r="B168" t="str">
            <v>Frozen</v>
          </cell>
          <cell r="D168" t="str">
            <v>*</v>
          </cell>
          <cell r="E168" t="str">
            <v>*</v>
          </cell>
          <cell r="F168">
            <v>1</v>
          </cell>
          <cell r="G168">
            <v>0</v>
          </cell>
          <cell r="H168">
            <v>0</v>
          </cell>
          <cell r="N168" t="str">
            <v>35.00.000.5102.000000.0000.0000</v>
          </cell>
          <cell r="O168" t="str">
            <v>35.00.000.4110.000000.0000.0000</v>
          </cell>
          <cell r="P168" t="str">
            <v>Make</v>
          </cell>
        </row>
        <row r="169">
          <cell r="A169" t="str">
            <v>300064-002</v>
          </cell>
          <cell r="B169" t="str">
            <v>Frozen</v>
          </cell>
          <cell r="D169" t="str">
            <v>*</v>
          </cell>
          <cell r="E169" t="str">
            <v>*</v>
          </cell>
          <cell r="F169">
            <v>1</v>
          </cell>
          <cell r="G169">
            <v>0</v>
          </cell>
          <cell r="H169">
            <v>0</v>
          </cell>
          <cell r="N169" t="str">
            <v>35.00.000.5102.000000.0000.0000</v>
          </cell>
          <cell r="O169" t="str">
            <v>35.00.000.4110.000000.0000.0000</v>
          </cell>
          <cell r="P169" t="str">
            <v>Make</v>
          </cell>
        </row>
        <row r="170">
          <cell r="A170" t="str">
            <v>300065-001</v>
          </cell>
          <cell r="B170" t="str">
            <v>Frozen</v>
          </cell>
          <cell r="D170" t="str">
            <v>*</v>
          </cell>
          <cell r="F170">
            <v>1</v>
          </cell>
          <cell r="G170">
            <v>0</v>
          </cell>
          <cell r="H170">
            <v>7</v>
          </cell>
          <cell r="I170">
            <v>7</v>
          </cell>
          <cell r="N170" t="str">
            <v>35.00.000.5101.000000.0000.0000</v>
          </cell>
          <cell r="O170" t="str">
            <v>35.00.000.4010.000000.0000.0000</v>
          </cell>
          <cell r="P170" t="str">
            <v>Buy</v>
          </cell>
        </row>
        <row r="171">
          <cell r="A171" t="str">
            <v>300066-001</v>
          </cell>
          <cell r="B171" t="str">
            <v>Frozen</v>
          </cell>
          <cell r="D171" t="str">
            <v>*</v>
          </cell>
          <cell r="F171">
            <v>1</v>
          </cell>
          <cell r="G171">
            <v>0</v>
          </cell>
          <cell r="H171">
            <v>7</v>
          </cell>
          <cell r="I171">
            <v>7</v>
          </cell>
          <cell r="N171" t="str">
            <v>35.00.000.5101.000000.0000.0000</v>
          </cell>
          <cell r="O171" t="str">
            <v>35.00.000.4010.000000.0000.0000</v>
          </cell>
          <cell r="P171" t="str">
            <v>Buy</v>
          </cell>
        </row>
        <row r="172">
          <cell r="A172" t="str">
            <v>300067-001</v>
          </cell>
          <cell r="B172" t="str">
            <v>Frozen</v>
          </cell>
          <cell r="D172" t="str">
            <v>*</v>
          </cell>
          <cell r="F172">
            <v>1</v>
          </cell>
          <cell r="G172">
            <v>0</v>
          </cell>
          <cell r="H172">
            <v>97</v>
          </cell>
          <cell r="I172">
            <v>97</v>
          </cell>
          <cell r="N172" t="str">
            <v>35.00.000.5102.000000.0000.0000</v>
          </cell>
          <cell r="O172" t="str">
            <v>35.00.000.4110.000000.0000.0000</v>
          </cell>
          <cell r="P172" t="str">
            <v>Buy</v>
          </cell>
        </row>
        <row r="173">
          <cell r="A173" t="str">
            <v>300068-001</v>
          </cell>
          <cell r="B173" t="str">
            <v>Frozen</v>
          </cell>
          <cell r="D173" t="str">
            <v>*</v>
          </cell>
          <cell r="F173">
            <v>1</v>
          </cell>
          <cell r="G173">
            <v>0</v>
          </cell>
          <cell r="H173">
            <v>1.4</v>
          </cell>
          <cell r="I173">
            <v>1.4</v>
          </cell>
          <cell r="N173" t="str">
            <v>35.00.000.5102.000000.0000.0000</v>
          </cell>
          <cell r="O173" t="str">
            <v>35.00.000.4110.000000.0000.0000</v>
          </cell>
          <cell r="P173" t="str">
            <v>Buy</v>
          </cell>
        </row>
        <row r="174">
          <cell r="A174" t="str">
            <v>300069-001</v>
          </cell>
          <cell r="B174" t="str">
            <v>Frozen</v>
          </cell>
          <cell r="D174" t="str">
            <v>*</v>
          </cell>
          <cell r="F174">
            <v>1</v>
          </cell>
          <cell r="G174">
            <v>0</v>
          </cell>
          <cell r="H174">
            <v>11.552</v>
          </cell>
          <cell r="I174">
            <v>11.552</v>
          </cell>
          <cell r="N174" t="str">
            <v>35.00.000.5102.000000.0000.0000</v>
          </cell>
          <cell r="O174" t="str">
            <v>35.00.000.4110.000000.0000.0000</v>
          </cell>
          <cell r="P174" t="str">
            <v>Buy</v>
          </cell>
        </row>
        <row r="175">
          <cell r="A175" t="str">
            <v>300070-001</v>
          </cell>
          <cell r="B175" t="str">
            <v>Frozen</v>
          </cell>
          <cell r="D175" t="str">
            <v>*</v>
          </cell>
          <cell r="F175">
            <v>1</v>
          </cell>
          <cell r="G175">
            <v>0</v>
          </cell>
          <cell r="H175">
            <v>8.6639999999999997</v>
          </cell>
          <cell r="I175">
            <v>8.6639999999999997</v>
          </cell>
          <cell r="N175" t="str">
            <v>35.00.000.5102.000000.0000.0000</v>
          </cell>
          <cell r="O175" t="str">
            <v>35.00.000.4110.000000.0000.0000</v>
          </cell>
          <cell r="P175" t="str">
            <v>Buy</v>
          </cell>
        </row>
        <row r="176">
          <cell r="A176" t="str">
            <v>300071-001</v>
          </cell>
          <cell r="B176" t="str">
            <v>Frozen</v>
          </cell>
          <cell r="D176" t="str">
            <v>*</v>
          </cell>
          <cell r="E176" t="str">
            <v>*</v>
          </cell>
          <cell r="F176">
            <v>1</v>
          </cell>
          <cell r="G176">
            <v>0</v>
          </cell>
          <cell r="H176">
            <v>99.068929999999995</v>
          </cell>
          <cell r="I176">
            <v>99.068929999999995</v>
          </cell>
          <cell r="N176" t="str">
            <v>35.00.000.5102.000000.0000.0000</v>
          </cell>
          <cell r="O176" t="str">
            <v>35.00.000.4110.000000.0000.0000</v>
          </cell>
          <cell r="P176" t="str">
            <v>Make</v>
          </cell>
        </row>
        <row r="177">
          <cell r="A177" t="str">
            <v>300072-001</v>
          </cell>
          <cell r="B177" t="str">
            <v>Frozen</v>
          </cell>
          <cell r="D177" t="str">
            <v>*</v>
          </cell>
          <cell r="E177" t="str">
            <v>*</v>
          </cell>
          <cell r="F177">
            <v>1</v>
          </cell>
          <cell r="G177">
            <v>0</v>
          </cell>
          <cell r="N177" t="str">
            <v>35.00.000.5102.000000.0000.0000</v>
          </cell>
          <cell r="O177" t="str">
            <v>35.00.000.4110.000000.0000.0000</v>
          </cell>
          <cell r="P177" t="str">
            <v>Make</v>
          </cell>
        </row>
        <row r="178">
          <cell r="A178" t="str">
            <v>300073-001</v>
          </cell>
          <cell r="B178" t="str">
            <v>Frozen</v>
          </cell>
          <cell r="D178" t="str">
            <v>*</v>
          </cell>
          <cell r="E178" t="str">
            <v>*</v>
          </cell>
          <cell r="F178">
            <v>1</v>
          </cell>
          <cell r="G178">
            <v>0</v>
          </cell>
          <cell r="H178">
            <v>0</v>
          </cell>
          <cell r="N178" t="str">
            <v>35.00.000.5102.000000.0000.0000</v>
          </cell>
          <cell r="O178" t="str">
            <v>35.00.000.4110.000000.0000.0000</v>
          </cell>
          <cell r="P178" t="str">
            <v>Make</v>
          </cell>
        </row>
        <row r="179">
          <cell r="A179" t="str">
            <v>300074-001</v>
          </cell>
          <cell r="B179" t="str">
            <v>Frozen</v>
          </cell>
          <cell r="D179" t="str">
            <v>*</v>
          </cell>
          <cell r="E179" t="str">
            <v>*</v>
          </cell>
          <cell r="F179">
            <v>1</v>
          </cell>
          <cell r="G179">
            <v>0</v>
          </cell>
          <cell r="H179">
            <v>99.068929999999995</v>
          </cell>
          <cell r="I179">
            <v>99.068929999999995</v>
          </cell>
          <cell r="N179" t="str">
            <v>35.00.000.5102.000000.0000.0000</v>
          </cell>
          <cell r="O179" t="str">
            <v>35.00.000.4110.000000.0000.0000</v>
          </cell>
          <cell r="P179" t="str">
            <v>Make</v>
          </cell>
        </row>
        <row r="180">
          <cell r="A180" t="str">
            <v>300075-001</v>
          </cell>
          <cell r="B180" t="str">
            <v>Frozen</v>
          </cell>
          <cell r="D180" t="str">
            <v>*</v>
          </cell>
          <cell r="E180" t="str">
            <v>*</v>
          </cell>
          <cell r="F180">
            <v>1</v>
          </cell>
          <cell r="G180">
            <v>0</v>
          </cell>
          <cell r="H180">
            <v>102.36277</v>
          </cell>
          <cell r="I180">
            <v>99.512770000000003</v>
          </cell>
          <cell r="K180">
            <v>0.45</v>
          </cell>
          <cell r="M180">
            <v>2.4</v>
          </cell>
          <cell r="N180" t="str">
            <v>35.00.000.5101.000000.0000.0000</v>
          </cell>
          <cell r="O180" t="str">
            <v>35.00.000.4010.000000.0000.0000</v>
          </cell>
          <cell r="P180" t="str">
            <v>Make</v>
          </cell>
        </row>
        <row r="181">
          <cell r="A181" t="str">
            <v>300075-003</v>
          </cell>
          <cell r="B181" t="str">
            <v>Frozen</v>
          </cell>
          <cell r="D181" t="str">
            <v>*</v>
          </cell>
          <cell r="E181" t="str">
            <v>*</v>
          </cell>
          <cell r="F181">
            <v>1</v>
          </cell>
          <cell r="G181">
            <v>0</v>
          </cell>
          <cell r="H181">
            <v>106.42403</v>
          </cell>
          <cell r="I181">
            <v>103.57402999999999</v>
          </cell>
          <cell r="K181">
            <v>0.45</v>
          </cell>
          <cell r="M181">
            <v>2.4</v>
          </cell>
          <cell r="N181" t="str">
            <v>35.00.000.5101.000000.0000.0000</v>
          </cell>
          <cell r="O181" t="str">
            <v>35.00.000.4010.000000.0000.0000</v>
          </cell>
          <cell r="P181" t="str">
            <v>Make</v>
          </cell>
        </row>
        <row r="182">
          <cell r="A182" t="str">
            <v>VAL-100028-003</v>
          </cell>
          <cell r="B182" t="str">
            <v>Frozen</v>
          </cell>
          <cell r="D182" t="str">
            <v>*</v>
          </cell>
          <cell r="F182">
            <v>1</v>
          </cell>
          <cell r="G182">
            <v>0</v>
          </cell>
          <cell r="H182">
            <v>0</v>
          </cell>
          <cell r="N182" t="str">
            <v>35.00.000.5101.000000.0000.0000</v>
          </cell>
          <cell r="O182" t="str">
            <v>35.00.000.4010.000000.0000.0000</v>
          </cell>
          <cell r="P182" t="str">
            <v>Buy</v>
          </cell>
        </row>
      </sheetData>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
      <sheetName val="U10"/>
      <sheetName val="U20"/>
      <sheetName val="U30"/>
      <sheetName val="U40"/>
      <sheetName val="U50"/>
      <sheetName val="U60"/>
      <sheetName val="U70"/>
      <sheetName val="U80"/>
      <sheetName val="U90"/>
      <sheetName val="U100"/>
      <sheetName val="U110"/>
      <sheetName val="U200-OH"/>
      <sheetName val="U300-G &amp; A"/>
      <sheetName val="U400-Operating Exp"/>
      <sheetName val="U600-profit from other operatio"/>
      <sheetName val="U700-non-operating income"/>
      <sheetName val="U800-non-operating expenses"/>
      <sheetName val="U500-Financial Exp "/>
      <sheetName val="CRA-Detail"/>
      <sheetName val="Control Risk Aspects"/>
      <sheetName val="Customize Work Program"/>
      <sheetName val="Master"/>
      <sheetName val="Sheet5"/>
      <sheetName val="费用明细"/>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WIP"/>
      <sheetName val="SFG_ND"/>
      <sheetName val="PPSG09"/>
      <sheetName val="PPSG31"/>
      <sheetName val="PPSG32"/>
      <sheetName val="PPSG33"/>
      <sheetName val="PPSG34"/>
      <sheetName val="PPSG35"/>
      <sheetName val="PPSG41"/>
      <sheetName val="PPSG51"/>
      <sheetName val="PPSG61"/>
      <sheetName val="PPSG71"/>
      <sheetName val="PPSG72"/>
      <sheetName val="PPSG81"/>
      <sheetName val="Adjustm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O"/>
      <sheetName val="Bank"/>
      <sheetName val="hk0403"/>
    </sheetNames>
    <sheetDataSet>
      <sheetData sheetId="0" refreshError="1"/>
      <sheetData sheetId="1" refreshError="1"/>
      <sheetData sheetId="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edit Lookup"/>
      <sheetName val="JV"/>
      <sheetName val="Accounts"/>
      <sheetName val="Entities"/>
      <sheetName val="Pd"/>
      <sheetName val="Period"/>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PT for FAR"/>
      <sheetName val="Sheet3"/>
      <sheetName val="Sheet2"/>
      <sheetName val="BKD"/>
      <sheetName val="Check"/>
      <sheetName val="RPT Combine"/>
      <sheetName val="3rd Combine"/>
      <sheetName val="invoiced-3rd"/>
      <sheetName val="invoiced-rpt"/>
      <sheetName val="GIT"/>
      <sheetName val="GRIR-3rd"/>
      <sheetName val="GRIR-rpt"/>
      <sheetName val="PRC to US"/>
      <sheetName val="AP Subsequent Testing"/>
      <sheetName val="GRIR correction 抽样"/>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Name val="Supporting"/>
      <sheetName val="Abnormal"/>
      <sheetName val="Capex"/>
      <sheetName val="10 Largest Customers"/>
      <sheetName val="InterBP Sales,Purchases&amp;Stocks"/>
      <sheetName val="Qty Sold in kg"/>
      <sheetName val="Sales in Local $"/>
      <sheetName val="Selling Price in kg"/>
      <sheetName val="COGS in Local $"/>
      <sheetName val="COGS per kg"/>
      <sheetName val="GP%"/>
      <sheetName val="dso"/>
      <sheetName val="MthVar_Sales&amp;COS"/>
      <sheetName val="YTDVar_Sales&amp;COS"/>
      <sheetName val="Actual_Budget Analysis - Month"/>
      <sheetName val="Var to Budget_YTD&amp;FYF"/>
      <sheetName val="Budget"/>
      <sheetName val="Qty Sold in kg - Budget"/>
      <sheetName val="Sales in Local $ - Budget"/>
      <sheetName val="COGS in Local $ - Budget"/>
      <sheetName val="Detail_Budget"/>
      <sheetName val="CSV"/>
      <sheetName val="Validation"/>
      <sheetName val="XREF"/>
      <sheetName val="Disposal List-WX"/>
      <sheetName val="parameters"/>
      <sheetName val="checklist"/>
      <sheetName val="平衡"/>
      <sheetName val="其他应付款"/>
      <sheetName val="其它应收款"/>
      <sheetName val="应付账款"/>
      <sheetName val="预付货款"/>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un94"/>
      <sheetName val="A6.302"/>
      <sheetName val="A6.303"/>
      <sheetName val="A8.100"/>
      <sheetName val="A2.100"/>
      <sheetName val="AJE-not used"/>
      <sheetName val=" RJE-not used"/>
      <sheetName val="CF2005"/>
      <sheetName val="CF-not used"/>
      <sheetName val="BS restate-not used 05"/>
      <sheetName val="BS 2005"/>
      <sheetName val="PL restate-not used 05"/>
      <sheetName val="PL 2005"/>
      <sheetName val="C101"/>
      <sheetName val="G101"/>
      <sheetName val="G202"/>
      <sheetName val="I101"/>
      <sheetName val="K100"/>
      <sheetName val="K201"/>
      <sheetName val="N101"/>
      <sheetName val="N202"/>
      <sheetName val="N401"/>
      <sheetName val="N501"/>
      <sheetName val="O101"/>
      <sheetName val="O102"/>
      <sheetName val="O103"/>
      <sheetName val="O201"/>
      <sheetName val="O301"/>
      <sheetName val="S101"/>
      <sheetName val="S201"/>
      <sheetName val="T101"/>
      <sheetName val="U101"/>
      <sheetName val="U102"/>
      <sheetName val="U201"/>
      <sheetName val="U301"/>
      <sheetName val="U401"/>
      <sheetName val="U601"/>
      <sheetName val="U701"/>
      <sheetName val="TREASURY "/>
      <sheetName val="ar"/>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Income Statement Analytic"/>
      <sheetName val="Balance Sheet Analytic"/>
      <sheetName val="Drill-Down Lists"/>
      <sheetName val="Account Num Descript - Bal Sht "/>
      <sheetName val="Account Num Descript - Inc Stmt"/>
      <sheetName val="Month and Year"/>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obDetails"/>
      <sheetName val="Cover"/>
      <sheetName val="CFStmt"/>
      <sheetName val="A3-1&amp;2"/>
      <sheetName val="A3-3"/>
      <sheetName val="C"/>
      <sheetName val="G"/>
      <sheetName val="H"/>
      <sheetName val="P"/>
      <sheetName val="T"/>
      <sheetName val="U1"/>
      <sheetName val="AA20"/>
      <sheetName val="U3"/>
      <sheetName val="A3-4"/>
      <sheetName val="A3-5"/>
      <sheetName val="Blank"/>
      <sheetName val="COA"/>
      <sheetName val="TB_05"/>
      <sheetName val="jun94"/>
      <sheetName val="Guide"/>
      <sheetName val="WC"/>
      <sheetName val="Bank (Final)"/>
      <sheetName val="Profit and Loss"/>
      <sheetName val="AR Sheet"/>
    </sheetNames>
    <sheetDataSet>
      <sheetData sheetId="0" refreshError="1">
        <row r="56">
          <cell r="A56" t="str">
            <v>BALANCE SHEET</v>
          </cell>
          <cell r="C56" t="str">
            <v>A3-1&amp;2</v>
          </cell>
        </row>
        <row r="57">
          <cell r="A57" t="str">
            <v>ASSETS</v>
          </cell>
          <cell r="C57" t="str">
            <v>A3-1</v>
          </cell>
        </row>
        <row r="58">
          <cell r="A58" t="str">
            <v>LIABILITIES</v>
          </cell>
          <cell r="C58" t="str">
            <v>A3-2</v>
          </cell>
        </row>
        <row r="59">
          <cell r="A59" t="str">
            <v>PROFIT &amp; LOSS</v>
          </cell>
          <cell r="C59" t="str">
            <v>A3-3</v>
          </cell>
        </row>
        <row r="60">
          <cell r="A60" t="str">
            <v>CASH &amp; BANK BALANCES</v>
          </cell>
          <cell r="C60" t="str">
            <v>C</v>
          </cell>
        </row>
        <row r="61">
          <cell r="A61" t="str">
            <v>MARKETABLE SECURITIES</v>
          </cell>
          <cell r="C61" t="str">
            <v>D</v>
          </cell>
        </row>
        <row r="62">
          <cell r="A62" t="str">
            <v>TRADE DEBTORS</v>
          </cell>
          <cell r="C62" t="str">
            <v>E</v>
          </cell>
        </row>
        <row r="63">
          <cell r="A63" t="str">
            <v>CONFIRMATION OF TRADE DEBTORS</v>
          </cell>
          <cell r="C63" t="str">
            <v>EE</v>
          </cell>
        </row>
        <row r="64">
          <cell r="A64" t="str">
            <v>STOCKS</v>
          </cell>
          <cell r="C64" t="str">
            <v>F</v>
          </cell>
        </row>
        <row r="65">
          <cell r="A65" t="str">
            <v>OTHER CURRENT ASSETS</v>
          </cell>
          <cell r="C65" t="str">
            <v>G</v>
          </cell>
        </row>
        <row r="66">
          <cell r="A66" t="str">
            <v>INVESTMENTS</v>
          </cell>
          <cell r="C66" t="str">
            <v>H</v>
          </cell>
        </row>
        <row r="67">
          <cell r="A67" t="str">
            <v>INTERCOMPANY BALANCES</v>
          </cell>
          <cell r="C67" t="str">
            <v>I</v>
          </cell>
        </row>
        <row r="68">
          <cell r="A68" t="str">
            <v>LONG-TERM RECEIVABLES, NON-CURRENT DEPOSITS &amp; OTHER ASSETS</v>
          </cell>
          <cell r="C68" t="str">
            <v>J</v>
          </cell>
        </row>
        <row r="69">
          <cell r="A69" t="str">
            <v>PROPERTY, PLANT &amp; EQUIPMENT</v>
          </cell>
          <cell r="C69" t="str">
            <v>K</v>
          </cell>
        </row>
        <row r="70">
          <cell r="A70" t="str">
            <v>INTANGIBLES &amp; DEFERRED CHARGES</v>
          </cell>
          <cell r="C70" t="str">
            <v>L</v>
          </cell>
        </row>
        <row r="71">
          <cell r="A71" t="str">
            <v>TRADE CREDITORS</v>
          </cell>
          <cell r="C71" t="str">
            <v>N</v>
          </cell>
        </row>
        <row r="72">
          <cell r="A72" t="str">
            <v>CONFIRMATION OF TRADE CREDITORS</v>
          </cell>
          <cell r="C72" t="str">
            <v>NN</v>
          </cell>
        </row>
        <row r="73">
          <cell r="A73" t="str">
            <v>OTHER CREDITORS</v>
          </cell>
          <cell r="C73" t="str">
            <v>P</v>
          </cell>
        </row>
        <row r="74">
          <cell r="A74" t="str">
            <v>INCOME TAXES PAYABLE</v>
          </cell>
          <cell r="C74" t="str">
            <v>O</v>
          </cell>
        </row>
        <row r="75">
          <cell r="A75" t="str">
            <v>ACCRUED LIABILITIES &amp; DEFERRED INCOME</v>
          </cell>
          <cell r="C75" t="str">
            <v>P</v>
          </cell>
        </row>
        <row r="76">
          <cell r="A76" t="str">
            <v>LONG-TERM DEBTS</v>
          </cell>
          <cell r="C76" t="str">
            <v>Q</v>
          </cell>
        </row>
        <row r="77">
          <cell r="A77" t="str">
            <v>DEFERRED INCOME TAXES</v>
          </cell>
          <cell r="C77" t="str">
            <v>R</v>
          </cell>
        </row>
        <row r="78">
          <cell r="A78" t="str">
            <v>COMMITMENTS &amp; CONTINGENCIES</v>
          </cell>
          <cell r="C78" t="str">
            <v>S</v>
          </cell>
        </row>
        <row r="79">
          <cell r="A79" t="str">
            <v>SHAREHOLDERS' EQUITY</v>
          </cell>
          <cell r="C79" t="str">
            <v>T</v>
          </cell>
        </row>
        <row r="80">
          <cell r="A80" t="str">
            <v>TURNOVER</v>
          </cell>
          <cell r="C80" t="str">
            <v>U1</v>
          </cell>
        </row>
        <row r="81">
          <cell r="A81" t="str">
            <v>COST OF SALES</v>
          </cell>
          <cell r="C81" t="str">
            <v>U2</v>
          </cell>
        </row>
        <row r="82">
          <cell r="A82" t="str">
            <v>OPERATING EXPENSES</v>
          </cell>
          <cell r="C82" t="str">
            <v>U3</v>
          </cell>
        </row>
        <row r="83">
          <cell r="A83" t="str">
            <v>PERSONNEL EXPENSES</v>
          </cell>
          <cell r="C83" t="str">
            <v>U4</v>
          </cell>
        </row>
        <row r="84">
          <cell r="A84" t="str">
            <v>OTHER INCOME</v>
          </cell>
          <cell r="C84" t="str">
            <v>U7</v>
          </cell>
        </row>
        <row r="85">
          <cell r="A85" t="str">
            <v>ADJUSTING JOURNAL ENTRIES</v>
          </cell>
          <cell r="C85" t="str">
            <v>A3-4</v>
          </cell>
        </row>
        <row r="86">
          <cell r="A86" t="str">
            <v>RECLASSIFICATION JOURNAL ENTRIES</v>
          </cell>
          <cell r="C86" t="str">
            <v>A3-5</v>
          </cell>
        </row>
        <row r="87">
          <cell r="A87" t="str">
            <v>CASHFLOW STATEMENT</v>
          </cell>
          <cell r="C87" t="str">
            <v>A3-9</v>
          </cell>
        </row>
        <row r="88">
          <cell r="A88" t="str">
            <v>RELATED PARTY TRANSACTIONS</v>
          </cell>
          <cell r="C88" t="str">
            <v>A3-20</v>
          </cell>
        </row>
        <row r="89">
          <cell r="A89" t="str">
            <v>FOREIGN EXCHANGE ANALYSIS</v>
          </cell>
          <cell r="C89" t="str">
            <v>A3-23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ce Sheet Analytic"/>
      <sheetName val="Income Statement Analytic"/>
      <sheetName val="Input Period Here"/>
      <sheetName val="Monthly-OOB Summary"/>
      <sheetName val="Actual"/>
      <sheetName val="Month and Year"/>
      <sheetName val="BS&amp;IS"/>
      <sheetName val="pca sets"/>
      <sheetName val="FDM Mapping-BS-ECC5"/>
      <sheetName val="FDM Mapping-IS"/>
      <sheetName val="FDM Mapping-ECC6"/>
      <sheetName val="JE Checking Log"/>
      <sheetName val="Monthly-Direct CF Errors"/>
      <sheetName val="Monthly-Backlog &amp; Orders LC"/>
      <sheetName val="ME Checklist"/>
      <sheetName val="QTR-OOB Summary"/>
      <sheetName val="QTR-Reserve OOB"/>
      <sheetName val="QTR-Supplemental OOB"/>
      <sheetName val="Tax JE-Check"/>
      <sheetName val="Tax BS Roll Review"/>
      <sheetName val="YE OOB"/>
      <sheetName val="Multiple PeriodEntity-Francis"/>
      <sheetName val="All Entities Yearly Comparison"/>
      <sheetName val="Actual Year End"/>
      <sheetName val="Dropdown List"/>
      <sheetName val="Monthly-CF Erro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yroll"/>
      <sheetName val="Paylist&amp;JE"/>
      <sheetName val="HR Data"/>
      <sheetName val="Attendance"/>
      <sheetName val="Allowance"/>
      <sheetName val="Property"/>
    </sheetNames>
    <sheetDataSet>
      <sheetData sheetId="0"/>
      <sheetData sheetId="1"/>
      <sheetData sheetId="2"/>
      <sheetData sheetId="3">
        <row r="3">
          <cell r="C3">
            <v>40878</v>
          </cell>
        </row>
      </sheetData>
      <sheetData sheetId="4">
        <row r="6">
          <cell r="B6" t="str">
            <v>G134</v>
          </cell>
        </row>
      </sheetData>
      <sheetData sheetId="5">
        <row r="4">
          <cell r="D4" t="str">
            <v>个人 Individual</v>
          </cell>
          <cell r="I4" t="str">
            <v>公司 Company</v>
          </cell>
        </row>
        <row r="5">
          <cell r="C5" t="str">
            <v>托管中心
Check Location</v>
          </cell>
          <cell r="D5" t="str">
            <v xml:space="preserve">养老保险
Social Insurance1 </v>
          </cell>
          <cell r="E5" t="str">
            <v>医疗保险
Social Benefit2</v>
          </cell>
          <cell r="F5" t="str">
            <v>医疗救助
Social Insurance3</v>
          </cell>
          <cell r="G5" t="str">
            <v>失业保险
Social Insurance4</v>
          </cell>
          <cell r="H5" t="str">
            <v xml:space="preserve">公积金
CPF </v>
          </cell>
          <cell r="I5" t="str">
            <v xml:space="preserve">养老保险
Social Insurance1 </v>
          </cell>
          <cell r="J5" t="str">
            <v>医疗保险
Social Insurance2</v>
          </cell>
          <cell r="K5" t="str">
            <v>失业保险
Social Insurance4</v>
          </cell>
          <cell r="L5" t="str">
            <v>工伤保险
Social Insurance5</v>
          </cell>
          <cell r="M5" t="str">
            <v>生育保险
Social Insurance6</v>
          </cell>
          <cell r="N5" t="str">
            <v xml:space="preserve">公积金
CPF </v>
          </cell>
          <cell r="O5" t="str">
            <v>综合保险
Social Insurance7</v>
          </cell>
        </row>
        <row r="6">
          <cell r="C6" t="str">
            <v>CZEPZ</v>
          </cell>
          <cell r="D6">
            <v>0.08</v>
          </cell>
          <cell r="E6">
            <v>0.02</v>
          </cell>
          <cell r="F6">
            <v>5</v>
          </cell>
          <cell r="G6">
            <v>0.01</v>
          </cell>
          <cell r="H6">
            <v>0.1</v>
          </cell>
          <cell r="I6">
            <v>0.20499999999999999</v>
          </cell>
          <cell r="J6">
            <v>0.08</v>
          </cell>
          <cell r="K6">
            <v>0.02</v>
          </cell>
          <cell r="L6">
            <v>0.01</v>
          </cell>
          <cell r="M6">
            <v>8.0000000000000002E-3</v>
          </cell>
          <cell r="N6">
            <v>0.1</v>
          </cell>
        </row>
        <row r="7">
          <cell r="C7" t="str">
            <v>CZEPZ - OuKai</v>
          </cell>
          <cell r="D7">
            <v>0.08</v>
          </cell>
          <cell r="E7">
            <v>0.02</v>
          </cell>
          <cell r="F7">
            <v>5</v>
          </cell>
          <cell r="G7">
            <v>0.01</v>
          </cell>
          <cell r="H7">
            <v>0.1</v>
          </cell>
          <cell r="I7">
            <v>0.20499999999999999</v>
          </cell>
          <cell r="J7">
            <v>0.08</v>
          </cell>
          <cell r="K7">
            <v>0.02</v>
          </cell>
          <cell r="L7">
            <v>5.0000000000000001E-3</v>
          </cell>
          <cell r="M7">
            <v>8.0000000000000002E-3</v>
          </cell>
          <cell r="N7">
            <v>0.1</v>
          </cell>
        </row>
        <row r="8">
          <cell r="C8" t="str">
            <v>CZEPZ - Dongxu</v>
          </cell>
          <cell r="D8">
            <v>0.08</v>
          </cell>
          <cell r="E8">
            <v>0.02</v>
          </cell>
          <cell r="F8">
            <v>5</v>
          </cell>
          <cell r="G8">
            <v>0.01</v>
          </cell>
          <cell r="H8">
            <v>0.1</v>
          </cell>
          <cell r="I8">
            <v>0.20499999999999999</v>
          </cell>
          <cell r="J8">
            <v>0.08</v>
          </cell>
          <cell r="K8">
            <v>0.02</v>
          </cell>
          <cell r="L8">
            <v>0.01</v>
          </cell>
          <cell r="M8">
            <v>8.0000000000000002E-3</v>
          </cell>
          <cell r="N8">
            <v>0.1</v>
          </cell>
        </row>
        <row r="9">
          <cell r="C9" t="str">
            <v>CZEPZ - FESCO(SuZ)</v>
          </cell>
          <cell r="D9">
            <v>0.08</v>
          </cell>
          <cell r="E9">
            <v>0.03</v>
          </cell>
          <cell r="H9">
            <v>0.08</v>
          </cell>
          <cell r="I9">
            <v>0.15</v>
          </cell>
          <cell r="J9">
            <v>0.01</v>
          </cell>
          <cell r="K9">
            <v>0.01</v>
          </cell>
          <cell r="L9">
            <v>0.01</v>
          </cell>
          <cell r="M9">
            <v>0.01</v>
          </cell>
          <cell r="N9">
            <v>0.08</v>
          </cell>
        </row>
        <row r="10">
          <cell r="C10" t="str">
            <v>CZEPZ - FESCO(NJ)</v>
          </cell>
          <cell r="D10">
            <v>0.08</v>
          </cell>
          <cell r="E10">
            <v>0.02</v>
          </cell>
          <cell r="F10">
            <v>10</v>
          </cell>
          <cell r="G10">
            <v>0.01</v>
          </cell>
          <cell r="H10">
            <v>0.1</v>
          </cell>
          <cell r="I10">
            <v>0.2</v>
          </cell>
          <cell r="J10">
            <v>0.09</v>
          </cell>
          <cell r="K10">
            <v>0.01</v>
          </cell>
          <cell r="L10">
            <v>5.0000000000000001E-3</v>
          </cell>
          <cell r="M10">
            <v>8.0000000000000002E-3</v>
          </cell>
          <cell r="N10">
            <v>0.1</v>
          </cell>
        </row>
        <row r="11">
          <cell r="C11" t="str">
            <v>CZEPZ - FESCO(SH)</v>
          </cell>
          <cell r="D11">
            <v>0.08</v>
          </cell>
          <cell r="E11">
            <v>0.02</v>
          </cell>
          <cell r="G11">
            <v>0.01</v>
          </cell>
          <cell r="H11">
            <v>7.0000000000000007E-2</v>
          </cell>
          <cell r="I11">
            <v>0.22</v>
          </cell>
          <cell r="J11">
            <v>0.12</v>
          </cell>
          <cell r="K11">
            <v>0.02</v>
          </cell>
          <cell r="L11">
            <v>5.0000000000000001E-3</v>
          </cell>
          <cell r="M11">
            <v>5.0000000000000001E-3</v>
          </cell>
          <cell r="N11">
            <v>7.0000000000000007E-2</v>
          </cell>
        </row>
        <row r="12">
          <cell r="C12" t="str">
            <v>CZEPZ - FESCO(ShenZ)</v>
          </cell>
          <cell r="D12">
            <v>0.08</v>
          </cell>
          <cell r="E12">
            <v>0.02</v>
          </cell>
          <cell r="G12">
            <v>0.01</v>
          </cell>
          <cell r="I12">
            <v>0.11</v>
          </cell>
          <cell r="J12">
            <v>4.4999999999999998E-2</v>
          </cell>
          <cell r="K12">
            <v>15.58</v>
          </cell>
          <cell r="L12">
            <v>2.5000000000000001E-3</v>
          </cell>
          <cell r="M12">
            <v>5.0000000000000001E-3</v>
          </cell>
          <cell r="N12">
            <v>0.13</v>
          </cell>
          <cell r="O12">
            <v>15.58</v>
          </cell>
        </row>
        <row r="13">
          <cell r="C13" t="str">
            <v>CZEPZ - FESCO(Wuxi)</v>
          </cell>
          <cell r="D13">
            <v>0.08</v>
          </cell>
          <cell r="E13">
            <v>0.02</v>
          </cell>
          <cell r="G13">
            <v>0.01</v>
          </cell>
          <cell r="H13">
            <v>0.1</v>
          </cell>
          <cell r="I13">
            <v>0.2</v>
          </cell>
          <cell r="J13">
            <v>0.09</v>
          </cell>
          <cell r="K13">
            <v>0.02</v>
          </cell>
          <cell r="L13">
            <v>3.0000000000000001E-3</v>
          </cell>
          <cell r="M13">
            <v>6.0000000000000001E-3</v>
          </cell>
          <cell r="N13">
            <v>0.1</v>
          </cell>
        </row>
        <row r="14">
          <cell r="C14" t="str">
            <v>ZJEPZ</v>
          </cell>
          <cell r="D14">
            <v>0.08</v>
          </cell>
          <cell r="E14">
            <v>2.5000000000000001E-2</v>
          </cell>
          <cell r="G14">
            <v>0.01</v>
          </cell>
          <cell r="H14">
            <v>0.1</v>
          </cell>
          <cell r="I14">
            <v>0.21</v>
          </cell>
          <cell r="J14">
            <v>0.09</v>
          </cell>
          <cell r="K14">
            <v>0.02</v>
          </cell>
          <cell r="L14">
            <v>0.01</v>
          </cell>
          <cell r="M14">
            <v>6.0000000000000001E-3</v>
          </cell>
          <cell r="N14">
            <v>0.1</v>
          </cell>
        </row>
        <row r="15">
          <cell r="C15" t="str">
            <v>ZJEPZ - FESCO(SuZ)</v>
          </cell>
          <cell r="D15">
            <v>0.08</v>
          </cell>
          <cell r="E15">
            <v>0.03</v>
          </cell>
          <cell r="H15">
            <v>0.08</v>
          </cell>
          <cell r="I15">
            <v>0.15</v>
          </cell>
          <cell r="J15">
            <v>0.01</v>
          </cell>
          <cell r="K15">
            <v>0.01</v>
          </cell>
          <cell r="L15">
            <v>0.01</v>
          </cell>
          <cell r="M15">
            <v>0.01</v>
          </cell>
          <cell r="N15">
            <v>0.08</v>
          </cell>
        </row>
        <row r="18">
          <cell r="F18" t="str">
            <v>等级(下限)
Grand (Low Limited)</v>
          </cell>
          <cell r="G18" t="str">
            <v xml:space="preserve">税率
ITT Rate </v>
          </cell>
          <cell r="H18" t="str">
            <v>扣除数
Deduction</v>
          </cell>
        </row>
        <row r="19">
          <cell r="F19">
            <v>0</v>
          </cell>
          <cell r="G19">
            <v>0.03</v>
          </cell>
          <cell r="H19">
            <v>0</v>
          </cell>
        </row>
        <row r="20">
          <cell r="F20">
            <v>1500</v>
          </cell>
          <cell r="G20">
            <v>0.1</v>
          </cell>
          <cell r="H20">
            <v>105</v>
          </cell>
        </row>
        <row r="21">
          <cell r="F21">
            <v>4500</v>
          </cell>
          <cell r="G21">
            <v>0.2</v>
          </cell>
          <cell r="H21">
            <v>555</v>
          </cell>
        </row>
        <row r="22">
          <cell r="F22">
            <v>9000</v>
          </cell>
          <cell r="G22">
            <v>0.25</v>
          </cell>
          <cell r="H22">
            <v>1005</v>
          </cell>
        </row>
        <row r="23">
          <cell r="F23">
            <v>35000</v>
          </cell>
          <cell r="G23">
            <v>0.3</v>
          </cell>
          <cell r="H23">
            <v>2755</v>
          </cell>
        </row>
        <row r="24">
          <cell r="F24">
            <v>55000</v>
          </cell>
          <cell r="G24">
            <v>0.35</v>
          </cell>
          <cell r="H24">
            <v>5505</v>
          </cell>
        </row>
        <row r="25">
          <cell r="F25">
            <v>80000</v>
          </cell>
          <cell r="G25">
            <v>0.45</v>
          </cell>
          <cell r="H25">
            <v>13505</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RP16"/>
      <sheetName val="Macro1"/>
    </sheetNames>
    <sheetDataSet>
      <sheetData sheetId="0"/>
      <sheetData sheetId="1">
        <row r="1">
          <cell r="A1" t="str">
            <v>Macro1</v>
          </cell>
        </row>
        <row r="8">
          <cell r="A8" t="str">
            <v>Macro2</v>
          </cell>
        </row>
        <row r="15">
          <cell r="A15" t="str">
            <v>Macro3</v>
          </cell>
        </row>
        <row r="22">
          <cell r="A22" t="str">
            <v>Macro4</v>
          </cell>
        </row>
        <row r="29">
          <cell r="A29" t="str">
            <v>Macro5</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acle vs Physical"/>
      <sheetName val="Physical Count"/>
      <sheetName val="Oracle Data"/>
      <sheetName val="Cost"/>
      <sheetName val="Macro1"/>
    </sheetNames>
    <sheetDataSet>
      <sheetData sheetId="0" refreshError="1"/>
      <sheetData sheetId="1" refreshError="1">
        <row r="1">
          <cell r="A1" t="str">
            <v>100027-002</v>
          </cell>
          <cell r="B1">
            <v>68351.8</v>
          </cell>
        </row>
        <row r="2">
          <cell r="A2" t="str">
            <v>100028-002</v>
          </cell>
          <cell r="B2">
            <v>314351</v>
          </cell>
        </row>
        <row r="3">
          <cell r="A3" t="str">
            <v>100028-003</v>
          </cell>
          <cell r="B3">
            <v>6590.35</v>
          </cell>
        </row>
        <row r="4">
          <cell r="A4" t="str">
            <v>100151-001</v>
          </cell>
          <cell r="B4">
            <v>11172.5</v>
          </cell>
        </row>
        <row r="5">
          <cell r="A5" t="str">
            <v>100152-001</v>
          </cell>
          <cell r="B5">
            <v>6431.7</v>
          </cell>
        </row>
        <row r="6">
          <cell r="A6" t="str">
            <v>100171-001</v>
          </cell>
          <cell r="B6">
            <v>22243</v>
          </cell>
        </row>
        <row r="7">
          <cell r="A7" t="str">
            <v>100172-001</v>
          </cell>
          <cell r="B7">
            <v>149256.57</v>
          </cell>
        </row>
        <row r="8">
          <cell r="A8" t="str">
            <v>100192-001</v>
          </cell>
          <cell r="B8">
            <v>21421.25</v>
          </cell>
        </row>
        <row r="9">
          <cell r="A9" t="str">
            <v>100204-001</v>
          </cell>
          <cell r="B9">
            <v>50485</v>
          </cell>
        </row>
        <row r="10">
          <cell r="A10" t="str">
            <v>200002-001</v>
          </cell>
          <cell r="B10">
            <v>827264</v>
          </cell>
        </row>
        <row r="11">
          <cell r="A11" t="str">
            <v>200004-001</v>
          </cell>
          <cell r="B11">
            <v>550</v>
          </cell>
        </row>
        <row r="12">
          <cell r="A12" t="str">
            <v>200006-001</v>
          </cell>
          <cell r="B12">
            <v>886811</v>
          </cell>
        </row>
        <row r="13">
          <cell r="A13" t="str">
            <v>200007-001</v>
          </cell>
          <cell r="B13">
            <v>1111135</v>
          </cell>
        </row>
        <row r="14">
          <cell r="A14" t="str">
            <v>200009-001</v>
          </cell>
          <cell r="B14">
            <v>404077</v>
          </cell>
        </row>
        <row r="15">
          <cell r="A15" t="str">
            <v>200010-001</v>
          </cell>
          <cell r="B15">
            <v>2006286</v>
          </cell>
        </row>
        <row r="16">
          <cell r="A16" t="str">
            <v>200012-001</v>
          </cell>
          <cell r="B16">
            <v>1187268</v>
          </cell>
        </row>
        <row r="17">
          <cell r="A17" t="str">
            <v>200012-005</v>
          </cell>
          <cell r="B17">
            <v>146100</v>
          </cell>
        </row>
        <row r="18">
          <cell r="A18" t="str">
            <v>200012-006</v>
          </cell>
          <cell r="B18">
            <v>146900</v>
          </cell>
        </row>
        <row r="19">
          <cell r="A19" t="str">
            <v>200013-001</v>
          </cell>
          <cell r="B19">
            <v>6860</v>
          </cell>
        </row>
        <row r="20">
          <cell r="A20" t="str">
            <v>200013-003</v>
          </cell>
          <cell r="B20">
            <v>45712</v>
          </cell>
        </row>
        <row r="21">
          <cell r="A21" t="str">
            <v>200013-004</v>
          </cell>
          <cell r="B21">
            <v>14320</v>
          </cell>
        </row>
        <row r="22">
          <cell r="A22" t="str">
            <v>200013-005</v>
          </cell>
          <cell r="B22">
            <v>10340</v>
          </cell>
        </row>
        <row r="23">
          <cell r="A23" t="str">
            <v>200016-001</v>
          </cell>
          <cell r="B23">
            <v>86526.186300000001</v>
          </cell>
        </row>
        <row r="24">
          <cell r="A24" t="str">
            <v>200016-002</v>
          </cell>
          <cell r="B24">
            <v>15833.964</v>
          </cell>
        </row>
        <row r="25">
          <cell r="A25" t="str">
            <v>200017-001</v>
          </cell>
          <cell r="B25">
            <v>60690.32</v>
          </cell>
        </row>
        <row r="26">
          <cell r="A26" t="str">
            <v>200017-002</v>
          </cell>
          <cell r="B26">
            <v>18450.86</v>
          </cell>
        </row>
        <row r="27">
          <cell r="A27" t="str">
            <v>200018-001</v>
          </cell>
          <cell r="B27">
            <v>59769.012000000002</v>
          </cell>
        </row>
        <row r="28">
          <cell r="A28" t="str">
            <v>200019-001</v>
          </cell>
          <cell r="B28">
            <v>24404</v>
          </cell>
        </row>
        <row r="29">
          <cell r="A29" t="str">
            <v>200019-002</v>
          </cell>
          <cell r="B29">
            <v>23776</v>
          </cell>
        </row>
        <row r="30">
          <cell r="A30" t="str">
            <v>200019-003</v>
          </cell>
          <cell r="B30">
            <v>17130</v>
          </cell>
        </row>
        <row r="31">
          <cell r="A31" t="str">
            <v>200019-004</v>
          </cell>
          <cell r="B31">
            <v>14532</v>
          </cell>
        </row>
        <row r="32">
          <cell r="A32" t="str">
            <v>200025-002</v>
          </cell>
          <cell r="B32">
            <v>4.0149999999999997</v>
          </cell>
        </row>
        <row r="33">
          <cell r="A33" t="str">
            <v>200028-001</v>
          </cell>
          <cell r="B33">
            <v>877348</v>
          </cell>
        </row>
        <row r="34">
          <cell r="A34" t="str">
            <v>200058-001</v>
          </cell>
          <cell r="B34">
            <v>43652</v>
          </cell>
        </row>
        <row r="35">
          <cell r="A35" t="str">
            <v>200059-001</v>
          </cell>
          <cell r="B35">
            <v>68241</v>
          </cell>
        </row>
        <row r="36">
          <cell r="A36" t="str">
            <v>200060-001</v>
          </cell>
          <cell r="B36">
            <v>43579</v>
          </cell>
        </row>
        <row r="37">
          <cell r="A37" t="str">
            <v>200061-001</v>
          </cell>
          <cell r="B37">
            <v>68384</v>
          </cell>
        </row>
        <row r="38">
          <cell r="A38" t="str">
            <v>200062-001</v>
          </cell>
          <cell r="B38">
            <v>119342</v>
          </cell>
        </row>
        <row r="39">
          <cell r="A39" t="str">
            <v>200065-001</v>
          </cell>
          <cell r="B39">
            <v>184034</v>
          </cell>
        </row>
        <row r="40">
          <cell r="A40" t="str">
            <v>200067-001</v>
          </cell>
          <cell r="B40">
            <v>53623</v>
          </cell>
        </row>
        <row r="41">
          <cell r="A41" t="str">
            <v>200068-001</v>
          </cell>
          <cell r="B41">
            <v>17256</v>
          </cell>
        </row>
        <row r="42">
          <cell r="A42" t="str">
            <v>200068-002</v>
          </cell>
          <cell r="B42">
            <v>26473</v>
          </cell>
        </row>
        <row r="43">
          <cell r="A43" t="str">
            <v>200070-001</v>
          </cell>
          <cell r="B43">
            <v>23737</v>
          </cell>
        </row>
        <row r="44">
          <cell r="A44" t="str">
            <v>200070-002</v>
          </cell>
          <cell r="B44">
            <v>30231</v>
          </cell>
        </row>
        <row r="45">
          <cell r="A45" t="str">
            <v>200071-001</v>
          </cell>
          <cell r="B45">
            <v>27020</v>
          </cell>
        </row>
        <row r="46">
          <cell r="A46" t="str">
            <v>200072-001</v>
          </cell>
          <cell r="B46">
            <v>21500</v>
          </cell>
        </row>
        <row r="47">
          <cell r="A47" t="str">
            <v>200080-001</v>
          </cell>
          <cell r="B47">
            <v>340500</v>
          </cell>
        </row>
        <row r="48">
          <cell r="A48" t="str">
            <v>200099-001</v>
          </cell>
          <cell r="B48">
            <v>79499</v>
          </cell>
        </row>
        <row r="49">
          <cell r="A49" t="str">
            <v>200100-001</v>
          </cell>
          <cell r="B49">
            <v>56000</v>
          </cell>
        </row>
        <row r="50">
          <cell r="A50" t="str">
            <v>200101-001</v>
          </cell>
          <cell r="B50">
            <v>9150</v>
          </cell>
        </row>
        <row r="51">
          <cell r="A51" t="str">
            <v>200121-001</v>
          </cell>
          <cell r="B51">
            <v>74353</v>
          </cell>
        </row>
        <row r="52">
          <cell r="A52" t="str">
            <v>200122-001</v>
          </cell>
          <cell r="B52">
            <v>6375</v>
          </cell>
        </row>
        <row r="53">
          <cell r="A53" t="str">
            <v>200124-001</v>
          </cell>
          <cell r="B53">
            <v>2730</v>
          </cell>
        </row>
        <row r="54">
          <cell r="A54" t="str">
            <v>200125-001</v>
          </cell>
          <cell r="B54">
            <v>3930</v>
          </cell>
        </row>
        <row r="55">
          <cell r="A55" t="str">
            <v>200129-001</v>
          </cell>
          <cell r="B55">
            <v>2580</v>
          </cell>
        </row>
        <row r="56">
          <cell r="A56" t="str">
            <v>200131-001</v>
          </cell>
          <cell r="B56">
            <v>150182</v>
          </cell>
        </row>
        <row r="57">
          <cell r="A57" t="str">
            <v>300006-001</v>
          </cell>
          <cell r="B57">
            <v>557157</v>
          </cell>
        </row>
        <row r="58">
          <cell r="A58" t="str">
            <v>300008-001</v>
          </cell>
          <cell r="B58">
            <v>294292</v>
          </cell>
        </row>
        <row r="59">
          <cell r="A59" t="str">
            <v>300044-001</v>
          </cell>
          <cell r="B59">
            <v>86560</v>
          </cell>
        </row>
        <row r="60">
          <cell r="A60" t="str">
            <v>300044-002</v>
          </cell>
          <cell r="B60">
            <v>84997</v>
          </cell>
        </row>
        <row r="61">
          <cell r="A61" t="str">
            <v>300046-001</v>
          </cell>
          <cell r="B61">
            <v>26202</v>
          </cell>
        </row>
        <row r="62">
          <cell r="A62" t="str">
            <v>300046-002</v>
          </cell>
          <cell r="B62">
            <v>9030</v>
          </cell>
        </row>
        <row r="63">
          <cell r="A63" t="str">
            <v>300047-001</v>
          </cell>
          <cell r="B63">
            <v>33482</v>
          </cell>
        </row>
        <row r="64">
          <cell r="A64" t="str">
            <v>300047-002</v>
          </cell>
          <cell r="B64">
            <v>9125</v>
          </cell>
        </row>
        <row r="65">
          <cell r="A65" t="str">
            <v>300048-001</v>
          </cell>
          <cell r="B65">
            <v>4250</v>
          </cell>
        </row>
        <row r="66">
          <cell r="A66" t="str">
            <v>300048-002</v>
          </cell>
          <cell r="B66">
            <v>485</v>
          </cell>
        </row>
        <row r="67">
          <cell r="A67" t="str">
            <v>300048-003</v>
          </cell>
          <cell r="B67">
            <v>3130</v>
          </cell>
        </row>
        <row r="68">
          <cell r="A68" t="str">
            <v>300040-001</v>
          </cell>
          <cell r="B68">
            <v>8846</v>
          </cell>
        </row>
        <row r="69">
          <cell r="A69" t="str">
            <v>300045-001</v>
          </cell>
          <cell r="B69">
            <v>1094</v>
          </cell>
        </row>
        <row r="70">
          <cell r="A70" t="str">
            <v>300045-002</v>
          </cell>
          <cell r="B70">
            <v>1047</v>
          </cell>
        </row>
        <row r="71">
          <cell r="A71" t="str">
            <v>300045-004</v>
          </cell>
          <cell r="B71">
            <v>0</v>
          </cell>
        </row>
        <row r="72">
          <cell r="A72" t="str">
            <v>300050-001</v>
          </cell>
          <cell r="B72">
            <v>2534</v>
          </cell>
        </row>
        <row r="73">
          <cell r="A73" t="str">
            <v>300055-001</v>
          </cell>
          <cell r="B73">
            <v>0</v>
          </cell>
        </row>
        <row r="74">
          <cell r="A74" t="str">
            <v>300055-003</v>
          </cell>
          <cell r="B74">
            <v>720</v>
          </cell>
        </row>
        <row r="75">
          <cell r="A75" t="str">
            <v>300071-001</v>
          </cell>
          <cell r="B75">
            <v>3113</v>
          </cell>
        </row>
        <row r="76">
          <cell r="A76" t="str">
            <v>300075-001</v>
          </cell>
          <cell r="B76">
            <v>2586</v>
          </cell>
        </row>
        <row r="77">
          <cell r="A77" t="str">
            <v>300075-003</v>
          </cell>
          <cell r="B77">
            <v>936</v>
          </cell>
        </row>
        <row r="78">
          <cell r="A78" t="str">
            <v>300001-001</v>
          </cell>
          <cell r="B78">
            <v>0</v>
          </cell>
        </row>
        <row r="79">
          <cell r="A79" t="str">
            <v>300063-001</v>
          </cell>
          <cell r="B79">
            <v>21734</v>
          </cell>
        </row>
        <row r="80">
          <cell r="A80" t="str">
            <v>300001-002</v>
          </cell>
          <cell r="B80">
            <v>0</v>
          </cell>
        </row>
        <row r="81">
          <cell r="A81" t="str">
            <v>300063-002</v>
          </cell>
          <cell r="B81">
            <v>12682</v>
          </cell>
        </row>
        <row r="82">
          <cell r="A82" t="str">
            <v>200077-001</v>
          </cell>
          <cell r="B82">
            <v>93</v>
          </cell>
        </row>
        <row r="83">
          <cell r="A83" t="str">
            <v>200079-001</v>
          </cell>
          <cell r="B83">
            <v>7081</v>
          </cell>
        </row>
        <row r="84">
          <cell r="A84" t="str">
            <v>200079-002</v>
          </cell>
          <cell r="B84">
            <v>392</v>
          </cell>
        </row>
        <row r="85">
          <cell r="A85" t="str">
            <v>200106-002</v>
          </cell>
          <cell r="B85">
            <v>2777</v>
          </cell>
        </row>
        <row r="86">
          <cell r="A86" t="str">
            <v>200107-001</v>
          </cell>
          <cell r="B86">
            <v>12264</v>
          </cell>
        </row>
        <row r="87">
          <cell r="A87" t="str">
            <v>200107-002</v>
          </cell>
          <cell r="B87">
            <v>21399</v>
          </cell>
        </row>
        <row r="88">
          <cell r="A88" t="str">
            <v>200116-001</v>
          </cell>
          <cell r="B88">
            <v>403</v>
          </cell>
        </row>
        <row r="89">
          <cell r="A89" t="str">
            <v>200118-001</v>
          </cell>
          <cell r="B89">
            <v>4526</v>
          </cell>
        </row>
        <row r="90">
          <cell r="A90" t="str">
            <v>300040-002</v>
          </cell>
          <cell r="B90">
            <v>18</v>
          </cell>
        </row>
        <row r="91">
          <cell r="A91" t="str">
            <v>300043-001</v>
          </cell>
          <cell r="B91">
            <v>5908</v>
          </cell>
        </row>
        <row r="92">
          <cell r="A92" t="str">
            <v>300043-002</v>
          </cell>
          <cell r="B92">
            <v>2149</v>
          </cell>
        </row>
        <row r="93">
          <cell r="A93" t="str">
            <v>300061-001</v>
          </cell>
          <cell r="B93">
            <v>11753</v>
          </cell>
        </row>
        <row r="94">
          <cell r="A94" t="str">
            <v>300061-002</v>
          </cell>
          <cell r="B94">
            <v>22913</v>
          </cell>
        </row>
        <row r="95">
          <cell r="A95" t="str">
            <v>300074-001</v>
          </cell>
          <cell r="B95">
            <v>4806</v>
          </cell>
        </row>
      </sheetData>
      <sheetData sheetId="2" refreshError="1"/>
      <sheetData sheetId="3" refreshError="1"/>
      <sheetData sheetId="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Data"/>
      <sheetName val="Cover"/>
      <sheetName val="BSTemplate"/>
      <sheetName val="TB"/>
      <sheetName val="FDM"/>
      <sheetName val="JE"/>
      <sheetName val="HFM"/>
      <sheetName val="BS11100"/>
      <sheetName val="502047"/>
      <sheetName val="502658"/>
      <sheetName val="BOA-USD  (2)"/>
      <sheetName val="BOA-EUR (2)"/>
      <sheetName val="502690"/>
      <sheetName val="bank draft (2)"/>
      <sheetName val="BOC-CNY (2)"/>
      <sheetName val="ICBC-CNY  (2)"/>
      <sheetName val="BS15100"/>
      <sheetName val="AR ageing report"/>
      <sheetName val="BS15200"/>
      <sheetName val="ssc charge"/>
      <sheetName val="deposit"/>
      <sheetName val="bidding deposit"/>
      <sheetName val="BS15300"/>
      <sheetName val="unbilled sales"/>
      <sheetName val="Mengniu adj"/>
      <sheetName val="BS15400"/>
      <sheetName val="accrual sales"/>
      <sheetName val="ICO AR ageing"/>
      <sheetName val="BS15430"/>
      <sheetName val="BOA"/>
      <sheetName val="BS15600"/>
      <sheetName val="bad debt"/>
      <sheetName val="BS15650"/>
      <sheetName val="credit memo resere"/>
      <sheetName val="BS15440"/>
      <sheetName val="BS21100"/>
      <sheetName val="GIT ageing"/>
      <sheetName val="551000 RM"/>
      <sheetName val="BS21200"/>
      <sheetName val="561000"/>
      <sheetName val="Sheet1"/>
      <sheetName val="561010"/>
      <sheetName val="571020"/>
      <sheetName val="BS21300"/>
      <sheetName val="adjust cost"/>
      <sheetName val="552100 "/>
      <sheetName val="552500"/>
      <sheetName val="FG"/>
      <sheetName val="BS23200"/>
      <sheetName val="shrinkage reseve"/>
      <sheetName val="BS21400"/>
      <sheetName val="BS21400-1"/>
      <sheetName val="BS21400-2"/>
      <sheetName val="BS23300"/>
      <sheetName val="585100E&amp;O"/>
      <sheetName val="BS26100"/>
      <sheetName val="BS26200"/>
      <sheetName val="DEFER TAX"/>
      <sheetName val="BS27010"/>
      <sheetName val="Sheet3"/>
      <sheetName val="BS27010-1"/>
      <sheetName val="530301"/>
      <sheetName val="BS27045"/>
      <sheetName val="BS27050"/>
      <sheetName val="540100"/>
      <sheetName val="BS27060"/>
      <sheetName val="540401"/>
      <sheetName val="BS33120"/>
      <sheetName val="BS33130"/>
      <sheetName val="BS33150"/>
      <sheetName val="CIP detail"/>
      <sheetName val="CIP"/>
      <sheetName val="BS33600"/>
      <sheetName val="depre adj"/>
      <sheetName val="FA Intag. GAAP JE"/>
      <sheetName val="FA &amp; Intag full llist"/>
      <sheetName val="BS52100"/>
      <sheetName val="Employee exp"/>
      <sheetName val="AP ageing"/>
      <sheetName val="BS52150"/>
      <sheetName val="detail"/>
      <sheetName val="3rd GRIR"/>
      <sheetName val="731600"/>
      <sheetName val="IC GRIR"/>
      <sheetName val="Sheet2"/>
      <sheetName val="BS52200"/>
      <sheetName val="AP interco"/>
      <sheetName val="BS53670"/>
      <sheetName val="prof fee"/>
      <sheetName val="BS53710"/>
      <sheetName val="VAT Recon"/>
      <sheetName val="output VAT 1507"/>
      <sheetName val="input VAT 1507"/>
      <sheetName val="BS53770"/>
      <sheetName val="COMMISSION"/>
      <sheetName val="BS53810"/>
      <sheetName val="customer adv524710"/>
      <sheetName val="524735&amp;524750"/>
      <sheetName val="731102"/>
      <sheetName val="BS61300"/>
      <sheetName val="BS42100"/>
      <sheetName val="BS53630"/>
      <sheetName val="740040"/>
      <sheetName val="BS27100"/>
      <sheetName val="BS41100"/>
      <sheetName val="651590"/>
      <sheetName val="651595"/>
      <sheetName val="BS42600"/>
      <sheetName val="BS42350"/>
      <sheetName val="BS43600"/>
      <sheetName val="BS43350"/>
      <sheetName val="BS52230"/>
      <sheetName val="BS53100"/>
      <sheetName val="715105"/>
      <sheetName val="BS53200"/>
      <sheetName val="BS53500"/>
      <sheetName val="bonus "/>
      <sheetName val="BS53512"/>
      <sheetName val="BS53510"/>
      <sheetName val="BS53505"/>
      <sheetName val="740070&amp;80&amp;90"/>
      <sheetName val="BS53300"/>
      <sheetName val="Sheet6"/>
      <sheetName val="740010"/>
      <sheetName val="BS53520"/>
      <sheetName val="SIP"/>
      <sheetName val="BS53540"/>
      <sheetName val="736100&amp;736020"/>
      <sheetName val="BS53550"/>
      <sheetName val="735003"/>
      <sheetName val="BS53560"/>
      <sheetName val="711000"/>
      <sheetName val="BS53580"/>
      <sheetName val="vacation pay"/>
      <sheetName val="BS53820"/>
      <sheetName val="specific warrenty1"/>
      <sheetName val="warranty"/>
      <sheetName val="BS53900"/>
      <sheetName val="738001&amp;738002"/>
      <sheetName val="BS62200"/>
      <sheetName val="BS62100"/>
      <sheetName val="BS64900"/>
      <sheetName val="704000"/>
      <sheetName val="BS65900"/>
      <sheetName val="NPV"/>
      <sheetName val="Accretion_Depreciation"/>
      <sheetName val="BS80100"/>
      <sheetName val="BS81100"/>
      <sheetName val="BS85100"/>
      <sheetName val="Journals"/>
      <sheetName val="Depn"/>
      <sheetName val="Details"/>
      <sheetName val="BSTemplate (4)"/>
      <sheetName val="BSTemplate (3)"/>
      <sheetName val="input vat"/>
      <sheetName val="Journals Goodwill adj"/>
      <sheetName val="VAT before bill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
      <sheetName val="Var Summary"/>
      <sheetName val="FT_China_ops"/>
      <sheetName val=" FT_Australia"/>
      <sheetName val="FT_Japan"/>
      <sheetName val=" FT_Singapore"/>
      <sheetName val=" FT_India"/>
      <sheetName val="FT_Korea"/>
      <sheetName val="Balance Sheet Analytic"/>
      <sheetName val="Income Statement Analytic"/>
      <sheetName val="Month and Year"/>
      <sheetName val="Masterdata"/>
      <sheetName val="Entity"/>
      <sheetName val="Check list"/>
      <sheetName val="cou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P 310304"/>
      <sheetName val="PRC IAS JA"/>
      <sheetName val="IAS R JA"/>
      <sheetName val="SUAD"/>
      <sheetName val="FS"/>
      <sheetName val="cash flow2004"/>
      <sheetName val="cash flow2003"/>
      <sheetName val="highlight"/>
      <sheetName val="highlight NB"/>
      <sheetName val="IAS highligh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ntory Value report"/>
      <sheetName val="Macro1"/>
    </sheetNames>
    <sheetDataSet>
      <sheetData sheetId="0" refreshError="1"/>
      <sheetData sheetId="1">
        <row r="99">
          <cell r="A99" t="str">
            <v>Recover</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FMBSDB"/>
      <sheetName val="BSTemplate"/>
      <sheetName val="Calcu_BaseUSD"/>
      <sheetName val="Cover"/>
      <sheetName val="Sheet1"/>
      <sheetName val="SPX Account Rec Guidance"/>
      <sheetName val="SAPTB"/>
      <sheetName val="JE Summary"/>
      <sheetName val="HFM BS"/>
      <sheetName val="BS11100"/>
      <sheetName val="501010+502809"/>
      <sheetName val="502809"/>
      <sheetName val="501110+502801"/>
      <sheetName val="502801"/>
      <sheetName val="501000+502808"/>
      <sheetName val="502770"/>
      <sheetName val="502820"/>
      <sheetName val="502830"/>
      <sheetName val="502840"/>
      <sheetName val="BS15100"/>
      <sheetName val="AR3rd"/>
      <sheetName val="BS15200"/>
      <sheetName val="52X000"/>
      <sheetName val="BS15200_bd"/>
      <sheetName val="BS15300"/>
      <sheetName val="571002"/>
      <sheetName val="POC suppotting"/>
      <sheetName val="BS34100"/>
      <sheetName val="cash pool BOA"/>
      <sheetName val="BS15400"/>
      <sheetName val="57X000"/>
      <sheetName val="BS15430"/>
      <sheetName val="BS15440"/>
      <sheetName val="541001"/>
      <sheetName val="541002"/>
      <sheetName val="BS15600"/>
      <sheetName val="BS21100"/>
      <sheetName val="GIT aging"/>
      <sheetName val="BS21200"/>
      <sheetName val="561000"/>
      <sheetName val="561010"/>
      <sheetName val="BS15650"/>
      <sheetName val="Credit Memo"/>
      <sheetName val="credit memo calculate"/>
      <sheetName val="BS21300"/>
      <sheetName val="552X00"/>
      <sheetName val="BS23300"/>
      <sheetName val="wip E&amp;O"/>
      <sheetName val="BS26100"/>
      <sheetName val="BS26200"/>
      <sheetName val="Push down"/>
      <sheetName val="BS27010"/>
      <sheetName val="530302"/>
      <sheetName val="530300"/>
      <sheetName val="BS27050"/>
      <sheetName val="BS27050_BD"/>
      <sheetName val="Amortization template"/>
      <sheetName val="BS27060"/>
      <sheetName val="540400"/>
      <sheetName val="BS27075"/>
      <sheetName val="Deposit"/>
      <sheetName val="BS27100"/>
      <sheetName val="540320"/>
      <sheetName val="540300"/>
      <sheetName val="BS33130"/>
      <sheetName val="BS33600"/>
      <sheetName val="GAAP"/>
      <sheetName val="Status Summary (PA)"/>
      <sheetName val="2185 - China Ltd"/>
      <sheetName val="BS41100"/>
      <sheetName val="651590"/>
      <sheetName val="BS42100"/>
      <sheetName val="BS48205"/>
      <sheetName val="BS48205 supportting "/>
      <sheetName val="BS52100"/>
      <sheetName val="721002"/>
      <sheetName val="72X000"/>
      <sheetName val="BS52150"/>
      <sheetName val="731600"/>
      <sheetName val="721409"/>
      <sheetName val="738400"/>
      <sheetName val="738401"/>
      <sheetName val="738404"/>
      <sheetName val="BS52200"/>
      <sheetName val="77X000"/>
      <sheetName val="ICGIT"/>
      <sheetName val="BS52230"/>
      <sheetName val="Cash Pool"/>
      <sheetName val="BS53200"/>
      <sheetName val="BS53512"/>
      <sheetName val="740090"/>
      <sheetName val="BS53515"/>
      <sheetName val="738600"/>
      <sheetName val="BS53550"/>
      <sheetName val="731801"/>
      <sheetName val="BS53540"/>
      <sheetName val="736000"/>
      <sheetName val="BS53580"/>
      <sheetName val="736210"/>
      <sheetName val="BS53670"/>
      <sheetName val="738100"/>
      <sheetName val="BS53630"/>
      <sheetName val="740040"/>
      <sheetName val="BS53710"/>
      <sheetName val="734001"/>
      <sheetName val="VAT recon"/>
      <sheetName val="not issue invoice"/>
      <sheetName val="VAT input"/>
      <sheetName val="734400"/>
      <sheetName val="BS53770"/>
      <sheetName val="733010"/>
      <sheetName val="BS53810"/>
      <sheetName val="5247XX+731XXX"/>
      <sheetName val="BS53820"/>
      <sheetName val="712000"/>
      <sheetName val="BS53650"/>
      <sheetName val="BS53900"/>
      <sheetName val="738000"/>
      <sheetName val="738018&amp;738001"/>
      <sheetName val="BS61300"/>
      <sheetName val="BS62200"/>
      <sheetName val="BS64900"/>
      <sheetName val="BS80100"/>
      <sheetName val="BS81100"/>
      <sheetName val="BS83100"/>
      <sheetName val="BS851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CJE Details"/>
      <sheetName val="ex.rate 07"/>
      <sheetName val="XREF"/>
      <sheetName val="Tickmarks"/>
    </sheetNames>
    <sheetDataSet>
      <sheetData sheetId="0" refreshError="1"/>
      <sheetData sheetId="1" refreshError="1"/>
      <sheetData sheetId="2" refreshError="1"/>
      <sheetData sheetId="3" refreshError="1"/>
      <sheetData sheetId="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loitte Team"/>
      <sheetName val="PBC"/>
      <sheetName val="FA List"/>
      <sheetName val="FA MVT"/>
      <sheetName val="Accrued Liability"/>
      <sheetName val="Sales-Product"/>
      <sheetName val="Sales-Customer"/>
      <sheetName val="GP by Month"/>
      <sheetName val="Manu"/>
      <sheetName val="Non Operating"/>
      <sheetName val="GA"/>
      <sheetName val="Selling"/>
      <sheetName val="Financial"/>
      <sheetName val="Related Party"/>
      <sheetName val="Tax Movem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
      <sheetName val="Staff adv."/>
    </sheetNames>
    <sheetDataSet>
      <sheetData sheetId="0" refreshError="1"/>
      <sheetData sheetId="1"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建信置业"/>
      <sheetName val="杭州华健"/>
      <sheetName val="绍兴信达"/>
      <sheetName val="恒兴房产"/>
      <sheetName val="01-中建置业"/>
      <sheetName val="Tickmarks"/>
      <sheetName val="Interco Balance"/>
      <sheetName val=" BKD "/>
      <sheetName val="Sheet1"/>
      <sheetName val="母公司"/>
      <sheetName val="Leadsheet"/>
      <sheetName val="Dropdown List"/>
      <sheetName val="无形资产汇总表"/>
      <sheetName val="试算平衡表"/>
      <sheetName val="For report-2017"/>
      <sheetName val="5. Resource and Costs Review"/>
      <sheetName val="Sample Design"/>
      <sheetName val="BS"/>
      <sheetName val="PL"/>
      <sheetName val="盘点表"/>
      <sheetName val="A430"/>
      <sheetName val="货币资金-刘超"/>
      <sheetName val="PER SALES ORG"/>
      <sheetName val="银行存款"/>
      <sheetName val="关联方往来余额"/>
      <sheetName val="DANH SÁCH KH -GIÁ"/>
      <sheetName val="B"/>
      <sheetName val="movement"/>
      <sheetName val="其他货币资金.dbf"/>
      <sheetName val="银行存款.dbf"/>
      <sheetName val="递延所得税变动"/>
      <sheetName val="预计负债"/>
      <sheetName val="迈科 - AR"/>
      <sheetName val="Tổng hợp công nợ"/>
      <sheetName val="TGNH-VND"/>
      <sheetName val="CDPS"/>
      <sheetName val="Nhập liệu"/>
      <sheetName val="Danh muc"/>
      <sheetName val="Giá thành"/>
      <sheetName val="Tổng hợp Z"/>
      <sheetName val="Tàikhoản"/>
      <sheetName val="Data"/>
      <sheetName val="NXT"/>
      <sheetName val="Sổ CPKD"/>
      <sheetName val="Lead"/>
      <sheetName val="Links"/>
      <sheetName val="Summary"/>
      <sheetName val="2004"/>
      <sheetName val="关联方往来余额-刘凯、白"/>
      <sheetName val="Plan Control Testing"/>
      <sheetName val="CIP"/>
      <sheetName val="总合并"/>
      <sheetName val="调整明细"/>
      <sheetName val="存货Dy"/>
      <sheetName val="5.基础档案"/>
      <sheetName val="1.合同台账"/>
      <sheetName val="玛钢"/>
      <sheetName val="迈科调整"/>
      <sheetName val="loan database"/>
      <sheetName val="迈科"/>
      <sheetName val="合并层面调整"/>
      <sheetName val="玛钢调整"/>
      <sheetName val="坏账-迈科"/>
      <sheetName val="ECL计算"/>
      <sheetName val="质保金2017"/>
      <sheetName val="YS02-02"/>
      <sheetName val="U1 P&amp;L"/>
      <sheetName val="报表-汇总表核对"/>
      <sheetName val="Worksheet in 6140-1 AP-暂估明细"/>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loitte Team"/>
      <sheetName val="PBC"/>
      <sheetName val="FA List"/>
      <sheetName val="FA MVT"/>
      <sheetName val="CIT MVT"/>
      <sheetName val="Accrued Liability"/>
      <sheetName val="Sales-Product"/>
      <sheetName val="Sales-Customer"/>
      <sheetName val="GP by Month"/>
      <sheetName val="Manu"/>
      <sheetName val="Non Operating"/>
      <sheetName val="GA"/>
      <sheetName val="Selling"/>
      <sheetName val="Financial"/>
      <sheetName val="Related Party"/>
      <sheetName val="Related Party 2017"/>
      <sheetName val="Tax Movem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
      <sheetName val="1-RPT List"/>
      <sheetName val="2-RPT Transactions and Balances"/>
      <sheetName val="2-1 Confirmation Control"/>
      <sheetName val="Tickmarks"/>
    </sheetNames>
    <sheetDataSet>
      <sheetData sheetId="0" refreshError="1"/>
      <sheetData sheetId="1" refreshError="1"/>
      <sheetData sheetId="2" refreshError="1"/>
      <sheetData sheetId="3" refreshError="1"/>
      <sheetData sheetId="4"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9 Breakdown"/>
      <sheetName val="Sheet1"/>
      <sheetName val="mail merge"/>
      <sheetName val="contact"/>
      <sheetName val="Sheet4"/>
      <sheetName val="mail merge (2)"/>
      <sheetName val="Overseas"/>
      <sheetName val="Domesti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horisation"/>
      <sheetName val="Summary - P&amp;L (S$)"/>
      <sheetName val="Operational P&amp;L"/>
      <sheetName val="P&amp;L (S$) - Actual Ratio"/>
      <sheetName val="PL(S$)-Actual"/>
      <sheetName val="PL(RMB)-Actual"/>
      <sheetName val="BS (S$) - Actual Ratio"/>
      <sheetName val="BS (S$) - Actual"/>
      <sheetName val="BS (RMB) - Actual"/>
      <sheetName val="AP List - Feb 05"/>
      <sheetName val="Prepayment"/>
      <sheetName val="Inventory Summary"/>
      <sheetName val="Bank"/>
      <sheetName val="ar"/>
      <sheetName val="Other AR"/>
      <sheetName val="FA"/>
      <sheetName val="科目余额表"/>
      <sheetName val="明细分类帐"/>
      <sheetName val="明细分类帐 (2)"/>
      <sheetName val="明细分类帐 (3)"/>
      <sheetName val="明细分类帐 (4)"/>
      <sheetName val="明细分类帐 (5)"/>
      <sheetName val="明细分类帐 (6)"/>
      <sheetName val="2005 YTD Actual"/>
      <sheetName val="jun9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应收"/>
      <sheetName val="应付"/>
      <sheetName val="6-1133"/>
      <sheetName val="其他应付"/>
      <sheetName val="7-1131"/>
      <sheetName val="7-2121"/>
      <sheetName val="7-1133"/>
      <sheetName val="8-1131"/>
      <sheetName val="8-2121"/>
      <sheetName val="9-1131"/>
      <sheetName val="9-2121"/>
      <sheetName val="10-1131"/>
      <sheetName val="10-1133"/>
      <sheetName val="10-2121"/>
      <sheetName val="11-1131"/>
      <sheetName val="11-2121"/>
      <sheetName val="12-1131"/>
      <sheetName val="12-2121-1"/>
      <sheetName val="12-2121"/>
      <sheetName val="Sheet2"/>
      <sheetName val="Sheet1"/>
      <sheetName val="ar"/>
      <sheetName val="JobDetails"/>
      <sheetName val="U4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78">
          <cell r="L78">
            <v>8648862.6799999997</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dt"/>
      <sheetName val="客户基本资料"/>
      <sheetName val="资产负债表"/>
      <sheetName val="利润表及分配表"/>
      <sheetName val="现金流量表"/>
      <sheetName val="财务指标统计表"/>
      <sheetName val="外汇情况表"/>
      <sheetName val="经费支出额明细表"/>
      <sheetName val="应纳税调整表(CN)"/>
      <sheetName val="应纳税调整表(EN)"/>
      <sheetName val="负债表CN"/>
      <sheetName val="负债表EN"/>
      <sheetName val="利润表"/>
      <sheetName val="利润表EN"/>
      <sheetName val="流量表CN"/>
      <sheetName val="流量表EN"/>
      <sheetName val="应纳税调整表CN"/>
      <sheetName val="应纳税调整表EN"/>
      <sheetName val="TBHB1-Assets"/>
      <sheetName val="TBHB1-L&amp;E"/>
      <sheetName val="TBHB1-PL"/>
      <sheetName val="税务利润"/>
      <sheetName val="HB1adjustment"/>
      <sheetName val="利润表CN"/>
      <sheetName val="CN-Assets"/>
      <sheetName val="CN-L&amp;E"/>
      <sheetName val="CN-PL"/>
      <sheetName val="reclassify"/>
      <sheetName val="调整"/>
      <sheetName val="toptrial"/>
      <sheetName val="cashflo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come"/>
      <sheetName val="cogs"/>
      <sheetName val="Sales"/>
      <sheetName val="Stock"/>
      <sheetName val="labor"/>
      <sheetName val="overheads"/>
      <sheetName val="GA"/>
      <sheetName val="FE"/>
      <sheetName val="Exchange rate"/>
      <sheetName val="10-2121"/>
      <sheetName val="南海联邦"/>
      <sheetName val="ar"/>
      <sheetName val="级差图"/>
      <sheetName val="增减指示图"/>
      <sheetName val="2列 一个多层(3)"/>
      <sheetName val="AP List "/>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theme/theme1.xml><?xml version="1.0" encoding="utf-8"?>
<a:theme xmlns:a="http://schemas.openxmlformats.org/drawingml/2006/main" name="Office Theme">
  <a:themeElements>
    <a:clrScheme name="Deloitte new">
      <a:dk1>
        <a:srgbClr val="000000"/>
      </a:dk1>
      <a:lt1>
        <a:srgbClr val="FFFFFF"/>
      </a:lt1>
      <a:dk2>
        <a:srgbClr val="002776"/>
      </a:dk2>
      <a:lt2>
        <a:srgbClr val="FFFFFF"/>
      </a:lt2>
      <a:accent1>
        <a:srgbClr val="00A1DE"/>
      </a:accent1>
      <a:accent2>
        <a:srgbClr val="92D400"/>
      </a:accent2>
      <a:accent3>
        <a:srgbClr val="72C7E7"/>
      </a:accent3>
      <a:accent4>
        <a:srgbClr val="3C8A2E"/>
      </a:accent4>
      <a:accent5>
        <a:srgbClr val="002776"/>
      </a:accent5>
      <a:accent6>
        <a:srgbClr val="C9DD03"/>
      </a:accent6>
      <a:hlink>
        <a:srgbClr val="00A1DE"/>
      </a:hlink>
      <a:folHlink>
        <a:srgbClr val="72C7E7"/>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FABD7-9935-41C9-9E4B-6F4CE8F6C0D7}">
  <dimension ref="A1:G9"/>
  <sheetViews>
    <sheetView tabSelected="1" workbookViewId="0">
      <selection activeCell="C8" sqref="C8"/>
    </sheetView>
  </sheetViews>
  <sheetFormatPr defaultRowHeight="15"/>
  <cols>
    <col min="1" max="1" width="17.4140625" bestFit="1" customWidth="1"/>
    <col min="2" max="2" width="44.83203125" bestFit="1" customWidth="1"/>
  </cols>
  <sheetData>
    <row r="1" spans="1:7">
      <c r="A1" s="282" t="s">
        <v>178</v>
      </c>
      <c r="B1" t="str">
        <f>'1 组织结构及管理架构'!A1</f>
        <v>松莉美容科技（上海）有限公司</v>
      </c>
    </row>
    <row r="2" spans="1:7">
      <c r="A2" s="282" t="s">
        <v>179</v>
      </c>
      <c r="B2" t="str" cm="1">
        <f t="array" ref="B2:G2">RIGHT(LEFT('3 分部财务数据'!A5:F5,8),2)</f>
        <v>23</v>
      </c>
      <c r="C2" t="str">
        <v/>
      </c>
      <c r="D2" t="str">
        <v/>
      </c>
      <c r="E2" t="str">
        <v/>
      </c>
      <c r="F2" t="str">
        <v/>
      </c>
      <c r="G2" t="str">
        <v/>
      </c>
    </row>
    <row r="3" spans="1:7">
      <c r="A3" s="282" t="s">
        <v>181</v>
      </c>
      <c r="B3" t="str">
        <f>资料清单!A5</f>
        <v>立信税务师事务所有限公司</v>
      </c>
    </row>
    <row r="4" spans="1:7">
      <c r="A4" s="282" t="s">
        <v>182</v>
      </c>
      <c r="B4" t="str">
        <f>资料清单!A6</f>
        <v>立信税务</v>
      </c>
    </row>
    <row r="5" spans="1:7">
      <c r="A5" s="282" t="s">
        <v>184</v>
      </c>
      <c r="B5" t="str">
        <f>资料清单!A7</f>
        <v>松莉科技</v>
      </c>
    </row>
    <row r="6" spans="1:7">
      <c r="A6" s="282" t="s">
        <v>185</v>
      </c>
      <c r="B6" t="str">
        <f>资料清单!A8</f>
        <v>Markwins Beauty Brands Inc.</v>
      </c>
    </row>
    <row r="7" spans="1:7">
      <c r="A7" s="282" t="s">
        <v>186</v>
      </c>
      <c r="B7" t="str">
        <f>集团背景情况!A1</f>
        <v>松莉美容科技（上海）有限公司隶属于Markwins Beauty Brands Inc.集团。Markwins集团成立于1984年，总部位于美国加州洛杉矶，是一家专注于化妆品生产、行销及研发的国际知名企业。集团以不断创新的设计能力、先进的生产技术、雄厚的财力和优越的行销能力著称，是全球化妆品行业的主要供应商之一。其策略是专注于单价较低的产品，通过满足不同年龄、种族、经济状况和肤色的消费者需求，填补了小众市场的空白，为全球消费者提供经济适用型美容产品。
松莉美容科技（上海）有限公司成立于2018年11月29日，注册资本为4,000万美元，位于上海市奉贤区。公司主要从事化妆品的生产经营业务，包括美容科技领域的技术服务、技术开发、技术咨询、技术交流、技术推广，以及化妆品的生产与销售。松莉科技作为Markwins集团在中国的重要生产基地，承担了集团旗下多个品牌化妆品的生产任务，如Physicians Formula、Wet n Wild和LiP SMACKER等，这些品牌在全球范围内享有较高的知名度和市场份额。</v>
      </c>
    </row>
    <row r="8" spans="1:7">
      <c r="A8" s="282" t="s">
        <v>188</v>
      </c>
      <c r="B8" t="str">
        <f>公司经营背景资料!A1</f>
        <v>松莉美容科技（上海）有限公司（以下简称“松莉科技”）成立于2018年11月29日，注册资本为4,000万美元，是一家有限责任公司（港澳台法人独资），投资方为Markwins International Corporation Limited（中国香港）。公司位于上海市奉贤区芝云路168号7幢1层B区、2层、3层，经营期限为50年。松莉科技的经营范围涵盖美容科技领域的技术服务、技术开发、技术咨询、技术交流、技术推广，健康信息咨询（医疗诊疗除外），化妆品的生产与销售，以及化工产品、包装材料及制品、日用杂品、卫生用品和一次性使用医疗产品的批发、进出口、网上零售等。
母公司Markwins International Corporation Limited隶属于Markwins Beauty Brands Inc.（美国），后者成立于1984年，总部位于美国加州洛杉矶。Markwins集团主要从事化妆品生产、行销及研发，以创新设计、先进技术和优越的行销能力著称，是全球化妆品行业的主要供应商之一。集团专注于经济适用型美容产品，通过满足不同年龄、种族、经济状况和肤色的消费者需求，填补了小众市场的空白。
截至2023年12月31日，松莉科技共有员工464人，公司内部设有生产部、计划部、资材部、采购部、关务部、工程部、工务部、产品开发部、业务部、财务部、资讯部、人事部、管理部、品质部和研发部等多个部门。其主营业务包括Physicians Formula、Wet n Wild和LiP SMACKER等品牌的化妆品生产。Physicians Formula品牌致力于为全球有肌肤困扰的女性提供健康、可靠且性价比高的化妆品，支持零残忍的彩妆和护肤理念；Wet n Wild品牌作为美国时尚彩妆品牌，以“张扬无畏、大胆自信、玩转色彩、彩妆先锋”为品牌理念，注重优质的上妆体验及性价比；LiP SMACKER品牌则以原创、趣味和优质配方闻名，专注于润唇膏产品，深受青少年和潮玩一族喜爱。松莉科技主要根据Markwins集团的订单安排生产计划，承担采购、生产、质量控制、库存管理等功能。
在财务方面，松莉科技2023年度的营业收入为273,356,327.70元人民币，营业成本为243,696,017.20元人民币，税金及附加为98,278.10元人民币，销售费用为562,576.46元人民币，管理费用为15,362,250.31元人民币，息税前利润为13,637,205.63元人民币，完全成本加成率为5.25%。
松莉科技所处的化妆品行业在全球范围内呈现增长趋势，2023年全球化妆品市场规模达到6,070亿美元。中国市场在其中占据重要地位，2023年零售总额达到4,142亿元人民币，同比增长5.1%。随着消费者对高品质、个性化产品的需求增加，化妆品行业在研发、生产、营销等方面不断创新，市场呈现出细分化、功能化、品牌化的特点。
作为Markwins集团在中国的重要生产基地，松莉科技的战略定位是专注于化妆品的生产制造，通过优化生产流程、提高产品质量、降低生产成本，为集团提供稳定的供应链支持。公司将继续加强研发能力，提升生产效率，拓展国内外市场，进一步巩固其在化妆品行业的地位。2023年度，松莉科技未发生重大重组、无形资产转让或关联股权转让，经营状况保持稳定。</v>
      </c>
    </row>
    <row r="9" spans="1:7">
      <c r="A9" s="282"/>
    </row>
  </sheetData>
  <phoneticPr fontId="9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CF6E5-229E-46E6-B603-EA64DD083A7E}">
  <dimension ref="A1:A2"/>
  <sheetViews>
    <sheetView workbookViewId="0"/>
  </sheetViews>
  <sheetFormatPr defaultRowHeight="15"/>
  <cols>
    <col min="1" max="1" width="61.83203125" customWidth="1"/>
  </cols>
  <sheetData>
    <row r="1" spans="1:1" ht="210">
      <c r="A1" s="287" t="s">
        <v>243</v>
      </c>
    </row>
    <row r="2" spans="1:1">
      <c r="A2" s="282"/>
    </row>
  </sheetData>
  <phoneticPr fontId="9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99B9F-BB7D-429F-BDA6-0929529D49AC}">
  <dimension ref="A1"/>
  <sheetViews>
    <sheetView workbookViewId="0">
      <selection activeCell="A2" sqref="A2"/>
    </sheetView>
  </sheetViews>
  <sheetFormatPr defaultRowHeight="15"/>
  <cols>
    <col min="1" max="1" width="128.83203125" customWidth="1"/>
  </cols>
  <sheetData>
    <row r="1" spans="1:1" ht="315">
      <c r="A1" s="287" t="s">
        <v>244</v>
      </c>
    </row>
  </sheetData>
  <phoneticPr fontId="9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C060D-4876-46A0-920F-D838E51E6E3F}">
  <dimension ref="A1:C6"/>
  <sheetViews>
    <sheetView workbookViewId="0">
      <selection activeCell="B5" sqref="B5"/>
    </sheetView>
  </sheetViews>
  <sheetFormatPr defaultRowHeight="15"/>
  <cols>
    <col min="1" max="1" width="31.08203125" bestFit="1" customWidth="1"/>
    <col min="2" max="2" width="15.33203125" bestFit="1" customWidth="1"/>
  </cols>
  <sheetData>
    <row r="1" spans="1:3">
      <c r="A1" t="s">
        <v>189</v>
      </c>
      <c r="B1" t="s">
        <v>190</v>
      </c>
      <c r="C1" t="s">
        <v>191</v>
      </c>
    </row>
    <row r="2" spans="1:3">
      <c r="A2" t="s">
        <v>245</v>
      </c>
      <c r="B2" s="289" t="s">
        <v>250</v>
      </c>
      <c r="C2" s="289"/>
    </row>
    <row r="3" spans="1:3">
      <c r="A3" t="s">
        <v>246</v>
      </c>
      <c r="B3" s="289"/>
      <c r="C3" s="289"/>
    </row>
    <row r="4" spans="1:3">
      <c r="A4" t="s">
        <v>247</v>
      </c>
      <c r="B4" s="289"/>
      <c r="C4" s="289"/>
    </row>
    <row r="5" spans="1:3">
      <c r="A5" s="282" t="s">
        <v>248</v>
      </c>
      <c r="B5" s="289"/>
      <c r="C5" s="289"/>
    </row>
    <row r="6" spans="1:3">
      <c r="A6" s="282" t="s">
        <v>249</v>
      </c>
      <c r="B6">
        <v>27335.63</v>
      </c>
      <c r="C6" s="288">
        <v>1</v>
      </c>
    </row>
  </sheetData>
  <phoneticPr fontId="9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55C26-E989-40C6-9A56-26BD77B42091}">
  <dimension ref="A1:B17"/>
  <sheetViews>
    <sheetView workbookViewId="0">
      <selection activeCell="B2" sqref="B2"/>
    </sheetView>
  </sheetViews>
  <sheetFormatPr defaultRowHeight="15"/>
  <cols>
    <col min="1" max="1" width="30" bestFit="1" customWidth="1"/>
    <col min="2" max="2" width="104" bestFit="1" customWidth="1"/>
  </cols>
  <sheetData>
    <row r="1" spans="1:2" ht="135">
      <c r="A1" s="282" t="s">
        <v>192</v>
      </c>
      <c r="B1" s="287" t="s">
        <v>251</v>
      </c>
    </row>
    <row r="2" spans="1:2" ht="150">
      <c r="A2" s="282" t="s">
        <v>193</v>
      </c>
      <c r="B2" s="287" t="s">
        <v>252</v>
      </c>
    </row>
    <row r="3" spans="1:2" ht="225">
      <c r="A3" s="282" t="s">
        <v>194</v>
      </c>
      <c r="B3" s="287" t="s">
        <v>254</v>
      </c>
    </row>
    <row r="4" spans="1:2" ht="360">
      <c r="A4" s="282" t="s">
        <v>195</v>
      </c>
      <c r="B4" s="287" t="s">
        <v>255</v>
      </c>
    </row>
    <row r="5" spans="1:2" ht="90">
      <c r="A5" s="282" t="s">
        <v>196</v>
      </c>
      <c r="B5" s="287" t="s">
        <v>253</v>
      </c>
    </row>
    <row r="7" spans="1:2">
      <c r="B7" s="292"/>
    </row>
    <row r="8" spans="1:2">
      <c r="B8" s="292"/>
    </row>
    <row r="9" spans="1:2">
      <c r="B9" s="290"/>
    </row>
    <row r="10" spans="1:2">
      <c r="B10" s="292"/>
    </row>
    <row r="11" spans="1:2">
      <c r="B11" s="290"/>
    </row>
    <row r="12" spans="1:2">
      <c r="B12" s="292"/>
    </row>
    <row r="13" spans="1:2">
      <c r="B13" s="290"/>
    </row>
    <row r="14" spans="1:2">
      <c r="B14" s="292"/>
    </row>
    <row r="15" spans="1:2">
      <c r="B15" s="290"/>
    </row>
    <row r="16" spans="1:2">
      <c r="B16" s="292"/>
    </row>
    <row r="17" spans="2:2">
      <c r="B17" s="291"/>
    </row>
  </sheetData>
  <phoneticPr fontId="9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A2CE0-A51E-4650-9A81-5807D8CB6CCF}">
  <dimension ref="A1:B2"/>
  <sheetViews>
    <sheetView workbookViewId="0">
      <selection activeCell="H24" sqref="H24"/>
    </sheetView>
  </sheetViews>
  <sheetFormatPr defaultRowHeight="15"/>
  <cols>
    <col min="1" max="1" width="21.58203125" bestFit="1" customWidth="1"/>
  </cols>
  <sheetData>
    <row r="1" spans="1:2">
      <c r="A1" s="282" t="s">
        <v>187</v>
      </c>
      <c r="B1" s="293">
        <v>5.2499999999999998E-2</v>
      </c>
    </row>
    <row r="2" spans="1:2">
      <c r="B2" s="294" t="s">
        <v>256</v>
      </c>
    </row>
  </sheetData>
  <phoneticPr fontId="9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2060"/>
    <pageSetUpPr fitToPage="1"/>
  </sheetPr>
  <dimension ref="A1:C22"/>
  <sheetViews>
    <sheetView showGridLines="0" view="pageBreakPreview" topLeftCell="A7" zoomScaleNormal="100" workbookViewId="0">
      <selection activeCell="B8" sqref="B8"/>
    </sheetView>
  </sheetViews>
  <sheetFormatPr defaultColWidth="9" defaultRowHeight="14"/>
  <cols>
    <col min="1" max="1" width="109.58203125" style="268" customWidth="1"/>
    <col min="2" max="2" width="26.58203125" style="268" customWidth="1"/>
    <col min="3" max="254" width="9" style="268"/>
    <col min="255" max="255" width="67.6640625" style="268" customWidth="1"/>
    <col min="256" max="256" width="17.08203125" style="268" customWidth="1"/>
    <col min="257" max="257" width="31.08203125" style="268" customWidth="1"/>
    <col min="258" max="510" width="9" style="268"/>
    <col min="511" max="511" width="67.6640625" style="268" customWidth="1"/>
    <col min="512" max="512" width="17.08203125" style="268" customWidth="1"/>
    <col min="513" max="513" width="31.08203125" style="268" customWidth="1"/>
    <col min="514" max="766" width="9" style="268"/>
    <col min="767" max="767" width="67.6640625" style="268" customWidth="1"/>
    <col min="768" max="768" width="17.08203125" style="268" customWidth="1"/>
    <col min="769" max="769" width="31.08203125" style="268" customWidth="1"/>
    <col min="770" max="1022" width="9" style="268"/>
    <col min="1023" max="1023" width="67.6640625" style="268" customWidth="1"/>
    <col min="1024" max="1024" width="17.08203125" style="268" customWidth="1"/>
    <col min="1025" max="1025" width="31.08203125" style="268" customWidth="1"/>
    <col min="1026" max="1278" width="9" style="268"/>
    <col min="1279" max="1279" width="67.6640625" style="268" customWidth="1"/>
    <col min="1280" max="1280" width="17.08203125" style="268" customWidth="1"/>
    <col min="1281" max="1281" width="31.08203125" style="268" customWidth="1"/>
    <col min="1282" max="1534" width="9" style="268"/>
    <col min="1535" max="1535" width="67.6640625" style="268" customWidth="1"/>
    <col min="1536" max="1536" width="17.08203125" style="268" customWidth="1"/>
    <col min="1537" max="1537" width="31.08203125" style="268" customWidth="1"/>
    <col min="1538" max="1790" width="9" style="268"/>
    <col min="1791" max="1791" width="67.6640625" style="268" customWidth="1"/>
    <col min="1792" max="1792" width="17.08203125" style="268" customWidth="1"/>
    <col min="1793" max="1793" width="31.08203125" style="268" customWidth="1"/>
    <col min="1794" max="2046" width="9" style="268"/>
    <col min="2047" max="2047" width="67.6640625" style="268" customWidth="1"/>
    <col min="2048" max="2048" width="17.08203125" style="268" customWidth="1"/>
    <col min="2049" max="2049" width="31.08203125" style="268" customWidth="1"/>
    <col min="2050" max="2302" width="9" style="268"/>
    <col min="2303" max="2303" width="67.6640625" style="268" customWidth="1"/>
    <col min="2304" max="2304" width="17.08203125" style="268" customWidth="1"/>
    <col min="2305" max="2305" width="31.08203125" style="268" customWidth="1"/>
    <col min="2306" max="2558" width="9" style="268"/>
    <col min="2559" max="2559" width="67.6640625" style="268" customWidth="1"/>
    <col min="2560" max="2560" width="17.08203125" style="268" customWidth="1"/>
    <col min="2561" max="2561" width="31.08203125" style="268" customWidth="1"/>
    <col min="2562" max="2814" width="9" style="268"/>
    <col min="2815" max="2815" width="67.6640625" style="268" customWidth="1"/>
    <col min="2816" max="2816" width="17.08203125" style="268" customWidth="1"/>
    <col min="2817" max="2817" width="31.08203125" style="268" customWidth="1"/>
    <col min="2818" max="3070" width="9" style="268"/>
    <col min="3071" max="3071" width="67.6640625" style="268" customWidth="1"/>
    <col min="3072" max="3072" width="17.08203125" style="268" customWidth="1"/>
    <col min="3073" max="3073" width="31.08203125" style="268" customWidth="1"/>
    <col min="3074" max="3326" width="9" style="268"/>
    <col min="3327" max="3327" width="67.6640625" style="268" customWidth="1"/>
    <col min="3328" max="3328" width="17.08203125" style="268" customWidth="1"/>
    <col min="3329" max="3329" width="31.08203125" style="268" customWidth="1"/>
    <col min="3330" max="3582" width="9" style="268"/>
    <col min="3583" max="3583" width="67.6640625" style="268" customWidth="1"/>
    <col min="3584" max="3584" width="17.08203125" style="268" customWidth="1"/>
    <col min="3585" max="3585" width="31.08203125" style="268" customWidth="1"/>
    <col min="3586" max="3838" width="9" style="268"/>
    <col min="3839" max="3839" width="67.6640625" style="268" customWidth="1"/>
    <col min="3840" max="3840" width="17.08203125" style="268" customWidth="1"/>
    <col min="3841" max="3841" width="31.08203125" style="268" customWidth="1"/>
    <col min="3842" max="4094" width="9" style="268"/>
    <col min="4095" max="4095" width="67.6640625" style="268" customWidth="1"/>
    <col min="4096" max="4096" width="17.08203125" style="268" customWidth="1"/>
    <col min="4097" max="4097" width="31.08203125" style="268" customWidth="1"/>
    <col min="4098" max="4350" width="9" style="268"/>
    <col min="4351" max="4351" width="67.6640625" style="268" customWidth="1"/>
    <col min="4352" max="4352" width="17.08203125" style="268" customWidth="1"/>
    <col min="4353" max="4353" width="31.08203125" style="268" customWidth="1"/>
    <col min="4354" max="4606" width="9" style="268"/>
    <col min="4607" max="4607" width="67.6640625" style="268" customWidth="1"/>
    <col min="4608" max="4608" width="17.08203125" style="268" customWidth="1"/>
    <col min="4609" max="4609" width="31.08203125" style="268" customWidth="1"/>
    <col min="4610" max="4862" width="9" style="268"/>
    <col min="4863" max="4863" width="67.6640625" style="268" customWidth="1"/>
    <col min="4864" max="4864" width="17.08203125" style="268" customWidth="1"/>
    <col min="4865" max="4865" width="31.08203125" style="268" customWidth="1"/>
    <col min="4866" max="5118" width="9" style="268"/>
    <col min="5119" max="5119" width="67.6640625" style="268" customWidth="1"/>
    <col min="5120" max="5120" width="17.08203125" style="268" customWidth="1"/>
    <col min="5121" max="5121" width="31.08203125" style="268" customWidth="1"/>
    <col min="5122" max="5374" width="9" style="268"/>
    <col min="5375" max="5375" width="67.6640625" style="268" customWidth="1"/>
    <col min="5376" max="5376" width="17.08203125" style="268" customWidth="1"/>
    <col min="5377" max="5377" width="31.08203125" style="268" customWidth="1"/>
    <col min="5378" max="5630" width="9" style="268"/>
    <col min="5631" max="5631" width="67.6640625" style="268" customWidth="1"/>
    <col min="5632" max="5632" width="17.08203125" style="268" customWidth="1"/>
    <col min="5633" max="5633" width="31.08203125" style="268" customWidth="1"/>
    <col min="5634" max="5886" width="9" style="268"/>
    <col min="5887" max="5887" width="67.6640625" style="268" customWidth="1"/>
    <col min="5888" max="5888" width="17.08203125" style="268" customWidth="1"/>
    <col min="5889" max="5889" width="31.08203125" style="268" customWidth="1"/>
    <col min="5890" max="6142" width="9" style="268"/>
    <col min="6143" max="6143" width="67.6640625" style="268" customWidth="1"/>
    <col min="6144" max="6144" width="17.08203125" style="268" customWidth="1"/>
    <col min="6145" max="6145" width="31.08203125" style="268" customWidth="1"/>
    <col min="6146" max="6398" width="9" style="268"/>
    <col min="6399" max="6399" width="67.6640625" style="268" customWidth="1"/>
    <col min="6400" max="6400" width="17.08203125" style="268" customWidth="1"/>
    <col min="6401" max="6401" width="31.08203125" style="268" customWidth="1"/>
    <col min="6402" max="6654" width="9" style="268"/>
    <col min="6655" max="6655" width="67.6640625" style="268" customWidth="1"/>
    <col min="6656" max="6656" width="17.08203125" style="268" customWidth="1"/>
    <col min="6657" max="6657" width="31.08203125" style="268" customWidth="1"/>
    <col min="6658" max="6910" width="9" style="268"/>
    <col min="6911" max="6911" width="67.6640625" style="268" customWidth="1"/>
    <col min="6912" max="6912" width="17.08203125" style="268" customWidth="1"/>
    <col min="6913" max="6913" width="31.08203125" style="268" customWidth="1"/>
    <col min="6914" max="7166" width="9" style="268"/>
    <col min="7167" max="7167" width="67.6640625" style="268" customWidth="1"/>
    <col min="7168" max="7168" width="17.08203125" style="268" customWidth="1"/>
    <col min="7169" max="7169" width="31.08203125" style="268" customWidth="1"/>
    <col min="7170" max="7422" width="9" style="268"/>
    <col min="7423" max="7423" width="67.6640625" style="268" customWidth="1"/>
    <col min="7424" max="7424" width="17.08203125" style="268" customWidth="1"/>
    <col min="7425" max="7425" width="31.08203125" style="268" customWidth="1"/>
    <col min="7426" max="7678" width="9" style="268"/>
    <col min="7679" max="7679" width="67.6640625" style="268" customWidth="1"/>
    <col min="7680" max="7680" width="17.08203125" style="268" customWidth="1"/>
    <col min="7681" max="7681" width="31.08203125" style="268" customWidth="1"/>
    <col min="7682" max="7934" width="9" style="268"/>
    <col min="7935" max="7935" width="67.6640625" style="268" customWidth="1"/>
    <col min="7936" max="7936" width="17.08203125" style="268" customWidth="1"/>
    <col min="7937" max="7937" width="31.08203125" style="268" customWidth="1"/>
    <col min="7938" max="8190" width="9" style="268"/>
    <col min="8191" max="8191" width="67.6640625" style="268" customWidth="1"/>
    <col min="8192" max="8192" width="17.08203125" style="268" customWidth="1"/>
    <col min="8193" max="8193" width="31.08203125" style="268" customWidth="1"/>
    <col min="8194" max="8446" width="9" style="268"/>
    <col min="8447" max="8447" width="67.6640625" style="268" customWidth="1"/>
    <col min="8448" max="8448" width="17.08203125" style="268" customWidth="1"/>
    <col min="8449" max="8449" width="31.08203125" style="268" customWidth="1"/>
    <col min="8450" max="8702" width="9" style="268"/>
    <col min="8703" max="8703" width="67.6640625" style="268" customWidth="1"/>
    <col min="8704" max="8704" width="17.08203125" style="268" customWidth="1"/>
    <col min="8705" max="8705" width="31.08203125" style="268" customWidth="1"/>
    <col min="8706" max="8958" width="9" style="268"/>
    <col min="8959" max="8959" width="67.6640625" style="268" customWidth="1"/>
    <col min="8960" max="8960" width="17.08203125" style="268" customWidth="1"/>
    <col min="8961" max="8961" width="31.08203125" style="268" customWidth="1"/>
    <col min="8962" max="9214" width="9" style="268"/>
    <col min="9215" max="9215" width="67.6640625" style="268" customWidth="1"/>
    <col min="9216" max="9216" width="17.08203125" style="268" customWidth="1"/>
    <col min="9217" max="9217" width="31.08203125" style="268" customWidth="1"/>
    <col min="9218" max="9470" width="9" style="268"/>
    <col min="9471" max="9471" width="67.6640625" style="268" customWidth="1"/>
    <col min="9472" max="9472" width="17.08203125" style="268" customWidth="1"/>
    <col min="9473" max="9473" width="31.08203125" style="268" customWidth="1"/>
    <col min="9474" max="9726" width="9" style="268"/>
    <col min="9727" max="9727" width="67.6640625" style="268" customWidth="1"/>
    <col min="9728" max="9728" width="17.08203125" style="268" customWidth="1"/>
    <col min="9729" max="9729" width="31.08203125" style="268" customWidth="1"/>
    <col min="9730" max="9982" width="9" style="268"/>
    <col min="9983" max="9983" width="67.6640625" style="268" customWidth="1"/>
    <col min="9984" max="9984" width="17.08203125" style="268" customWidth="1"/>
    <col min="9985" max="9985" width="31.08203125" style="268" customWidth="1"/>
    <col min="9986" max="10238" width="9" style="268"/>
    <col min="10239" max="10239" width="67.6640625" style="268" customWidth="1"/>
    <col min="10240" max="10240" width="17.08203125" style="268" customWidth="1"/>
    <col min="10241" max="10241" width="31.08203125" style="268" customWidth="1"/>
    <col min="10242" max="10494" width="9" style="268"/>
    <col min="10495" max="10495" width="67.6640625" style="268" customWidth="1"/>
    <col min="10496" max="10496" width="17.08203125" style="268" customWidth="1"/>
    <col min="10497" max="10497" width="31.08203125" style="268" customWidth="1"/>
    <col min="10498" max="10750" width="9" style="268"/>
    <col min="10751" max="10751" width="67.6640625" style="268" customWidth="1"/>
    <col min="10752" max="10752" width="17.08203125" style="268" customWidth="1"/>
    <col min="10753" max="10753" width="31.08203125" style="268" customWidth="1"/>
    <col min="10754" max="11006" width="9" style="268"/>
    <col min="11007" max="11007" width="67.6640625" style="268" customWidth="1"/>
    <col min="11008" max="11008" width="17.08203125" style="268" customWidth="1"/>
    <col min="11009" max="11009" width="31.08203125" style="268" customWidth="1"/>
    <col min="11010" max="11262" width="9" style="268"/>
    <col min="11263" max="11263" width="67.6640625" style="268" customWidth="1"/>
    <col min="11264" max="11264" width="17.08203125" style="268" customWidth="1"/>
    <col min="11265" max="11265" width="31.08203125" style="268" customWidth="1"/>
    <col min="11266" max="11518" width="9" style="268"/>
    <col min="11519" max="11519" width="67.6640625" style="268" customWidth="1"/>
    <col min="11520" max="11520" width="17.08203125" style="268" customWidth="1"/>
    <col min="11521" max="11521" width="31.08203125" style="268" customWidth="1"/>
    <col min="11522" max="11774" width="9" style="268"/>
    <col min="11775" max="11775" width="67.6640625" style="268" customWidth="1"/>
    <col min="11776" max="11776" width="17.08203125" style="268" customWidth="1"/>
    <col min="11777" max="11777" width="31.08203125" style="268" customWidth="1"/>
    <col min="11778" max="12030" width="9" style="268"/>
    <col min="12031" max="12031" width="67.6640625" style="268" customWidth="1"/>
    <col min="12032" max="12032" width="17.08203125" style="268" customWidth="1"/>
    <col min="12033" max="12033" width="31.08203125" style="268" customWidth="1"/>
    <col min="12034" max="12286" width="9" style="268"/>
    <col min="12287" max="12287" width="67.6640625" style="268" customWidth="1"/>
    <col min="12288" max="12288" width="17.08203125" style="268" customWidth="1"/>
    <col min="12289" max="12289" width="31.08203125" style="268" customWidth="1"/>
    <col min="12290" max="12542" width="9" style="268"/>
    <col min="12543" max="12543" width="67.6640625" style="268" customWidth="1"/>
    <col min="12544" max="12544" width="17.08203125" style="268" customWidth="1"/>
    <col min="12545" max="12545" width="31.08203125" style="268" customWidth="1"/>
    <col min="12546" max="12798" width="9" style="268"/>
    <col min="12799" max="12799" width="67.6640625" style="268" customWidth="1"/>
    <col min="12800" max="12800" width="17.08203125" style="268" customWidth="1"/>
    <col min="12801" max="12801" width="31.08203125" style="268" customWidth="1"/>
    <col min="12802" max="13054" width="9" style="268"/>
    <col min="13055" max="13055" width="67.6640625" style="268" customWidth="1"/>
    <col min="13056" max="13056" width="17.08203125" style="268" customWidth="1"/>
    <col min="13057" max="13057" width="31.08203125" style="268" customWidth="1"/>
    <col min="13058" max="13310" width="9" style="268"/>
    <col min="13311" max="13311" width="67.6640625" style="268" customWidth="1"/>
    <col min="13312" max="13312" width="17.08203125" style="268" customWidth="1"/>
    <col min="13313" max="13313" width="31.08203125" style="268" customWidth="1"/>
    <col min="13314" max="13566" width="9" style="268"/>
    <col min="13567" max="13567" width="67.6640625" style="268" customWidth="1"/>
    <col min="13568" max="13568" width="17.08203125" style="268" customWidth="1"/>
    <col min="13569" max="13569" width="31.08203125" style="268" customWidth="1"/>
    <col min="13570" max="13822" width="9" style="268"/>
    <col min="13823" max="13823" width="67.6640625" style="268" customWidth="1"/>
    <col min="13824" max="13824" width="17.08203125" style="268" customWidth="1"/>
    <col min="13825" max="13825" width="31.08203125" style="268" customWidth="1"/>
    <col min="13826" max="14078" width="9" style="268"/>
    <col min="14079" max="14079" width="67.6640625" style="268" customWidth="1"/>
    <col min="14080" max="14080" width="17.08203125" style="268" customWidth="1"/>
    <col min="14081" max="14081" width="31.08203125" style="268" customWidth="1"/>
    <col min="14082" max="14334" width="9" style="268"/>
    <col min="14335" max="14335" width="67.6640625" style="268" customWidth="1"/>
    <col min="14336" max="14336" width="17.08203125" style="268" customWidth="1"/>
    <col min="14337" max="14337" width="31.08203125" style="268" customWidth="1"/>
    <col min="14338" max="14590" width="9" style="268"/>
    <col min="14591" max="14591" width="67.6640625" style="268" customWidth="1"/>
    <col min="14592" max="14592" width="17.08203125" style="268" customWidth="1"/>
    <col min="14593" max="14593" width="31.08203125" style="268" customWidth="1"/>
    <col min="14594" max="14846" width="9" style="268"/>
    <col min="14847" max="14847" width="67.6640625" style="268" customWidth="1"/>
    <col min="14848" max="14848" width="17.08203125" style="268" customWidth="1"/>
    <col min="14849" max="14849" width="31.08203125" style="268" customWidth="1"/>
    <col min="14850" max="15102" width="9" style="268"/>
    <col min="15103" max="15103" width="67.6640625" style="268" customWidth="1"/>
    <col min="15104" max="15104" width="17.08203125" style="268" customWidth="1"/>
    <col min="15105" max="15105" width="31.08203125" style="268" customWidth="1"/>
    <col min="15106" max="15358" width="9" style="268"/>
    <col min="15359" max="15359" width="67.6640625" style="268" customWidth="1"/>
    <col min="15360" max="15360" width="17.08203125" style="268" customWidth="1"/>
    <col min="15361" max="15361" width="31.08203125" style="268" customWidth="1"/>
    <col min="15362" max="15614" width="9" style="268"/>
    <col min="15615" max="15615" width="67.6640625" style="268" customWidth="1"/>
    <col min="15616" max="15616" width="17.08203125" style="268" customWidth="1"/>
    <col min="15617" max="15617" width="31.08203125" style="268" customWidth="1"/>
    <col min="15618" max="15870" width="9" style="268"/>
    <col min="15871" max="15871" width="67.6640625" style="268" customWidth="1"/>
    <col min="15872" max="15872" width="17.08203125" style="268" customWidth="1"/>
    <col min="15873" max="15873" width="31.08203125" style="268" customWidth="1"/>
    <col min="15874" max="16126" width="9" style="268"/>
    <col min="16127" max="16127" width="67.6640625" style="268" customWidth="1"/>
    <col min="16128" max="16128" width="17.08203125" style="268" customWidth="1"/>
    <col min="16129" max="16129" width="31.08203125" style="268" customWidth="1"/>
    <col min="16130" max="16384" width="9" style="268"/>
  </cols>
  <sheetData>
    <row r="1" spans="1:3" ht="15">
      <c r="A1" s="307" t="s">
        <v>0</v>
      </c>
      <c r="B1" s="307"/>
      <c r="C1" s="269"/>
    </row>
    <row r="2" spans="1:3">
      <c r="A2" s="270"/>
      <c r="B2" s="270"/>
      <c r="C2" s="269"/>
    </row>
    <row r="3" spans="1:3" ht="13.5" customHeight="1">
      <c r="A3" s="271"/>
      <c r="B3" s="272"/>
      <c r="C3" s="269"/>
    </row>
    <row r="4" spans="1:3" ht="137.25" customHeight="1">
      <c r="A4" s="308" t="s">
        <v>183</v>
      </c>
      <c r="B4" s="309"/>
    </row>
    <row r="5" spans="1:3" ht="57.5" customHeight="1">
      <c r="A5" s="390" t="s">
        <v>321</v>
      </c>
      <c r="B5" s="281"/>
    </row>
    <row r="6" spans="1:3" ht="57.5" customHeight="1">
      <c r="A6" s="306" t="s">
        <v>322</v>
      </c>
      <c r="B6" s="281"/>
    </row>
    <row r="7" spans="1:3" ht="57.5" customHeight="1">
      <c r="A7" s="306" t="s">
        <v>323</v>
      </c>
      <c r="B7" s="281"/>
    </row>
    <row r="8" spans="1:3" ht="57.5" customHeight="1">
      <c r="A8" s="283" t="s">
        <v>324</v>
      </c>
      <c r="B8" s="281"/>
    </row>
    <row r="9" spans="1:3" ht="24.75" customHeight="1">
      <c r="A9" s="273" t="s">
        <v>1</v>
      </c>
      <c r="B9" s="273" t="s">
        <v>2</v>
      </c>
    </row>
    <row r="10" spans="1:3" ht="20.25" customHeight="1">
      <c r="A10" s="310" t="s">
        <v>3</v>
      </c>
      <c r="B10" s="310"/>
    </row>
    <row r="11" spans="1:3" ht="24" customHeight="1">
      <c r="A11" s="274" t="s">
        <v>4</v>
      </c>
      <c r="B11" s="275" t="s">
        <v>5</v>
      </c>
    </row>
    <row r="12" spans="1:3" ht="24" customHeight="1">
      <c r="A12" s="274" t="s">
        <v>6</v>
      </c>
      <c r="B12" s="311" t="s">
        <v>7</v>
      </c>
    </row>
    <row r="13" spans="1:3" ht="24" customHeight="1">
      <c r="A13" s="274" t="s">
        <v>8</v>
      </c>
      <c r="B13" s="312"/>
    </row>
    <row r="14" spans="1:3" ht="23" customHeight="1">
      <c r="A14" s="274" t="s">
        <v>9</v>
      </c>
      <c r="B14" s="275" t="s">
        <v>10</v>
      </c>
    </row>
    <row r="15" spans="1:3" ht="22.5" customHeight="1">
      <c r="A15" s="310" t="s">
        <v>11</v>
      </c>
      <c r="B15" s="310"/>
    </row>
    <row r="16" spans="1:3" ht="24" customHeight="1">
      <c r="A16" s="274" t="s">
        <v>12</v>
      </c>
      <c r="B16" s="275" t="s">
        <v>13</v>
      </c>
    </row>
    <row r="17" spans="1:2" ht="24" customHeight="1">
      <c r="A17" s="274" t="s">
        <v>14</v>
      </c>
      <c r="B17" s="276" t="s">
        <v>15</v>
      </c>
    </row>
    <row r="18" spans="1:2" ht="24" customHeight="1">
      <c r="A18" s="274" t="s">
        <v>16</v>
      </c>
      <c r="B18" s="277" t="s">
        <v>17</v>
      </c>
    </row>
    <row r="19" spans="1:2" ht="24" customHeight="1">
      <c r="A19" s="274" t="s">
        <v>18</v>
      </c>
      <c r="B19" s="276" t="s">
        <v>19</v>
      </c>
    </row>
    <row r="20" spans="1:2" ht="24" customHeight="1">
      <c r="A20" s="274" t="s">
        <v>20</v>
      </c>
      <c r="B20" s="278" t="s">
        <v>21</v>
      </c>
    </row>
    <row r="21" spans="1:2" ht="24" customHeight="1">
      <c r="A21" s="279" t="s">
        <v>22</v>
      </c>
      <c r="B21" s="280" t="s">
        <v>23</v>
      </c>
    </row>
    <row r="22" spans="1:2" ht="43.5" customHeight="1"/>
  </sheetData>
  <mergeCells count="5">
    <mergeCell ref="A1:B1"/>
    <mergeCell ref="A4:B4"/>
    <mergeCell ref="A10:B10"/>
    <mergeCell ref="A15:B15"/>
    <mergeCell ref="B12:B13"/>
  </mergeCells>
  <phoneticPr fontId="91" type="noConversion"/>
  <printOptions horizontalCentered="1"/>
  <pageMargins left="0.70866141732283505" right="0.70866141732283505" top="0.74803149606299202" bottom="0.74803149606299202" header="0.31496062992126" footer="0.31496062992126"/>
  <pageSetup paperSize="9" scale="90" fitToHeight="0" orientation="landscape" r:id="rId1"/>
  <headerFooter>
    <oddFooter>&amp;C&amp;"Times New Roman,Bold"&amp;10&lt;DRAFT - FOR DISCUSSION PURPOSES ONLY&gt;</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A1:K25"/>
  <sheetViews>
    <sheetView showGridLines="0" topLeftCell="A7" zoomScaleSheetLayoutView="80" workbookViewId="0">
      <selection activeCell="C4" sqref="C4"/>
    </sheetView>
  </sheetViews>
  <sheetFormatPr defaultColWidth="9" defaultRowHeight="14"/>
  <cols>
    <col min="1" max="1" width="14.08203125" style="242" customWidth="1"/>
    <col min="2" max="2" width="21.4140625" style="242" customWidth="1"/>
    <col min="3" max="3" width="58.08203125" style="242" customWidth="1"/>
    <col min="4" max="4" width="16.6640625" style="242" customWidth="1"/>
    <col min="5" max="5" width="23.6640625" style="242" customWidth="1"/>
    <col min="6" max="6" width="9" style="243"/>
    <col min="7" max="16384" width="9" style="242"/>
  </cols>
  <sheetData>
    <row r="1" spans="1:11" ht="15.5">
      <c r="A1" s="244" t="s">
        <v>319</v>
      </c>
    </row>
    <row r="2" spans="1:11">
      <c r="A2" s="185"/>
    </row>
    <row r="3" spans="1:11" ht="15.5">
      <c r="A3" s="245" t="s">
        <v>24</v>
      </c>
    </row>
    <row r="4" spans="1:11">
      <c r="A4" s="245"/>
    </row>
    <row r="5" spans="1:11">
      <c r="A5" s="313" t="s">
        <v>25</v>
      </c>
      <c r="B5" s="314"/>
      <c r="C5" s="314"/>
      <c r="D5" s="314"/>
      <c r="E5" s="314"/>
      <c r="F5" s="314"/>
      <c r="G5" s="314"/>
      <c r="H5" s="314"/>
    </row>
    <row r="6" spans="1:11" s="241" customFormat="1" ht="20" customHeight="1">
      <c r="A6" s="318" t="s">
        <v>26</v>
      </c>
      <c r="B6" s="320" t="s">
        <v>180</v>
      </c>
      <c r="C6" s="318" t="s">
        <v>27</v>
      </c>
      <c r="D6" s="315" t="s">
        <v>28</v>
      </c>
      <c r="E6" s="316"/>
      <c r="F6" s="246"/>
      <c r="G6" s="317"/>
      <c r="H6" s="317"/>
      <c r="I6" s="317"/>
      <c r="J6" s="317"/>
      <c r="K6" s="317"/>
    </row>
    <row r="7" spans="1:11" ht="20" customHeight="1">
      <c r="A7" s="319"/>
      <c r="B7" s="319"/>
      <c r="C7" s="319"/>
      <c r="D7" s="248" t="s">
        <v>29</v>
      </c>
      <c r="E7" s="248" t="s">
        <v>30</v>
      </c>
      <c r="G7" s="317"/>
      <c r="H7" s="317"/>
      <c r="I7" s="317"/>
      <c r="J7" s="247"/>
      <c r="K7" s="247"/>
    </row>
    <row r="8" spans="1:11" ht="20" customHeight="1">
      <c r="A8" s="249" t="s">
        <v>257</v>
      </c>
      <c r="B8" s="249">
        <v>352</v>
      </c>
      <c r="C8" s="250" t="s">
        <v>258</v>
      </c>
      <c r="D8" s="251" t="s">
        <v>259</v>
      </c>
      <c r="E8" s="252" t="s">
        <v>260</v>
      </c>
      <c r="G8" s="253"/>
      <c r="H8" s="254"/>
      <c r="I8" s="253"/>
      <c r="J8" s="254"/>
      <c r="K8" s="254"/>
    </row>
    <row r="9" spans="1:11" ht="20" customHeight="1">
      <c r="A9" s="255" t="s">
        <v>261</v>
      </c>
      <c r="B9" s="256">
        <v>7</v>
      </c>
      <c r="C9" s="257" t="s">
        <v>262</v>
      </c>
      <c r="D9" s="258" t="s">
        <v>259</v>
      </c>
      <c r="E9" s="259" t="s">
        <v>260</v>
      </c>
      <c r="F9" s="260" t="s">
        <v>31</v>
      </c>
      <c r="G9" s="253"/>
      <c r="H9" s="254"/>
      <c r="I9" s="253"/>
      <c r="J9" s="254"/>
      <c r="K9" s="254"/>
    </row>
    <row r="10" spans="1:11" ht="20" customHeight="1">
      <c r="A10" s="249" t="s">
        <v>263</v>
      </c>
      <c r="B10" s="249">
        <v>23</v>
      </c>
      <c r="C10" s="250" t="s">
        <v>264</v>
      </c>
      <c r="D10" s="251" t="s">
        <v>259</v>
      </c>
      <c r="E10" s="252" t="s">
        <v>260</v>
      </c>
      <c r="G10" s="253"/>
      <c r="H10" s="254"/>
      <c r="I10" s="253"/>
      <c r="J10" s="254"/>
      <c r="K10" s="254"/>
    </row>
    <row r="11" spans="1:11" ht="20" customHeight="1">
      <c r="A11" s="249" t="s">
        <v>265</v>
      </c>
      <c r="B11" s="251">
        <v>8</v>
      </c>
      <c r="C11" s="250" t="s">
        <v>266</v>
      </c>
      <c r="D11" s="251" t="s">
        <v>259</v>
      </c>
      <c r="E11" s="252" t="s">
        <v>260</v>
      </c>
      <c r="G11" s="253"/>
      <c r="H11" s="254"/>
      <c r="I11" s="253"/>
      <c r="J11" s="254"/>
      <c r="K11" s="254"/>
    </row>
    <row r="12" spans="1:11" ht="20" customHeight="1">
      <c r="A12" s="261" t="s">
        <v>267</v>
      </c>
      <c r="B12" s="249">
        <v>4</v>
      </c>
      <c r="C12" s="250" t="s">
        <v>268</v>
      </c>
      <c r="D12" s="251" t="s">
        <v>259</v>
      </c>
      <c r="E12" s="252" t="s">
        <v>260</v>
      </c>
      <c r="G12" s="253"/>
      <c r="H12" s="254"/>
      <c r="I12" s="253"/>
      <c r="J12" s="254"/>
      <c r="K12" s="254"/>
    </row>
    <row r="13" spans="1:11" ht="20" customHeight="1">
      <c r="A13" s="261" t="s">
        <v>269</v>
      </c>
      <c r="B13" s="249">
        <v>5</v>
      </c>
      <c r="C13" s="250" t="s">
        <v>270</v>
      </c>
      <c r="D13" s="251" t="s">
        <v>259</v>
      </c>
      <c r="E13" s="252" t="s">
        <v>260</v>
      </c>
      <c r="G13" s="253"/>
      <c r="H13" s="254"/>
      <c r="I13" s="253"/>
      <c r="J13" s="254"/>
      <c r="K13" s="254"/>
    </row>
    <row r="14" spans="1:11" ht="20" customHeight="1">
      <c r="A14" s="255" t="s">
        <v>271</v>
      </c>
      <c r="B14" s="256">
        <v>5</v>
      </c>
      <c r="C14" s="257" t="s">
        <v>272</v>
      </c>
      <c r="D14" s="258" t="s">
        <v>259</v>
      </c>
      <c r="E14" s="259" t="s">
        <v>260</v>
      </c>
      <c r="F14" s="260"/>
      <c r="G14" s="253"/>
      <c r="H14" s="254"/>
      <c r="I14" s="253"/>
      <c r="J14" s="254"/>
      <c r="K14" s="254"/>
    </row>
    <row r="15" spans="1:11" ht="20" customHeight="1">
      <c r="A15" s="261" t="s">
        <v>273</v>
      </c>
      <c r="B15" s="249">
        <v>4</v>
      </c>
      <c r="C15" s="250" t="s">
        <v>274</v>
      </c>
      <c r="D15" s="251" t="s">
        <v>259</v>
      </c>
      <c r="E15" s="252" t="s">
        <v>260</v>
      </c>
      <c r="G15" s="253"/>
      <c r="H15" s="254"/>
      <c r="I15" s="253"/>
      <c r="J15" s="254"/>
      <c r="K15" s="254"/>
    </row>
    <row r="16" spans="1:11" ht="20" customHeight="1">
      <c r="A16" s="255" t="s">
        <v>275</v>
      </c>
      <c r="B16" s="256">
        <v>5</v>
      </c>
      <c r="C16" s="257" t="s">
        <v>276</v>
      </c>
      <c r="D16" s="258" t="s">
        <v>259</v>
      </c>
      <c r="E16" s="259" t="s">
        <v>260</v>
      </c>
      <c r="F16" s="260"/>
      <c r="G16" s="253"/>
      <c r="H16" s="254"/>
      <c r="I16" s="253"/>
      <c r="J16" s="254"/>
      <c r="K16" s="254"/>
    </row>
    <row r="17" spans="1:11" ht="20" customHeight="1">
      <c r="A17" s="261" t="s">
        <v>277</v>
      </c>
      <c r="B17" s="249">
        <v>6</v>
      </c>
      <c r="C17" s="250" t="s">
        <v>278</v>
      </c>
      <c r="D17" s="251" t="s">
        <v>259</v>
      </c>
      <c r="E17" s="252" t="s">
        <v>260</v>
      </c>
      <c r="G17" s="253"/>
      <c r="H17" s="254"/>
      <c r="I17" s="253"/>
      <c r="J17" s="254"/>
      <c r="K17" s="254"/>
    </row>
    <row r="18" spans="1:11" ht="20" customHeight="1">
      <c r="A18" s="255" t="s">
        <v>279</v>
      </c>
      <c r="B18" s="256">
        <v>5</v>
      </c>
      <c r="C18" s="257" t="s">
        <v>280</v>
      </c>
      <c r="D18" s="258" t="s">
        <v>259</v>
      </c>
      <c r="E18" s="259" t="s">
        <v>260</v>
      </c>
      <c r="F18" s="260"/>
      <c r="G18" s="253"/>
      <c r="H18" s="254"/>
      <c r="I18" s="253"/>
      <c r="J18" s="254"/>
      <c r="K18" s="254"/>
    </row>
    <row r="19" spans="1:11" ht="20" customHeight="1">
      <c r="A19" s="261" t="s">
        <v>281</v>
      </c>
      <c r="B19" s="249">
        <v>2</v>
      </c>
      <c r="C19" s="250" t="s">
        <v>282</v>
      </c>
      <c r="D19" s="251" t="s">
        <v>259</v>
      </c>
      <c r="E19" s="252" t="s">
        <v>260</v>
      </c>
      <c r="G19" s="253"/>
      <c r="H19" s="254"/>
      <c r="I19" s="253"/>
      <c r="J19" s="254"/>
      <c r="K19" s="254"/>
    </row>
    <row r="20" spans="1:11" ht="20" customHeight="1">
      <c r="A20" s="255" t="s">
        <v>283</v>
      </c>
      <c r="B20" s="256">
        <v>7</v>
      </c>
      <c r="C20" s="257" t="s">
        <v>284</v>
      </c>
      <c r="D20" s="258" t="s">
        <v>259</v>
      </c>
      <c r="E20" s="259" t="s">
        <v>260</v>
      </c>
      <c r="F20" s="260"/>
      <c r="G20" s="253"/>
      <c r="H20" s="254"/>
      <c r="I20" s="253"/>
      <c r="J20" s="254"/>
      <c r="K20" s="254"/>
    </row>
    <row r="21" spans="1:11" ht="20" customHeight="1">
      <c r="A21" s="261" t="s">
        <v>285</v>
      </c>
      <c r="B21" s="249">
        <v>17</v>
      </c>
      <c r="C21" s="250" t="s">
        <v>286</v>
      </c>
      <c r="D21" s="251" t="s">
        <v>259</v>
      </c>
      <c r="E21" s="252" t="s">
        <v>260</v>
      </c>
      <c r="G21" s="253"/>
      <c r="H21" s="254"/>
      <c r="I21" s="253"/>
      <c r="J21" s="254"/>
      <c r="K21" s="254"/>
    </row>
    <row r="22" spans="1:11" ht="20" customHeight="1">
      <c r="A22" s="261" t="s">
        <v>287</v>
      </c>
      <c r="B22" s="249">
        <v>14</v>
      </c>
      <c r="C22" s="250" t="s">
        <v>288</v>
      </c>
      <c r="D22" s="251" t="s">
        <v>259</v>
      </c>
      <c r="E22" s="252" t="s">
        <v>260</v>
      </c>
      <c r="G22" s="253"/>
      <c r="H22" s="254"/>
      <c r="I22" s="253"/>
      <c r="J22" s="254"/>
      <c r="K22" s="254"/>
    </row>
    <row r="23" spans="1:11" ht="20" customHeight="1">
      <c r="A23" s="262" t="s">
        <v>32</v>
      </c>
      <c r="B23" s="262">
        <f>SUM(B8:B22)</f>
        <v>464</v>
      </c>
      <c r="C23" s="263"/>
      <c r="D23" s="264"/>
      <c r="E23" s="264"/>
      <c r="F23" s="260"/>
      <c r="G23" s="265"/>
      <c r="H23" s="254"/>
      <c r="I23" s="253"/>
      <c r="J23" s="253"/>
      <c r="K23" s="253"/>
    </row>
    <row r="24" spans="1:11">
      <c r="A24" s="266"/>
      <c r="B24" s="266"/>
      <c r="C24" s="266"/>
      <c r="D24" s="266"/>
      <c r="E24" s="266"/>
      <c r="G24" s="265"/>
      <c r="H24" s="254"/>
      <c r="I24" s="253"/>
      <c r="J24" s="253"/>
      <c r="K24" s="253"/>
    </row>
    <row r="25" spans="1:11" ht="15.5">
      <c r="A25" s="267" t="s">
        <v>33</v>
      </c>
    </row>
  </sheetData>
  <mergeCells count="9">
    <mergeCell ref="A5:H5"/>
    <mergeCell ref="D6:E6"/>
    <mergeCell ref="J6:K6"/>
    <mergeCell ref="A6:A7"/>
    <mergeCell ref="B6:B7"/>
    <mergeCell ref="C6:C7"/>
    <mergeCell ref="G6:G7"/>
    <mergeCell ref="H6:H7"/>
    <mergeCell ref="I6:I7"/>
  </mergeCells>
  <phoneticPr fontId="91" type="noConversion"/>
  <pageMargins left="0.74803149606299202" right="0.74803149606299202" top="0.98425196850393704" bottom="0.98425196850393704" header="0.511811023622047" footer="0.511811023622047"/>
  <pageSetup paperSize="9" scale="80" orientation="landscape"/>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K12"/>
  <sheetViews>
    <sheetView topLeftCell="C1" zoomScaleSheetLayoutView="80" workbookViewId="0">
      <selection activeCell="E10" sqref="E10:J10"/>
    </sheetView>
  </sheetViews>
  <sheetFormatPr defaultColWidth="7" defaultRowHeight="14"/>
  <cols>
    <col min="1" max="1" width="6" style="224" customWidth="1"/>
    <col min="2" max="2" width="32.6640625" style="225" customWidth="1"/>
    <col min="3" max="3" width="12.1640625" style="225" customWidth="1"/>
    <col min="4" max="4" width="16.6640625" style="225" customWidth="1"/>
    <col min="5" max="6" width="13.83203125" style="225" customWidth="1"/>
    <col min="7" max="7" width="26.4140625" style="225" customWidth="1"/>
    <col min="8" max="8" width="12" style="225" customWidth="1"/>
    <col min="9" max="9" width="15.5" style="225" customWidth="1"/>
    <col min="10" max="10" width="11.5" style="225" customWidth="1"/>
    <col min="11" max="11" width="15.33203125" style="225" bestFit="1" customWidth="1"/>
    <col min="12" max="16384" width="7" style="225"/>
  </cols>
  <sheetData>
    <row r="1" spans="1:11" ht="19.25" customHeight="1">
      <c r="A1" s="226" t="str">
        <f>'1 组织结构及管理架构'!A1</f>
        <v>松莉美容科技（上海）有限公司</v>
      </c>
    </row>
    <row r="2" spans="1:11">
      <c r="A2" s="227"/>
    </row>
    <row r="3" spans="1:11" s="221" customFormat="1" ht="15" customHeight="1">
      <c r="A3" s="221" t="s">
        <v>34</v>
      </c>
      <c r="B3" s="228"/>
      <c r="C3" s="228"/>
      <c r="D3" s="228"/>
      <c r="E3" s="228"/>
      <c r="F3" s="228"/>
      <c r="G3" s="228"/>
      <c r="H3" s="228"/>
      <c r="I3" s="228"/>
      <c r="J3" s="228"/>
    </row>
    <row r="4" spans="1:11" s="221" customFormat="1" ht="12.75" customHeight="1">
      <c r="A4" s="321" t="s">
        <v>35</v>
      </c>
      <c r="B4" s="322"/>
      <c r="C4" s="322"/>
      <c r="D4" s="322"/>
      <c r="E4" s="322"/>
      <c r="F4" s="322"/>
      <c r="G4" s="322"/>
      <c r="H4" s="322"/>
      <c r="I4" s="322"/>
      <c r="J4" s="322"/>
    </row>
    <row r="5" spans="1:11" s="222" customFormat="1" ht="20" customHeight="1">
      <c r="A5" s="324" t="s">
        <v>36</v>
      </c>
      <c r="B5" s="230" t="s">
        <v>37</v>
      </c>
      <c r="C5" s="230" t="s">
        <v>38</v>
      </c>
      <c r="D5" s="230" t="s">
        <v>39</v>
      </c>
      <c r="E5" s="231" t="s">
        <v>40</v>
      </c>
      <c r="F5" s="231" t="s">
        <v>41</v>
      </c>
      <c r="G5" s="230" t="s">
        <v>42</v>
      </c>
      <c r="H5" s="229" t="s">
        <v>43</v>
      </c>
      <c r="I5" s="229" t="s">
        <v>44</v>
      </c>
      <c r="J5" s="229" t="s">
        <v>45</v>
      </c>
      <c r="K5" s="284" t="s">
        <v>201</v>
      </c>
    </row>
    <row r="6" spans="1:11" s="222" customFormat="1" ht="20" customHeight="1">
      <c r="A6" s="324"/>
      <c r="B6" s="230">
        <v>1</v>
      </c>
      <c r="C6" s="230">
        <v>2</v>
      </c>
      <c r="D6" s="230">
        <v>3</v>
      </c>
      <c r="E6" s="231">
        <v>4</v>
      </c>
      <c r="F6" s="231">
        <v>5</v>
      </c>
      <c r="G6" s="230">
        <v>6</v>
      </c>
      <c r="H6" s="230">
        <v>7</v>
      </c>
      <c r="I6" s="230">
        <v>8</v>
      </c>
      <c r="J6" s="230">
        <v>9</v>
      </c>
      <c r="K6" s="230">
        <v>10</v>
      </c>
    </row>
    <row r="7" spans="1:11" s="221" customFormat="1" ht="30" customHeight="1">
      <c r="A7" s="232">
        <v>1</v>
      </c>
      <c r="B7" s="233" t="s">
        <v>289</v>
      </c>
      <c r="C7" s="234" t="s">
        <v>291</v>
      </c>
      <c r="D7" s="234" t="s">
        <v>290</v>
      </c>
      <c r="E7" s="234" t="s">
        <v>292</v>
      </c>
      <c r="F7" s="234" t="s">
        <v>293</v>
      </c>
      <c r="G7" s="234" t="s">
        <v>294</v>
      </c>
      <c r="H7" s="235">
        <v>43433</v>
      </c>
      <c r="I7" s="235" t="s">
        <v>295</v>
      </c>
      <c r="J7" s="239">
        <v>0.16500000000000001</v>
      </c>
      <c r="K7" s="285" t="s">
        <v>296</v>
      </c>
    </row>
    <row r="8" spans="1:11" s="221" customFormat="1" ht="30" customHeight="1">
      <c r="A8" s="236">
        <v>2</v>
      </c>
      <c r="B8" s="233" t="s">
        <v>297</v>
      </c>
      <c r="C8" s="234" t="s">
        <v>298</v>
      </c>
      <c r="D8" s="234" t="s">
        <v>290</v>
      </c>
      <c r="E8" s="234" t="s">
        <v>292</v>
      </c>
      <c r="F8" s="234" t="s">
        <v>299</v>
      </c>
      <c r="G8" s="234" t="s">
        <v>300</v>
      </c>
      <c r="H8" s="235">
        <v>43433</v>
      </c>
      <c r="I8" s="235" t="s">
        <v>295</v>
      </c>
      <c r="J8" s="239">
        <v>0.16500000000000001</v>
      </c>
      <c r="K8" s="285" t="s">
        <v>296</v>
      </c>
    </row>
    <row r="9" spans="1:11" s="222" customFormat="1" ht="30" customHeight="1">
      <c r="A9" s="232">
        <v>3</v>
      </c>
      <c r="B9" s="233" t="s">
        <v>301</v>
      </c>
      <c r="C9" s="234" t="s">
        <v>302</v>
      </c>
      <c r="D9" s="234" t="s">
        <v>303</v>
      </c>
      <c r="E9" s="234" t="s">
        <v>304</v>
      </c>
      <c r="F9" s="234" t="s">
        <v>305</v>
      </c>
      <c r="G9" s="234" t="s">
        <v>294</v>
      </c>
      <c r="H9" s="235">
        <v>44927</v>
      </c>
      <c r="I9" s="235" t="s">
        <v>295</v>
      </c>
      <c r="J9" s="239">
        <v>0.25</v>
      </c>
      <c r="K9" s="286" t="s">
        <v>296</v>
      </c>
    </row>
    <row r="10" spans="1:11" s="222" customFormat="1" ht="30" customHeight="1">
      <c r="A10" s="236">
        <v>4</v>
      </c>
      <c r="B10" s="233"/>
      <c r="C10" s="234"/>
      <c r="D10" s="234"/>
      <c r="E10" s="234"/>
      <c r="F10" s="234"/>
      <c r="G10" s="234"/>
      <c r="H10" s="234"/>
      <c r="I10" s="234"/>
      <c r="J10" s="240"/>
      <c r="K10" s="286"/>
    </row>
    <row r="11" spans="1:11" s="223" customFormat="1">
      <c r="A11" s="237" t="s">
        <v>46</v>
      </c>
      <c r="B11" s="238"/>
      <c r="C11" s="238"/>
      <c r="D11" s="238"/>
      <c r="E11" s="238"/>
      <c r="F11" s="238"/>
      <c r="G11" s="238"/>
      <c r="H11" s="238"/>
    </row>
    <row r="12" spans="1:11" s="223" customFormat="1" ht="281.25" customHeight="1">
      <c r="A12" s="238"/>
      <c r="B12" s="323" t="s">
        <v>47</v>
      </c>
      <c r="C12" s="323"/>
      <c r="D12" s="323"/>
      <c r="E12" s="323"/>
      <c r="F12" s="323"/>
      <c r="G12" s="323"/>
      <c r="H12" s="323"/>
      <c r="I12" s="323"/>
      <c r="J12" s="323"/>
    </row>
  </sheetData>
  <mergeCells count="3">
    <mergeCell ref="A4:J4"/>
    <mergeCell ref="B12:J12"/>
    <mergeCell ref="A5:A6"/>
  </mergeCells>
  <phoneticPr fontId="91" type="noConversion"/>
  <pageMargins left="0.55118110236220497" right="0.55118110236220497" top="0.59055118110236204" bottom="0.59055118110236204" header="0.35433070866141703" footer="0.118110236220472"/>
  <pageSetup paperSize="9" scale="80" orientation="landscape"/>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95001-5E80-4552-922B-E008B8BFFD5E}">
  <dimension ref="A1:D2"/>
  <sheetViews>
    <sheetView workbookViewId="0">
      <selection activeCell="I25" sqref="I25"/>
    </sheetView>
  </sheetViews>
  <sheetFormatPr defaultRowHeight="15"/>
  <cols>
    <col min="1" max="1" width="11.08203125" bestFit="1" customWidth="1"/>
    <col min="3" max="3" width="13.1640625" bestFit="1" customWidth="1"/>
    <col min="4" max="4" width="25.9140625" bestFit="1" customWidth="1"/>
  </cols>
  <sheetData>
    <row r="1" spans="1:4">
      <c r="A1" t="s">
        <v>197</v>
      </c>
      <c r="B1" t="s">
        <v>198</v>
      </c>
      <c r="C1" t="s">
        <v>199</v>
      </c>
      <c r="D1" t="s">
        <v>200</v>
      </c>
    </row>
    <row r="2" spans="1:4">
      <c r="A2" s="289" t="s">
        <v>306</v>
      </c>
      <c r="B2" s="294"/>
      <c r="C2" s="294"/>
      <c r="D2" s="294"/>
    </row>
  </sheetData>
  <phoneticPr fontId="9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4A0F8-3ADD-4462-89BB-D73B79089EF9}">
  <dimension ref="A1:E8"/>
  <sheetViews>
    <sheetView workbookViewId="0">
      <selection activeCell="F14" sqref="F14"/>
    </sheetView>
  </sheetViews>
  <sheetFormatPr defaultRowHeight="15"/>
  <cols>
    <col min="1" max="1" width="46.33203125" bestFit="1" customWidth="1"/>
    <col min="2" max="2" width="10.4140625" bestFit="1" customWidth="1"/>
    <col min="3" max="3" width="18.08203125" bestFit="1" customWidth="1"/>
    <col min="4" max="4" width="17" bestFit="1" customWidth="1"/>
  </cols>
  <sheetData>
    <row r="1" spans="1:5">
      <c r="A1" t="s">
        <v>124</v>
      </c>
      <c r="B1" t="s">
        <v>202</v>
      </c>
      <c r="C1" t="s">
        <v>199</v>
      </c>
      <c r="D1" t="s">
        <v>203</v>
      </c>
      <c r="E1" t="s">
        <v>204</v>
      </c>
    </row>
    <row r="2" spans="1:5">
      <c r="A2" t="s">
        <v>289</v>
      </c>
      <c r="B2" t="s">
        <v>290</v>
      </c>
      <c r="C2" t="s">
        <v>294</v>
      </c>
      <c r="D2" s="295" t="s">
        <v>307</v>
      </c>
      <c r="E2" s="282" t="s">
        <v>311</v>
      </c>
    </row>
    <row r="3" spans="1:5">
      <c r="A3" t="s">
        <v>297</v>
      </c>
      <c r="B3" t="s">
        <v>290</v>
      </c>
      <c r="C3" t="s">
        <v>300</v>
      </c>
      <c r="D3" s="295" t="s">
        <v>308</v>
      </c>
      <c r="E3" s="282" t="s">
        <v>311</v>
      </c>
    </row>
    <row r="4" spans="1:5">
      <c r="A4" t="s">
        <v>301</v>
      </c>
      <c r="B4" t="s">
        <v>303</v>
      </c>
      <c r="C4" t="s">
        <v>294</v>
      </c>
      <c r="D4" s="295" t="s">
        <v>309</v>
      </c>
      <c r="E4" t="s">
        <v>310</v>
      </c>
    </row>
    <row r="5" spans="1:5">
      <c r="D5" s="295" t="s">
        <v>312</v>
      </c>
    </row>
    <row r="6" spans="1:5">
      <c r="D6" s="295"/>
    </row>
    <row r="7" spans="1:5">
      <c r="D7" s="295"/>
    </row>
    <row r="8" spans="1:5">
      <c r="D8" s="295"/>
    </row>
  </sheetData>
  <phoneticPr fontId="9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30"/>
  <sheetViews>
    <sheetView zoomScale="80" zoomScaleNormal="80" zoomScaleSheetLayoutView="80" workbookViewId="0">
      <selection activeCell="D20" sqref="D20"/>
    </sheetView>
  </sheetViews>
  <sheetFormatPr defaultColWidth="7" defaultRowHeight="14"/>
  <cols>
    <col min="1" max="1" width="43" style="181" customWidth="1"/>
    <col min="2" max="2" width="16.08203125" style="181" customWidth="1"/>
    <col min="3" max="3" width="19.1640625" style="182" customWidth="1"/>
    <col min="4" max="4" width="13.58203125" style="182" customWidth="1"/>
    <col min="5" max="5" width="14.6640625" style="182" customWidth="1"/>
    <col min="6" max="6" width="15.1640625" style="182" customWidth="1"/>
    <col min="7" max="10" width="11.58203125" style="182" customWidth="1"/>
    <col min="11" max="11" width="16.5" style="182" customWidth="1"/>
    <col min="12" max="12" width="7" style="183"/>
    <col min="13" max="16384" width="7" style="182"/>
  </cols>
  <sheetData>
    <row r="1" spans="1:13" s="180" customFormat="1" ht="16.5">
      <c r="A1" s="98" t="str">
        <f>'1 组织结构及管理架构'!A1</f>
        <v>松莉美容科技（上海）有限公司</v>
      </c>
      <c r="B1" s="184"/>
      <c r="L1" s="213"/>
    </row>
    <row r="2" spans="1:13">
      <c r="A2" s="185"/>
      <c r="B2" s="185"/>
    </row>
    <row r="3" spans="1:13" ht="15.5">
      <c r="A3" s="186" t="s">
        <v>48</v>
      </c>
      <c r="B3" s="186"/>
    </row>
    <row r="4" spans="1:13">
      <c r="A4" s="186"/>
      <c r="B4" s="186"/>
    </row>
    <row r="5" spans="1:13" ht="24.75" customHeight="1">
      <c r="A5" s="327" t="s">
        <v>320</v>
      </c>
      <c r="B5" s="328"/>
      <c r="C5" s="328"/>
      <c r="D5" s="328"/>
      <c r="E5" s="328"/>
      <c r="F5" s="328"/>
      <c r="K5" s="214" t="s">
        <v>49</v>
      </c>
    </row>
    <row r="6" spans="1:13" ht="24" customHeight="1">
      <c r="A6" s="332" t="s">
        <v>50</v>
      </c>
      <c r="B6" s="329" t="s">
        <v>51</v>
      </c>
      <c r="C6" s="329" t="s">
        <v>52</v>
      </c>
      <c r="D6" s="330"/>
      <c r="E6" s="330"/>
      <c r="F6" s="330"/>
      <c r="G6" s="329" t="s">
        <v>53</v>
      </c>
      <c r="H6" s="330"/>
      <c r="I6" s="330"/>
      <c r="J6" s="330"/>
      <c r="K6" s="325" t="s">
        <v>54</v>
      </c>
      <c r="M6" s="183"/>
    </row>
    <row r="7" spans="1:13" ht="24" customHeight="1">
      <c r="A7" s="333"/>
      <c r="B7" s="331"/>
      <c r="C7" s="331" t="s">
        <v>55</v>
      </c>
      <c r="D7" s="331"/>
      <c r="E7" s="331" t="s">
        <v>56</v>
      </c>
      <c r="F7" s="331"/>
      <c r="G7" s="331" t="s">
        <v>55</v>
      </c>
      <c r="H7" s="331"/>
      <c r="I7" s="331" t="s">
        <v>56</v>
      </c>
      <c r="J7" s="331"/>
      <c r="K7" s="326"/>
    </row>
    <row r="8" spans="1:13" ht="24" customHeight="1">
      <c r="A8" s="333"/>
      <c r="B8" s="331"/>
      <c r="C8" s="187" t="s">
        <v>57</v>
      </c>
      <c r="D8" s="187" t="s">
        <v>58</v>
      </c>
      <c r="E8" s="187" t="s">
        <v>57</v>
      </c>
      <c r="F8" s="187" t="s">
        <v>58</v>
      </c>
      <c r="G8" s="187" t="s">
        <v>57</v>
      </c>
      <c r="H8" s="187" t="s">
        <v>58</v>
      </c>
      <c r="I8" s="187" t="s">
        <v>57</v>
      </c>
      <c r="J8" s="187" t="s">
        <v>58</v>
      </c>
      <c r="K8" s="326"/>
    </row>
    <row r="9" spans="1:13">
      <c r="A9" s="188"/>
      <c r="B9" s="188"/>
      <c r="C9" s="189"/>
      <c r="D9" s="190"/>
      <c r="E9" s="190"/>
      <c r="F9" s="190"/>
      <c r="G9" s="191"/>
      <c r="H9" s="192"/>
      <c r="I9" s="192"/>
      <c r="J9" s="192"/>
      <c r="K9" s="215"/>
    </row>
    <row r="10" spans="1:13" ht="15.5">
      <c r="A10" s="193" t="s">
        <v>59</v>
      </c>
      <c r="B10" s="297">
        <v>259966319.63</v>
      </c>
      <c r="C10" s="195">
        <v>0</v>
      </c>
      <c r="D10" s="196">
        <v>13250837.84</v>
      </c>
      <c r="E10" s="197">
        <v>139170.23000000001</v>
      </c>
      <c r="F10" s="196">
        <v>273356327.69999999</v>
      </c>
      <c r="G10" s="198"/>
      <c r="H10" s="196"/>
      <c r="I10" s="197"/>
      <c r="J10" s="196"/>
      <c r="K10" s="216"/>
    </row>
    <row r="11" spans="1:13" ht="15.5">
      <c r="A11" s="193" t="s">
        <v>60</v>
      </c>
      <c r="B11" s="297">
        <v>259774542.66</v>
      </c>
      <c r="C11" s="195">
        <v>0</v>
      </c>
      <c r="D11" s="196">
        <v>12953423.52</v>
      </c>
      <c r="E11" s="197">
        <v>47472.11</v>
      </c>
      <c r="F11" s="196">
        <v>272775438.29000002</v>
      </c>
      <c r="G11" s="198"/>
      <c r="H11" s="196"/>
      <c r="I11" s="197"/>
      <c r="J11" s="196"/>
      <c r="K11" s="216"/>
    </row>
    <row r="12" spans="1:13" ht="15.5">
      <c r="A12" s="193" t="s">
        <v>61</v>
      </c>
      <c r="B12" s="298">
        <v>232089218.24000001</v>
      </c>
      <c r="C12" s="195">
        <v>0</v>
      </c>
      <c r="D12" s="200">
        <v>11572919.76</v>
      </c>
      <c r="E12" s="200">
        <v>33879.199999999997</v>
      </c>
      <c r="F12" s="200">
        <v>243696017.19999999</v>
      </c>
      <c r="G12" s="195"/>
      <c r="H12" s="200"/>
      <c r="I12" s="200"/>
      <c r="J12" s="200"/>
      <c r="K12" s="216"/>
    </row>
    <row r="13" spans="1:13" ht="15.5">
      <c r="A13" s="193" t="s">
        <v>62</v>
      </c>
      <c r="B13" s="298">
        <v>231905147.44</v>
      </c>
      <c r="C13" s="195">
        <v>0</v>
      </c>
      <c r="D13" s="200">
        <v>11572919.76</v>
      </c>
      <c r="E13" s="200">
        <v>33879.199999999997</v>
      </c>
      <c r="F13" s="200">
        <v>243511946.40000001</v>
      </c>
      <c r="G13" s="195"/>
      <c r="H13" s="200"/>
      <c r="I13" s="200"/>
      <c r="J13" s="200"/>
      <c r="K13" s="216"/>
    </row>
    <row r="14" spans="1:13" ht="15.5">
      <c r="A14" s="193" t="s">
        <v>63</v>
      </c>
      <c r="B14" s="297">
        <v>93610.31</v>
      </c>
      <c r="C14" s="195">
        <v>0</v>
      </c>
      <c r="D14" s="200">
        <v>4667.79</v>
      </c>
      <c r="E14" s="200">
        <v>0</v>
      </c>
      <c r="F14" s="200">
        <v>98278.1</v>
      </c>
      <c r="G14" s="195"/>
      <c r="H14" s="200"/>
      <c r="I14" s="200"/>
      <c r="J14" s="200"/>
      <c r="K14" s="216"/>
    </row>
    <row r="15" spans="1:13" ht="15.5">
      <c r="A15" s="193" t="s">
        <v>64</v>
      </c>
      <c r="B15" s="297">
        <v>93610.31</v>
      </c>
      <c r="C15" s="195">
        <v>0</v>
      </c>
      <c r="D15" s="200">
        <v>4667.79</v>
      </c>
      <c r="E15" s="200">
        <v>0</v>
      </c>
      <c r="F15" s="200">
        <v>98278.1</v>
      </c>
      <c r="G15" s="195"/>
      <c r="H15" s="200"/>
      <c r="I15" s="200"/>
      <c r="J15" s="200"/>
      <c r="K15" s="216"/>
    </row>
    <row r="16" spans="1:13" ht="15.5">
      <c r="A16" s="193" t="s">
        <v>65</v>
      </c>
      <c r="B16" s="297">
        <v>535856.46</v>
      </c>
      <c r="C16" s="195">
        <v>0</v>
      </c>
      <c r="D16" s="200">
        <v>26720</v>
      </c>
      <c r="E16" s="200">
        <v>0</v>
      </c>
      <c r="F16" s="200">
        <v>562576.46</v>
      </c>
      <c r="G16" s="195"/>
      <c r="H16" s="200"/>
      <c r="I16" s="200"/>
      <c r="J16" s="200"/>
      <c r="K16" s="216"/>
    </row>
    <row r="17" spans="1:11" ht="15.5">
      <c r="A17" s="193" t="s">
        <v>66</v>
      </c>
      <c r="B17" s="297">
        <v>14632608.470000001</v>
      </c>
      <c r="C17" s="195">
        <v>0</v>
      </c>
      <c r="D17" s="200">
        <v>729641.84</v>
      </c>
      <c r="E17" s="200">
        <v>0</v>
      </c>
      <c r="F17" s="200">
        <v>15362250.310000001</v>
      </c>
      <c r="G17" s="195"/>
      <c r="H17" s="200"/>
      <c r="I17" s="200"/>
      <c r="J17" s="200"/>
      <c r="K17" s="216"/>
    </row>
    <row r="18" spans="1:11" ht="15.5">
      <c r="A18" s="193" t="s">
        <v>67</v>
      </c>
      <c r="B18" s="199">
        <v>0</v>
      </c>
      <c r="C18" s="195">
        <v>0</v>
      </c>
      <c r="D18" s="200">
        <v>0</v>
      </c>
      <c r="E18" s="200">
        <v>0</v>
      </c>
      <c r="F18" s="200">
        <v>0</v>
      </c>
      <c r="G18" s="195"/>
      <c r="H18" s="200"/>
      <c r="I18" s="200"/>
      <c r="J18" s="200"/>
      <c r="K18" s="217"/>
    </row>
    <row r="19" spans="1:11" ht="15.5">
      <c r="A19" s="201" t="s">
        <v>68</v>
      </c>
      <c r="B19" s="298">
        <v>517141.81</v>
      </c>
      <c r="C19" s="195">
        <v>0</v>
      </c>
      <c r="D19" s="200">
        <v>25786.81</v>
      </c>
      <c r="E19" s="200">
        <v>0</v>
      </c>
      <c r="F19" s="200">
        <v>542928.62</v>
      </c>
      <c r="G19" s="195"/>
      <c r="H19" s="200"/>
      <c r="I19" s="200"/>
      <c r="J19" s="200"/>
      <c r="K19" s="217"/>
    </row>
    <row r="20" spans="1:11" ht="15.5">
      <c r="A20" s="193" t="s">
        <v>69</v>
      </c>
      <c r="B20" s="194">
        <v>0</v>
      </c>
      <c r="C20" s="202">
        <v>0</v>
      </c>
      <c r="D20" s="203">
        <v>0</v>
      </c>
      <c r="E20" s="203">
        <v>134872.17000000001</v>
      </c>
      <c r="F20" s="203">
        <v>134872.17000000001</v>
      </c>
      <c r="G20" s="202"/>
      <c r="H20" s="203"/>
      <c r="I20" s="203"/>
      <c r="J20" s="203"/>
      <c r="K20" s="217"/>
    </row>
    <row r="21" spans="1:11" ht="15.5">
      <c r="A21" s="193" t="s">
        <v>70</v>
      </c>
      <c r="B21" s="194">
        <v>0</v>
      </c>
      <c r="C21" s="195">
        <v>0</v>
      </c>
      <c r="D21" s="200">
        <v>0</v>
      </c>
      <c r="E21" s="200">
        <v>0</v>
      </c>
      <c r="F21" s="200">
        <v>0</v>
      </c>
      <c r="G21" s="195"/>
      <c r="H21" s="200"/>
      <c r="I21" s="200"/>
      <c r="J21" s="200"/>
      <c r="K21" s="217"/>
    </row>
    <row r="22" spans="1:11" ht="15.5">
      <c r="A22" s="193" t="s">
        <v>71</v>
      </c>
      <c r="B22" s="194">
        <v>0</v>
      </c>
      <c r="C22" s="195">
        <v>0</v>
      </c>
      <c r="D22" s="200">
        <v>0</v>
      </c>
      <c r="E22" s="200">
        <v>0</v>
      </c>
      <c r="F22" s="200">
        <v>0</v>
      </c>
      <c r="G22" s="195"/>
      <c r="H22" s="200"/>
      <c r="I22" s="200"/>
      <c r="J22" s="200"/>
      <c r="K22" s="217"/>
    </row>
    <row r="23" spans="1:11" ht="15.5">
      <c r="A23" s="193" t="s">
        <v>72</v>
      </c>
      <c r="B23" s="194">
        <v>0</v>
      </c>
      <c r="C23" s="195">
        <v>0</v>
      </c>
      <c r="D23" s="200">
        <v>0</v>
      </c>
      <c r="E23" s="200">
        <v>0</v>
      </c>
      <c r="F23" s="200">
        <v>0</v>
      </c>
      <c r="G23" s="195"/>
      <c r="H23" s="200"/>
      <c r="I23" s="200"/>
      <c r="J23" s="200"/>
      <c r="K23" s="217"/>
    </row>
    <row r="24" spans="1:11">
      <c r="A24" s="188"/>
      <c r="B24" s="188">
        <v>0</v>
      </c>
      <c r="C24" s="204">
        <v>0</v>
      </c>
      <c r="D24" s="205">
        <v>90302.14</v>
      </c>
      <c r="E24" s="205"/>
      <c r="F24" s="205">
        <v>90302.14</v>
      </c>
      <c r="G24" s="206"/>
      <c r="H24" s="190"/>
      <c r="I24" s="190"/>
      <c r="J24" s="190"/>
      <c r="K24" s="218"/>
    </row>
    <row r="25" spans="1:11" ht="14.5" thickBot="1">
      <c r="A25" s="207"/>
      <c r="B25" s="207">
        <v>0</v>
      </c>
      <c r="C25" s="208">
        <v>0</v>
      </c>
      <c r="D25" s="209">
        <v>0</v>
      </c>
      <c r="E25" s="209">
        <v>0</v>
      </c>
      <c r="F25" s="209">
        <v>0</v>
      </c>
      <c r="G25" s="210"/>
      <c r="H25" s="209"/>
      <c r="I25" s="209"/>
      <c r="J25" s="209"/>
      <c r="K25" s="219"/>
    </row>
    <row r="26" spans="1:11">
      <c r="B26" s="299"/>
      <c r="D26" s="300"/>
      <c r="E26" s="300"/>
      <c r="F26" s="300"/>
    </row>
    <row r="27" spans="1:11" ht="15.5">
      <c r="A27" s="211" t="s">
        <v>73</v>
      </c>
      <c r="K27" s="220"/>
    </row>
    <row r="30" spans="1:11">
      <c r="C30" s="212"/>
      <c r="E30" s="212"/>
      <c r="F30" s="212"/>
    </row>
  </sheetData>
  <mergeCells count="10">
    <mergeCell ref="K6:K8"/>
    <mergeCell ref="A5:F5"/>
    <mergeCell ref="C6:F6"/>
    <mergeCell ref="G6:J6"/>
    <mergeCell ref="C7:D7"/>
    <mergeCell ref="E7:F7"/>
    <mergeCell ref="G7:H7"/>
    <mergeCell ref="I7:J7"/>
    <mergeCell ref="A6:A8"/>
    <mergeCell ref="B6:B8"/>
  </mergeCells>
  <phoneticPr fontId="91" type="noConversion"/>
  <pageMargins left="0.55118110236220497" right="0.55118110236220497" top="0.59055118110236204" bottom="0.59055118110236204" header="0.35433070866141703" footer="0.118110236220472"/>
  <pageSetup paperSize="9" scale="50" orientation="landscape"/>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92306-8332-43C8-94A7-284E4B1152A6}">
  <dimension ref="A1:D11"/>
  <sheetViews>
    <sheetView workbookViewId="0">
      <selection activeCell="F15" sqref="F15"/>
    </sheetView>
  </sheetViews>
  <sheetFormatPr defaultRowHeight="15"/>
  <cols>
    <col min="1" max="1" width="24.83203125" bestFit="1" customWidth="1"/>
    <col min="2" max="2" width="15.9140625" bestFit="1" customWidth="1"/>
    <col min="3" max="3" width="14.83203125" bestFit="1" customWidth="1"/>
    <col min="4" max="4" width="15.9140625" bestFit="1" customWidth="1"/>
  </cols>
  <sheetData>
    <row r="1" spans="1:4">
      <c r="A1" t="s">
        <v>123</v>
      </c>
      <c r="B1" t="s">
        <v>163</v>
      </c>
      <c r="C1" t="s">
        <v>164</v>
      </c>
      <c r="D1" t="s">
        <v>165</v>
      </c>
    </row>
    <row r="2" spans="1:4">
      <c r="B2" t="s">
        <v>166</v>
      </c>
      <c r="C2" t="s">
        <v>167</v>
      </c>
      <c r="D2" t="s">
        <v>168</v>
      </c>
    </row>
    <row r="3" spans="1:4">
      <c r="A3" t="s">
        <v>169</v>
      </c>
      <c r="B3" s="296">
        <v>22699647.890000001</v>
      </c>
      <c r="C3">
        <v>0</v>
      </c>
      <c r="D3" s="296">
        <v>22699647.890000001</v>
      </c>
    </row>
    <row r="4" spans="1:4">
      <c r="A4" t="s">
        <v>170</v>
      </c>
      <c r="B4" s="296">
        <v>259774542.66</v>
      </c>
      <c r="C4" s="296">
        <v>12953423.52</v>
      </c>
      <c r="D4" s="296">
        <v>272727966.18000001</v>
      </c>
    </row>
    <row r="5" spans="1:4">
      <c r="A5" t="s">
        <v>205</v>
      </c>
      <c r="B5" s="296">
        <f>SUM(B3:B4)</f>
        <v>282474190.55000001</v>
      </c>
      <c r="C5" s="296">
        <f>SUM(C3:C4)</f>
        <v>12953423.52</v>
      </c>
      <c r="D5" s="296">
        <f>SUM(D3:D4)</f>
        <v>295427614.06999999</v>
      </c>
    </row>
    <row r="9" spans="1:4">
      <c r="B9" s="296"/>
      <c r="D9" s="296"/>
    </row>
    <row r="10" spans="1:4">
      <c r="B10" s="296"/>
      <c r="C10" s="296"/>
      <c r="D10" s="296"/>
    </row>
    <row r="11" spans="1:4">
      <c r="B11" s="296"/>
      <c r="C11" s="296"/>
      <c r="D11" s="296"/>
    </row>
  </sheetData>
  <phoneticPr fontId="9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tabColor rgb="FFFFFF00"/>
  </sheetPr>
  <dimension ref="A1:J52"/>
  <sheetViews>
    <sheetView zoomScaleSheetLayoutView="80" workbookViewId="0">
      <pane xSplit="4" ySplit="7" topLeftCell="E8" activePane="bottomRight" state="frozen"/>
      <selection pane="topRight"/>
      <selection pane="bottomLeft"/>
      <selection pane="bottomRight" activeCell="D16" sqref="D16"/>
    </sheetView>
  </sheetViews>
  <sheetFormatPr defaultColWidth="7" defaultRowHeight="14"/>
  <cols>
    <col min="1" max="1" width="13" style="143" customWidth="1"/>
    <col min="2" max="2" width="6.1640625" style="143" customWidth="1"/>
    <col min="3" max="3" width="35.08203125" style="144" customWidth="1"/>
    <col min="4" max="4" width="20.1640625" style="144" customWidth="1"/>
    <col min="5" max="7" width="19" style="144" customWidth="1"/>
    <col min="8" max="10" width="23.6640625" style="144" customWidth="1"/>
    <col min="11" max="16384" width="7" style="144"/>
  </cols>
  <sheetData>
    <row r="1" spans="1:10" s="138" customFormat="1" ht="16.5">
      <c r="A1" s="98" t="str">
        <f>'1 组织结构及管理架构'!A1</f>
        <v>松莉美容科技（上海）有限公司</v>
      </c>
      <c r="B1" s="98"/>
      <c r="C1" s="145"/>
    </row>
    <row r="2" spans="1:10" s="138" customFormat="1" ht="16.5">
      <c r="A2" s="146"/>
      <c r="B2" s="146"/>
      <c r="C2" s="145"/>
    </row>
    <row r="3" spans="1:10" s="138" customFormat="1" ht="16.5">
      <c r="A3" s="147" t="s">
        <v>74</v>
      </c>
      <c r="B3" s="147"/>
    </row>
    <row r="4" spans="1:10" s="139" customFormat="1" ht="15.5">
      <c r="A4" s="340" t="s">
        <v>75</v>
      </c>
      <c r="B4" s="341"/>
      <c r="C4" s="341"/>
      <c r="D4" s="341"/>
      <c r="E4" s="341"/>
      <c r="F4" s="341"/>
      <c r="G4" s="341"/>
      <c r="H4" s="341"/>
      <c r="I4" s="341"/>
      <c r="J4" s="341"/>
    </row>
    <row r="5" spans="1:10" s="140" customFormat="1" ht="27" customHeight="1">
      <c r="A5" s="337" t="s">
        <v>76</v>
      </c>
      <c r="B5" s="337" t="s">
        <v>77</v>
      </c>
      <c r="C5" s="337" t="s">
        <v>78</v>
      </c>
      <c r="D5" s="337" t="s">
        <v>79</v>
      </c>
      <c r="E5" s="342" t="s">
        <v>80</v>
      </c>
      <c r="F5" s="337"/>
      <c r="G5" s="148"/>
      <c r="H5" s="337" t="s">
        <v>81</v>
      </c>
      <c r="I5" s="337" t="s">
        <v>82</v>
      </c>
      <c r="J5" s="337" t="s">
        <v>83</v>
      </c>
    </row>
    <row r="6" spans="1:10" s="141" customFormat="1" ht="28.5" customHeight="1">
      <c r="A6" s="338"/>
      <c r="B6" s="338"/>
      <c r="C6" s="339"/>
      <c r="D6" s="339"/>
      <c r="E6" s="148" t="s">
        <v>84</v>
      </c>
      <c r="F6" s="148" t="s">
        <v>85</v>
      </c>
      <c r="G6" s="148" t="s">
        <v>86</v>
      </c>
      <c r="H6" s="339"/>
      <c r="I6" s="346"/>
      <c r="J6" s="339"/>
    </row>
    <row r="7" spans="1:10" s="141" customFormat="1" ht="27.75" customHeight="1">
      <c r="A7" s="343" t="s">
        <v>87</v>
      </c>
      <c r="B7" s="344"/>
      <c r="C7" s="343"/>
      <c r="D7" s="343"/>
      <c r="E7" s="343"/>
      <c r="F7" s="343"/>
      <c r="G7" s="343"/>
      <c r="H7" s="343"/>
      <c r="I7" s="345"/>
      <c r="J7" s="343"/>
    </row>
    <row r="8" spans="1:10" s="140" customFormat="1" ht="13">
      <c r="A8" s="334" t="s">
        <v>88</v>
      </c>
      <c r="B8" s="21">
        <v>1</v>
      </c>
      <c r="C8" s="26" t="s">
        <v>289</v>
      </c>
      <c r="D8" s="149" t="s">
        <v>313</v>
      </c>
      <c r="E8" s="150">
        <v>19022714.399999999</v>
      </c>
      <c r="F8" s="106">
        <v>6.4399999999999999E-2</v>
      </c>
      <c r="G8" s="106">
        <v>0.83799999999999997</v>
      </c>
      <c r="H8" s="28" t="s">
        <v>314</v>
      </c>
      <c r="I8" s="175" t="s">
        <v>315</v>
      </c>
      <c r="J8" s="28" t="s">
        <v>316</v>
      </c>
    </row>
    <row r="9" spans="1:10" s="140" customFormat="1" ht="13">
      <c r="A9" s="335"/>
      <c r="B9" s="21">
        <v>2</v>
      </c>
      <c r="C9" s="26" t="s">
        <v>297</v>
      </c>
      <c r="D9" s="149" t="s">
        <v>313</v>
      </c>
      <c r="E9" s="151">
        <v>3676933.49</v>
      </c>
      <c r="F9" s="106">
        <v>1.24E-2</v>
      </c>
      <c r="G9" s="106">
        <v>0.16200000000000001</v>
      </c>
      <c r="H9" s="28" t="s">
        <v>314</v>
      </c>
      <c r="I9" s="175" t="s">
        <v>315</v>
      </c>
      <c r="J9" s="28" t="s">
        <v>316</v>
      </c>
    </row>
    <row r="10" spans="1:10" s="140" customFormat="1" ht="13">
      <c r="A10" s="335"/>
      <c r="B10" s="21">
        <v>3</v>
      </c>
      <c r="C10" s="26"/>
      <c r="D10" s="149"/>
      <c r="E10" s="151"/>
      <c r="F10" s="106"/>
      <c r="G10" s="106"/>
      <c r="H10" s="28"/>
      <c r="I10" s="175"/>
      <c r="J10" s="28"/>
    </row>
    <row r="11" spans="1:10" s="140" customFormat="1" ht="13">
      <c r="A11" s="335"/>
      <c r="B11" s="21">
        <v>4</v>
      </c>
      <c r="C11" s="26"/>
      <c r="D11" s="149"/>
      <c r="E11" s="151"/>
      <c r="F11" s="106"/>
      <c r="G11" s="106"/>
      <c r="H11" s="28"/>
      <c r="I11" s="175"/>
      <c r="J11" s="28"/>
    </row>
    <row r="12" spans="1:10" s="140" customFormat="1" ht="13">
      <c r="A12" s="335"/>
      <c r="B12" s="21">
        <v>5</v>
      </c>
      <c r="C12" s="26"/>
      <c r="D12" s="149"/>
      <c r="E12" s="151"/>
      <c r="F12" s="106"/>
      <c r="G12" s="106"/>
      <c r="H12" s="28"/>
      <c r="I12" s="175"/>
      <c r="J12" s="28"/>
    </row>
    <row r="13" spans="1:10" s="140" customFormat="1">
      <c r="A13" s="335"/>
      <c r="B13" s="28" t="s">
        <v>89</v>
      </c>
      <c r="C13" s="26"/>
      <c r="D13" s="149"/>
      <c r="E13" s="151"/>
      <c r="F13" s="106"/>
      <c r="G13" s="106"/>
      <c r="H13" s="28"/>
      <c r="I13" s="175"/>
      <c r="J13" s="28"/>
    </row>
    <row r="14" spans="1:10" s="142" customFormat="1">
      <c r="A14" s="336"/>
      <c r="B14" s="29" t="s">
        <v>90</v>
      </c>
      <c r="C14" s="30"/>
      <c r="D14" s="152"/>
      <c r="E14" s="153">
        <f>SUM(E8:E13)</f>
        <v>22699647.890000001</v>
      </c>
      <c r="F14" s="108">
        <f t="shared" ref="F14" si="0">IFERROR(E14/E$39,0)</f>
        <v>1</v>
      </c>
      <c r="G14" s="108">
        <f>IFERROR(E14/E$22,0)</f>
        <v>1</v>
      </c>
      <c r="H14" s="29"/>
      <c r="I14" s="176"/>
      <c r="J14" s="29"/>
    </row>
    <row r="15" spans="1:10" s="140" customFormat="1" ht="13">
      <c r="A15" s="334" t="s">
        <v>91</v>
      </c>
      <c r="B15" s="21">
        <v>1</v>
      </c>
      <c r="C15" s="26"/>
      <c r="D15" s="149"/>
      <c r="E15" s="151"/>
      <c r="F15" s="106"/>
      <c r="G15" s="106"/>
      <c r="H15" s="28"/>
      <c r="I15" s="175"/>
      <c r="J15" s="28"/>
    </row>
    <row r="16" spans="1:10" s="140" customFormat="1" ht="13">
      <c r="A16" s="335"/>
      <c r="B16" s="21">
        <v>2</v>
      </c>
      <c r="C16" s="26"/>
      <c r="D16" s="149"/>
      <c r="E16" s="151"/>
      <c r="F16" s="154"/>
      <c r="G16" s="106"/>
      <c r="H16" s="28"/>
      <c r="I16" s="175"/>
      <c r="J16" s="28"/>
    </row>
    <row r="17" spans="1:10" s="140" customFormat="1" ht="13">
      <c r="A17" s="335"/>
      <c r="B17" s="21">
        <v>3</v>
      </c>
      <c r="C17" s="26"/>
      <c r="D17" s="149"/>
      <c r="E17" s="151"/>
      <c r="F17" s="154"/>
      <c r="G17" s="106"/>
      <c r="H17" s="28"/>
      <c r="I17" s="175"/>
      <c r="J17" s="28"/>
    </row>
    <row r="18" spans="1:10" s="140" customFormat="1" ht="13">
      <c r="A18" s="335"/>
      <c r="B18" s="21">
        <v>4</v>
      </c>
      <c r="C18" s="26"/>
      <c r="D18" s="149"/>
      <c r="E18" s="151"/>
      <c r="F18" s="154"/>
      <c r="G18" s="106"/>
      <c r="H18" s="28"/>
      <c r="I18" s="175"/>
      <c r="J18" s="28"/>
    </row>
    <row r="19" spans="1:10" s="140" customFormat="1" ht="13">
      <c r="A19" s="335"/>
      <c r="B19" s="21">
        <v>5</v>
      </c>
      <c r="C19" s="26"/>
      <c r="D19" s="149"/>
      <c r="E19" s="151"/>
      <c r="F19" s="154"/>
      <c r="G19" s="106"/>
      <c r="H19" s="28"/>
      <c r="I19" s="175"/>
      <c r="J19" s="28"/>
    </row>
    <row r="20" spans="1:10" s="140" customFormat="1">
      <c r="A20" s="335"/>
      <c r="B20" s="28" t="s">
        <v>89</v>
      </c>
      <c r="C20" s="26"/>
      <c r="D20" s="149"/>
      <c r="E20" s="151"/>
      <c r="F20" s="154"/>
      <c r="G20" s="106"/>
      <c r="H20" s="28"/>
      <c r="I20" s="175"/>
      <c r="J20" s="28"/>
    </row>
    <row r="21" spans="1:10" s="142" customFormat="1">
      <c r="A21" s="336"/>
      <c r="B21" s="33" t="s">
        <v>92</v>
      </c>
      <c r="C21" s="34"/>
      <c r="D21" s="155"/>
      <c r="E21" s="153">
        <f>SUM(E15:E20)</f>
        <v>0</v>
      </c>
      <c r="F21" s="108">
        <f t="shared" ref="F21:F22" si="1">IFERROR(E21/E$39,0)</f>
        <v>0</v>
      </c>
      <c r="G21" s="108">
        <f>IFERROR(E21/E$22,0)</f>
        <v>0</v>
      </c>
      <c r="H21" s="33"/>
      <c r="I21" s="177"/>
      <c r="J21" s="33"/>
    </row>
    <row r="22" spans="1:10" s="140" customFormat="1">
      <c r="A22" s="110" t="s">
        <v>93</v>
      </c>
      <c r="B22" s="111"/>
      <c r="C22" s="112"/>
      <c r="D22" s="156"/>
      <c r="E22" s="157">
        <f>SUM(E14,E21)</f>
        <v>22699647.890000001</v>
      </c>
      <c r="F22" s="114">
        <f t="shared" si="1"/>
        <v>1</v>
      </c>
      <c r="G22" s="114">
        <f>IFERROR(E22/E$22,0)</f>
        <v>1</v>
      </c>
      <c r="H22" s="112"/>
      <c r="I22" s="178"/>
      <c r="J22" s="112"/>
    </row>
    <row r="23" spans="1:10" s="140" customFormat="1" ht="26.25" customHeight="1">
      <c r="A23" s="343" t="s">
        <v>94</v>
      </c>
      <c r="B23" s="344"/>
      <c r="C23" s="343"/>
      <c r="D23" s="343"/>
      <c r="E23" s="343"/>
      <c r="F23" s="343"/>
      <c r="G23" s="343"/>
      <c r="H23" s="343"/>
      <c r="I23" s="345"/>
      <c r="J23" s="343"/>
    </row>
    <row r="24" spans="1:10" s="140" customFormat="1" ht="13">
      <c r="A24" s="334" t="s">
        <v>95</v>
      </c>
      <c r="B24" s="21">
        <v>1</v>
      </c>
      <c r="C24" s="26"/>
      <c r="D24" s="149"/>
      <c r="E24" s="158"/>
      <c r="F24" s="106"/>
      <c r="G24" s="159"/>
      <c r="H24" s="28"/>
      <c r="I24" s="175"/>
      <c r="J24" s="28"/>
    </row>
    <row r="25" spans="1:10" s="140" customFormat="1" ht="13">
      <c r="A25" s="335"/>
      <c r="B25" s="21">
        <v>2</v>
      </c>
      <c r="C25" s="26"/>
      <c r="D25" s="149"/>
      <c r="E25" s="158"/>
      <c r="F25" s="106"/>
      <c r="G25" s="159"/>
      <c r="H25" s="28"/>
      <c r="I25" s="175"/>
      <c r="J25" s="28"/>
    </row>
    <row r="26" spans="1:10" s="140" customFormat="1" ht="13">
      <c r="A26" s="335"/>
      <c r="B26" s="21">
        <v>3</v>
      </c>
      <c r="C26" s="26"/>
      <c r="D26" s="149"/>
      <c r="E26" s="158"/>
      <c r="F26" s="106"/>
      <c r="G26" s="159"/>
      <c r="H26" s="28"/>
      <c r="I26" s="175"/>
      <c r="J26" s="28"/>
    </row>
    <row r="27" spans="1:10" s="140" customFormat="1" ht="13">
      <c r="A27" s="335"/>
      <c r="B27" s="21">
        <v>4</v>
      </c>
      <c r="C27" s="26"/>
      <c r="D27" s="149"/>
      <c r="E27" s="158"/>
      <c r="F27" s="106"/>
      <c r="G27" s="159"/>
      <c r="H27" s="28"/>
      <c r="I27" s="175"/>
      <c r="J27" s="28"/>
    </row>
    <row r="28" spans="1:10" s="140" customFormat="1" ht="13">
      <c r="A28" s="335"/>
      <c r="B28" s="21">
        <v>5</v>
      </c>
      <c r="C28" s="26"/>
      <c r="D28" s="149"/>
      <c r="E28" s="158"/>
      <c r="F28" s="106"/>
      <c r="G28" s="159"/>
      <c r="H28" s="28"/>
      <c r="I28" s="175"/>
      <c r="J28" s="28"/>
    </row>
    <row r="29" spans="1:10" s="140" customFormat="1">
      <c r="A29" s="335"/>
      <c r="B29" s="28" t="s">
        <v>89</v>
      </c>
      <c r="C29" s="26"/>
      <c r="D29" s="149"/>
      <c r="E29" s="158"/>
      <c r="F29" s="106"/>
      <c r="G29" s="159"/>
      <c r="H29" s="28"/>
      <c r="I29" s="175"/>
      <c r="J29" s="28"/>
    </row>
    <row r="30" spans="1:10" s="142" customFormat="1">
      <c r="A30" s="336"/>
      <c r="B30" s="33" t="s">
        <v>96</v>
      </c>
      <c r="C30" s="34"/>
      <c r="D30" s="155"/>
      <c r="E30" s="153">
        <f>SUM(E24:E29)</f>
        <v>0</v>
      </c>
      <c r="F30" s="116">
        <f t="shared" ref="F30:F39" si="2">IFERROR(E30/E$39,0)</f>
        <v>0</v>
      </c>
      <c r="G30" s="160"/>
      <c r="H30" s="33"/>
      <c r="I30" s="177"/>
      <c r="J30" s="33"/>
    </row>
    <row r="31" spans="1:10" s="140" customFormat="1" ht="13">
      <c r="A31" s="334" t="s">
        <v>97</v>
      </c>
      <c r="B31" s="21">
        <v>1</v>
      </c>
      <c r="C31" s="22"/>
      <c r="D31" s="149"/>
      <c r="E31" s="158"/>
      <c r="F31" s="106"/>
      <c r="G31" s="159"/>
      <c r="H31" s="28"/>
      <c r="I31" s="175"/>
      <c r="J31" s="28"/>
    </row>
    <row r="32" spans="1:10" s="140" customFormat="1" ht="13">
      <c r="A32" s="335"/>
      <c r="B32" s="21">
        <v>2</v>
      </c>
      <c r="C32" s="26"/>
      <c r="D32" s="149"/>
      <c r="E32" s="158"/>
      <c r="F32" s="106"/>
      <c r="G32" s="159"/>
      <c r="H32" s="28"/>
      <c r="I32" s="175"/>
      <c r="J32" s="28"/>
    </row>
    <row r="33" spans="1:10" s="140" customFormat="1" ht="13">
      <c r="A33" s="335"/>
      <c r="B33" s="21">
        <v>3</v>
      </c>
      <c r="C33" s="26"/>
      <c r="D33" s="149"/>
      <c r="E33" s="158"/>
      <c r="F33" s="106"/>
      <c r="G33" s="159"/>
      <c r="H33" s="28"/>
      <c r="I33" s="175"/>
      <c r="J33" s="28"/>
    </row>
    <row r="34" spans="1:10" s="140" customFormat="1" ht="13">
      <c r="A34" s="335"/>
      <c r="B34" s="21">
        <v>4</v>
      </c>
      <c r="C34" s="26"/>
      <c r="D34" s="149"/>
      <c r="E34" s="158"/>
      <c r="F34" s="106"/>
      <c r="G34" s="159"/>
      <c r="H34" s="28"/>
      <c r="I34" s="175"/>
      <c r="J34" s="28"/>
    </row>
    <row r="35" spans="1:10" s="140" customFormat="1" ht="13">
      <c r="A35" s="335"/>
      <c r="B35" s="21">
        <v>5</v>
      </c>
      <c r="C35" s="26"/>
      <c r="D35" s="149"/>
      <c r="E35" s="158"/>
      <c r="F35" s="106"/>
      <c r="G35" s="159"/>
      <c r="H35" s="28"/>
      <c r="I35" s="175"/>
      <c r="J35" s="28"/>
    </row>
    <row r="36" spans="1:10" s="140" customFormat="1">
      <c r="A36" s="335"/>
      <c r="B36" s="28" t="s">
        <v>89</v>
      </c>
      <c r="C36" s="26"/>
      <c r="D36" s="149"/>
      <c r="E36" s="158"/>
      <c r="F36" s="106"/>
      <c r="G36" s="159"/>
      <c r="H36" s="28"/>
      <c r="I36" s="175"/>
      <c r="J36" s="28"/>
    </row>
    <row r="37" spans="1:10" s="142" customFormat="1" ht="12" customHeight="1">
      <c r="A37" s="336"/>
      <c r="B37" s="33" t="s">
        <v>98</v>
      </c>
      <c r="C37" s="34"/>
      <c r="D37" s="155"/>
      <c r="E37" s="32">
        <f>SUM(E31:E36)</f>
        <v>0</v>
      </c>
      <c r="F37" s="116">
        <f t="shared" si="2"/>
        <v>0</v>
      </c>
      <c r="G37" s="160"/>
      <c r="H37" s="33"/>
      <c r="I37" s="177"/>
      <c r="J37" s="33"/>
    </row>
    <row r="38" spans="1:10" s="140" customFormat="1">
      <c r="A38" s="110" t="s">
        <v>99</v>
      </c>
      <c r="B38" s="111"/>
      <c r="C38" s="161"/>
      <c r="D38" s="156"/>
      <c r="E38" s="157">
        <f>SUM(E30,E37)</f>
        <v>0</v>
      </c>
      <c r="F38" s="114">
        <f t="shared" si="2"/>
        <v>0</v>
      </c>
      <c r="G38" s="162"/>
      <c r="H38" s="112"/>
      <c r="I38" s="178"/>
      <c r="J38" s="112"/>
    </row>
    <row r="39" spans="1:10" s="140" customFormat="1">
      <c r="A39" s="163" t="s">
        <v>100</v>
      </c>
      <c r="B39" s="164"/>
      <c r="C39" s="165"/>
      <c r="D39" s="166"/>
      <c r="E39" s="167">
        <f>SUM(E22,E38)</f>
        <v>22699647.890000001</v>
      </c>
      <c r="F39" s="168">
        <f t="shared" si="2"/>
        <v>1</v>
      </c>
      <c r="G39" s="169"/>
      <c r="H39" s="170"/>
      <c r="I39" s="179"/>
      <c r="J39" s="170"/>
    </row>
    <row r="40" spans="1:10">
      <c r="D40" s="171"/>
    </row>
    <row r="41" spans="1:10">
      <c r="D41" s="171"/>
    </row>
    <row r="42" spans="1:10">
      <c r="A42" s="172"/>
      <c r="D42" s="171"/>
      <c r="E42" s="173"/>
    </row>
    <row r="43" spans="1:10">
      <c r="A43" s="174"/>
      <c r="D43" s="171"/>
    </row>
    <row r="44" spans="1:10">
      <c r="D44" s="171"/>
    </row>
    <row r="45" spans="1:10">
      <c r="D45" s="171"/>
    </row>
    <row r="46" spans="1:10">
      <c r="D46" s="171"/>
    </row>
    <row r="47" spans="1:10">
      <c r="D47" s="171"/>
    </row>
    <row r="48" spans="1:10">
      <c r="D48" s="171"/>
    </row>
    <row r="49" spans="4:4">
      <c r="D49" s="171"/>
    </row>
    <row r="50" spans="4:4">
      <c r="D50" s="171"/>
    </row>
    <row r="51" spans="4:4">
      <c r="D51" s="171"/>
    </row>
    <row r="52" spans="4:4">
      <c r="D52" s="171"/>
    </row>
  </sheetData>
  <mergeCells count="15">
    <mergeCell ref="A4:J4"/>
    <mergeCell ref="E5:F5"/>
    <mergeCell ref="A7:J7"/>
    <mergeCell ref="A23:J23"/>
    <mergeCell ref="A5:A6"/>
    <mergeCell ref="A8:A14"/>
    <mergeCell ref="A15:A21"/>
    <mergeCell ref="H5:H6"/>
    <mergeCell ref="I5:I6"/>
    <mergeCell ref="J5:J6"/>
    <mergeCell ref="A24:A30"/>
    <mergeCell ref="A31:A37"/>
    <mergeCell ref="B5:B6"/>
    <mergeCell ref="C5:C6"/>
    <mergeCell ref="D5:D6"/>
  </mergeCells>
  <phoneticPr fontId="91" type="noConversion"/>
  <pageMargins left="0.55118110236220497" right="0.55118110236220497" top="0.59055118110236204" bottom="0.59055118110236204" header="0.35433070866141703" footer="0.118110236220472"/>
  <pageSetup paperSize="9" scale="55" orientation="landscape"/>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tabColor rgb="FFFFFF00"/>
  </sheetPr>
  <dimension ref="A1:L59"/>
  <sheetViews>
    <sheetView zoomScale="80" zoomScaleNormal="80" zoomScaleSheetLayoutView="80" workbookViewId="0">
      <pane xSplit="4" ySplit="8" topLeftCell="E9" activePane="bottomRight" state="frozen"/>
      <selection pane="topRight"/>
      <selection pane="bottomLeft"/>
      <selection pane="bottomRight" activeCell="F35" sqref="F35"/>
    </sheetView>
  </sheetViews>
  <sheetFormatPr defaultColWidth="7" defaultRowHeight="13"/>
  <cols>
    <col min="1" max="1" width="14.6640625" style="95" customWidth="1"/>
    <col min="2" max="2" width="6.1640625" style="95" customWidth="1"/>
    <col min="3" max="3" width="33" style="96" customWidth="1"/>
    <col min="4" max="4" width="20.6640625" style="96" customWidth="1"/>
    <col min="5" max="5" width="19" style="97" customWidth="1"/>
    <col min="6" max="7" width="19" style="96" customWidth="1"/>
    <col min="8" max="10" width="23.6640625" style="96" customWidth="1"/>
    <col min="11" max="11" width="7" style="96"/>
    <col min="12" max="12" width="13.83203125" style="96"/>
    <col min="13" max="16384" width="7" style="96"/>
  </cols>
  <sheetData>
    <row r="1" spans="1:12" s="92" customFormat="1" ht="16.5">
      <c r="A1" s="98" t="str">
        <f>'1 组织结构及管理架构'!A1</f>
        <v>松莉美容科技（上海）有限公司</v>
      </c>
      <c r="B1" s="99"/>
      <c r="C1" s="305" t="s">
        <v>306</v>
      </c>
      <c r="E1" s="101"/>
    </row>
    <row r="2" spans="1:12" s="92" customFormat="1" ht="15.5">
      <c r="A2" s="102"/>
      <c r="B2" s="102"/>
      <c r="C2" s="100"/>
      <c r="E2" s="101"/>
    </row>
    <row r="3" spans="1:12" s="92" customFormat="1" ht="16.5">
      <c r="A3" s="103" t="s">
        <v>101</v>
      </c>
      <c r="B3" s="103"/>
      <c r="E3" s="101"/>
    </row>
    <row r="4" spans="1:12" s="93" customFormat="1" ht="15.5">
      <c r="A4" s="103"/>
      <c r="B4" s="103"/>
      <c r="C4" s="92"/>
      <c r="D4" s="92"/>
      <c r="E4" s="101"/>
      <c r="F4" s="92"/>
      <c r="G4" s="92"/>
      <c r="H4" s="92"/>
      <c r="I4" s="92"/>
      <c r="J4" s="92"/>
    </row>
    <row r="5" spans="1:12" s="93" customFormat="1" ht="15.5">
      <c r="A5" s="351" t="s">
        <v>102</v>
      </c>
      <c r="B5" s="352"/>
      <c r="C5" s="352"/>
      <c r="D5" s="352"/>
      <c r="E5" s="352"/>
      <c r="F5" s="352"/>
      <c r="G5" s="352"/>
      <c r="H5" s="352"/>
      <c r="I5" s="352"/>
      <c r="J5" s="352"/>
    </row>
    <row r="6" spans="1:12" ht="23.25" customHeight="1">
      <c r="A6" s="360" t="s">
        <v>76</v>
      </c>
      <c r="B6" s="347" t="s">
        <v>77</v>
      </c>
      <c r="C6" s="349" t="s">
        <v>103</v>
      </c>
      <c r="D6" s="349" t="s">
        <v>104</v>
      </c>
      <c r="E6" s="353" t="s">
        <v>80</v>
      </c>
      <c r="F6" s="349"/>
      <c r="G6" s="104"/>
      <c r="H6" s="349" t="s">
        <v>81</v>
      </c>
      <c r="I6" s="362" t="s">
        <v>82</v>
      </c>
      <c r="J6" s="349" t="s">
        <v>83</v>
      </c>
    </row>
    <row r="7" spans="1:12" s="94" customFormat="1" ht="30" customHeight="1">
      <c r="A7" s="361"/>
      <c r="B7" s="348"/>
      <c r="C7" s="350"/>
      <c r="D7" s="350"/>
      <c r="E7" s="105" t="s">
        <v>105</v>
      </c>
      <c r="F7" s="104" t="s">
        <v>106</v>
      </c>
      <c r="G7" s="104" t="s">
        <v>107</v>
      </c>
      <c r="H7" s="350"/>
      <c r="I7" s="363"/>
      <c r="J7" s="350"/>
    </row>
    <row r="8" spans="1:12" s="94" customFormat="1" ht="27.75" customHeight="1">
      <c r="A8" s="354" t="s">
        <v>108</v>
      </c>
      <c r="B8" s="355"/>
      <c r="C8" s="354"/>
      <c r="D8" s="354"/>
      <c r="E8" s="354"/>
      <c r="F8" s="354"/>
      <c r="G8" s="354"/>
      <c r="H8" s="354"/>
      <c r="I8" s="356"/>
      <c r="J8" s="354"/>
    </row>
    <row r="9" spans="1:12">
      <c r="A9" s="334" t="s">
        <v>109</v>
      </c>
      <c r="B9" s="21">
        <v>1</v>
      </c>
      <c r="C9" s="22" t="s">
        <v>289</v>
      </c>
      <c r="D9" s="23" t="s">
        <v>325</v>
      </c>
      <c r="E9" s="24">
        <v>178786648.56999999</v>
      </c>
      <c r="F9" s="106"/>
      <c r="G9" s="106"/>
      <c r="H9" s="107"/>
      <c r="I9" s="133"/>
      <c r="J9" s="107"/>
    </row>
    <row r="10" spans="1:12">
      <c r="A10" s="335"/>
      <c r="B10" s="21">
        <v>2</v>
      </c>
      <c r="C10" s="26" t="s">
        <v>297</v>
      </c>
      <c r="D10" s="23" t="s">
        <v>325</v>
      </c>
      <c r="E10" s="25">
        <v>81179671.060000002</v>
      </c>
      <c r="F10" s="106"/>
      <c r="G10" s="106"/>
      <c r="H10" s="107"/>
      <c r="I10" s="133"/>
      <c r="J10" s="107"/>
      <c r="L10" s="134"/>
    </row>
    <row r="11" spans="1:12">
      <c r="A11" s="335"/>
      <c r="B11" s="21">
        <v>3</v>
      </c>
      <c r="C11" s="22"/>
      <c r="D11" s="23"/>
      <c r="E11" s="25"/>
      <c r="F11" s="106"/>
      <c r="G11" s="106"/>
      <c r="H11" s="107"/>
      <c r="I11" s="133"/>
      <c r="J11" s="107"/>
    </row>
    <row r="12" spans="1:12">
      <c r="A12" s="335"/>
      <c r="B12" s="21">
        <v>4</v>
      </c>
      <c r="C12" s="26"/>
      <c r="D12" s="27"/>
      <c r="E12" s="25"/>
      <c r="F12" s="106"/>
      <c r="G12" s="106"/>
      <c r="H12" s="107"/>
      <c r="I12" s="133"/>
      <c r="J12" s="107"/>
    </row>
    <row r="13" spans="1:12">
      <c r="A13" s="335"/>
      <c r="B13" s="21">
        <v>5</v>
      </c>
      <c r="C13" s="26"/>
      <c r="D13" s="27"/>
      <c r="E13" s="25"/>
      <c r="F13" s="106"/>
      <c r="G13" s="106"/>
      <c r="H13" s="107"/>
      <c r="I13" s="133"/>
      <c r="J13" s="107"/>
    </row>
    <row r="14" spans="1:12" ht="14">
      <c r="A14" s="335"/>
      <c r="B14" s="28" t="s">
        <v>89</v>
      </c>
      <c r="C14" s="26"/>
      <c r="D14" s="27"/>
      <c r="E14" s="25"/>
      <c r="F14" s="106"/>
      <c r="G14" s="106"/>
      <c r="H14" s="107"/>
      <c r="I14" s="133"/>
      <c r="J14" s="107"/>
    </row>
    <row r="15" spans="1:12" ht="14">
      <c r="A15" s="336"/>
      <c r="B15" s="29" t="s">
        <v>110</v>
      </c>
      <c r="C15" s="30"/>
      <c r="D15" s="31"/>
      <c r="E15" s="32">
        <f>SUBTOTAL(9,E9:E14)</f>
        <v>259966319.63</v>
      </c>
      <c r="F15" s="108">
        <f t="shared" ref="F15:F40" si="0">IFERROR(E15/E$40,0)</f>
        <v>0.95101628638831037</v>
      </c>
      <c r="G15" s="108">
        <f t="shared" ref="G15:G23" si="1">IFERROR(E15/E$23,0)</f>
        <v>0.9515007111460233</v>
      </c>
      <c r="H15" s="109"/>
      <c r="I15" s="135"/>
      <c r="J15" s="109"/>
    </row>
    <row r="16" spans="1:12">
      <c r="A16" s="334" t="s">
        <v>111</v>
      </c>
      <c r="B16" s="21">
        <v>1</v>
      </c>
      <c r="C16" s="26" t="s">
        <v>301</v>
      </c>
      <c r="D16" s="23" t="s">
        <v>325</v>
      </c>
      <c r="E16" s="25">
        <v>12953423.52</v>
      </c>
      <c r="F16" s="106"/>
      <c r="G16" s="106"/>
      <c r="H16" s="107"/>
      <c r="I16" s="133"/>
      <c r="J16" s="107"/>
    </row>
    <row r="17" spans="1:10">
      <c r="A17" s="335"/>
      <c r="B17" s="21">
        <v>2</v>
      </c>
      <c r="C17" s="26" t="s">
        <v>301</v>
      </c>
      <c r="D17" s="391" t="s">
        <v>326</v>
      </c>
      <c r="E17" s="25">
        <v>297414.32</v>
      </c>
      <c r="F17" s="106"/>
      <c r="G17" s="106"/>
      <c r="H17" s="107"/>
      <c r="I17" s="133"/>
      <c r="J17" s="107"/>
    </row>
    <row r="18" spans="1:10">
      <c r="A18" s="335"/>
      <c r="B18" s="21">
        <v>3</v>
      </c>
      <c r="C18" s="26"/>
      <c r="D18" s="27"/>
      <c r="E18" s="25"/>
      <c r="F18" s="106"/>
      <c r="G18" s="106"/>
      <c r="H18" s="107"/>
      <c r="I18" s="133"/>
      <c r="J18" s="107"/>
    </row>
    <row r="19" spans="1:10">
      <c r="A19" s="335"/>
      <c r="B19" s="21">
        <v>4</v>
      </c>
      <c r="C19" s="26"/>
      <c r="D19" s="27"/>
      <c r="E19" s="25"/>
      <c r="F19" s="106"/>
      <c r="G19" s="106"/>
      <c r="H19" s="107"/>
      <c r="I19" s="133"/>
      <c r="J19" s="107"/>
    </row>
    <row r="20" spans="1:10">
      <c r="A20" s="335"/>
      <c r="B20" s="21">
        <v>5</v>
      </c>
      <c r="C20" s="26"/>
      <c r="D20" s="27"/>
      <c r="E20" s="25"/>
      <c r="F20" s="106"/>
      <c r="G20" s="106"/>
      <c r="H20" s="107"/>
      <c r="I20" s="133"/>
      <c r="J20" s="107"/>
    </row>
    <row r="21" spans="1:10" ht="14">
      <c r="A21" s="335"/>
      <c r="B21" s="28" t="s">
        <v>89</v>
      </c>
      <c r="C21" s="26"/>
      <c r="D21" s="27"/>
      <c r="E21" s="25"/>
      <c r="F21" s="106"/>
      <c r="G21" s="106"/>
      <c r="H21" s="107"/>
      <c r="I21" s="133"/>
      <c r="J21" s="107"/>
    </row>
    <row r="22" spans="1:10" ht="12" customHeight="1">
      <c r="A22" s="336"/>
      <c r="B22" s="33" t="s">
        <v>112</v>
      </c>
      <c r="C22" s="34"/>
      <c r="D22" s="31"/>
      <c r="E22" s="32">
        <f>SUBTOTAL(9,E16:E21)</f>
        <v>13250837.84</v>
      </c>
      <c r="F22" s="108">
        <f t="shared" si="0"/>
        <v>4.8474597063443065E-2</v>
      </c>
      <c r="G22" s="108">
        <f t="shared" si="1"/>
        <v>4.8499288853976821E-2</v>
      </c>
      <c r="H22" s="109"/>
      <c r="I22" s="135"/>
      <c r="J22" s="109"/>
    </row>
    <row r="23" spans="1:10" ht="14">
      <c r="A23" s="110" t="s">
        <v>113</v>
      </c>
      <c r="B23" s="111"/>
      <c r="C23" s="112"/>
      <c r="D23" s="112"/>
      <c r="E23" s="113">
        <f>SUBTOTAL(9,E9:E22)</f>
        <v>273217157.46999997</v>
      </c>
      <c r="F23" s="114">
        <f t="shared" si="0"/>
        <v>0.9994908834517533</v>
      </c>
      <c r="G23" s="114">
        <f t="shared" si="1"/>
        <v>1</v>
      </c>
      <c r="H23" s="112"/>
      <c r="I23" s="112"/>
      <c r="J23" s="112"/>
    </row>
    <row r="24" spans="1:10" ht="26.25" customHeight="1">
      <c r="A24" s="357" t="s">
        <v>114</v>
      </c>
      <c r="B24" s="358"/>
      <c r="C24" s="357"/>
      <c r="D24" s="357"/>
      <c r="E24" s="357"/>
      <c r="F24" s="357"/>
      <c r="G24" s="357"/>
      <c r="H24" s="357"/>
      <c r="I24" s="359"/>
      <c r="J24" s="357"/>
    </row>
    <row r="25" spans="1:10">
      <c r="A25" s="334" t="s">
        <v>115</v>
      </c>
      <c r="B25" s="21">
        <v>1</v>
      </c>
      <c r="C25" s="26"/>
      <c r="D25" s="27"/>
      <c r="E25" s="25"/>
      <c r="F25" s="115"/>
      <c r="G25" s="115"/>
      <c r="H25" s="107"/>
      <c r="I25" s="133"/>
      <c r="J25" s="107"/>
    </row>
    <row r="26" spans="1:10">
      <c r="A26" s="335"/>
      <c r="B26" s="21">
        <v>2</v>
      </c>
      <c r="C26" s="26"/>
      <c r="D26" s="27"/>
      <c r="E26" s="25"/>
      <c r="F26" s="115"/>
      <c r="G26" s="115"/>
      <c r="H26" s="107"/>
      <c r="I26" s="133"/>
      <c r="J26" s="107"/>
    </row>
    <row r="27" spans="1:10">
      <c r="A27" s="335"/>
      <c r="B27" s="21">
        <v>3</v>
      </c>
      <c r="C27" s="26"/>
      <c r="D27" s="27"/>
      <c r="E27" s="25"/>
      <c r="F27" s="115"/>
      <c r="G27" s="115"/>
      <c r="H27" s="107"/>
      <c r="I27" s="133"/>
      <c r="J27" s="107"/>
    </row>
    <row r="28" spans="1:10">
      <c r="A28" s="335"/>
      <c r="B28" s="21">
        <v>4</v>
      </c>
      <c r="C28" s="26"/>
      <c r="D28" s="27"/>
      <c r="E28" s="25"/>
      <c r="F28" s="115"/>
      <c r="G28" s="115"/>
      <c r="H28" s="107"/>
      <c r="I28" s="133"/>
      <c r="J28" s="107"/>
    </row>
    <row r="29" spans="1:10">
      <c r="A29" s="335"/>
      <c r="B29" s="21">
        <v>5</v>
      </c>
      <c r="C29" s="26"/>
      <c r="D29" s="27"/>
      <c r="E29" s="25"/>
      <c r="F29" s="115"/>
      <c r="G29" s="115"/>
      <c r="H29" s="107"/>
      <c r="I29" s="133"/>
      <c r="J29" s="107"/>
    </row>
    <row r="30" spans="1:10" ht="14">
      <c r="A30" s="335"/>
      <c r="B30" s="28" t="s">
        <v>89</v>
      </c>
      <c r="C30" s="26"/>
      <c r="D30" s="27"/>
      <c r="E30" s="25"/>
      <c r="F30" s="115"/>
      <c r="G30" s="115"/>
      <c r="H30" s="107"/>
      <c r="I30" s="133"/>
      <c r="J30" s="107"/>
    </row>
    <row r="31" spans="1:10" ht="14">
      <c r="A31" s="336"/>
      <c r="B31" s="33" t="s">
        <v>116</v>
      </c>
      <c r="C31" s="34"/>
      <c r="D31" s="31"/>
      <c r="E31" s="32">
        <f>SUBTOTAL(9,E25:E30)</f>
        <v>0</v>
      </c>
      <c r="F31" s="116">
        <f t="shared" si="0"/>
        <v>0</v>
      </c>
      <c r="G31" s="116">
        <f t="shared" ref="G31:G39" si="2">IFERROR(E31/E$39,0)</f>
        <v>0</v>
      </c>
      <c r="H31" s="109"/>
      <c r="I31" s="135"/>
      <c r="J31" s="109"/>
    </row>
    <row r="32" spans="1:10">
      <c r="A32" s="334" t="s">
        <v>117</v>
      </c>
      <c r="B32" s="21">
        <v>1</v>
      </c>
      <c r="C32" s="26"/>
      <c r="D32" s="27"/>
      <c r="E32" s="25"/>
      <c r="F32" s="115"/>
      <c r="G32" s="115"/>
      <c r="H32" s="107"/>
      <c r="I32" s="133"/>
      <c r="J32" s="107"/>
    </row>
    <row r="33" spans="1:10">
      <c r="A33" s="335"/>
      <c r="B33" s="21">
        <v>2</v>
      </c>
      <c r="C33" s="26"/>
      <c r="D33" s="27"/>
      <c r="E33" s="25"/>
      <c r="F33" s="115"/>
      <c r="G33" s="115"/>
      <c r="H33" s="107"/>
      <c r="I33" s="133"/>
      <c r="J33" s="107"/>
    </row>
    <row r="34" spans="1:10">
      <c r="A34" s="335"/>
      <c r="B34" s="21">
        <v>3</v>
      </c>
      <c r="C34" s="26"/>
      <c r="D34" s="27"/>
      <c r="E34" s="25"/>
      <c r="F34" s="115"/>
      <c r="G34" s="115"/>
      <c r="H34" s="107"/>
      <c r="I34" s="133"/>
      <c r="J34" s="107"/>
    </row>
    <row r="35" spans="1:10">
      <c r="A35" s="335"/>
      <c r="B35" s="21">
        <v>4</v>
      </c>
      <c r="C35" s="26"/>
      <c r="D35" s="27"/>
      <c r="E35" s="25"/>
      <c r="F35" s="115"/>
      <c r="G35" s="115"/>
      <c r="H35" s="107"/>
      <c r="I35" s="133"/>
      <c r="J35" s="107"/>
    </row>
    <row r="36" spans="1:10">
      <c r="A36" s="335"/>
      <c r="B36" s="21">
        <v>5</v>
      </c>
      <c r="C36" s="26"/>
      <c r="D36" s="27"/>
      <c r="E36" s="25"/>
      <c r="F36" s="115"/>
      <c r="G36" s="115"/>
      <c r="H36" s="107"/>
      <c r="I36" s="133"/>
      <c r="J36" s="107"/>
    </row>
    <row r="37" spans="1:10" ht="14">
      <c r="A37" s="335"/>
      <c r="B37" s="28" t="s">
        <v>89</v>
      </c>
      <c r="C37" s="26"/>
      <c r="D37" s="27" t="s">
        <v>327</v>
      </c>
      <c r="E37" s="25">
        <v>139170.23000000001</v>
      </c>
      <c r="F37" s="115"/>
      <c r="G37" s="115"/>
      <c r="H37" s="107"/>
      <c r="I37" s="133"/>
      <c r="J37" s="107"/>
    </row>
    <row r="38" spans="1:10" ht="14">
      <c r="A38" s="336"/>
      <c r="B38" s="33" t="s">
        <v>118</v>
      </c>
      <c r="C38" s="34"/>
      <c r="D38" s="31"/>
      <c r="E38" s="32">
        <f>SUBTOTAL(9,E32:E37)</f>
        <v>139170.23000000001</v>
      </c>
      <c r="F38" s="116">
        <f t="shared" si="0"/>
        <v>5.0911654824663504E-4</v>
      </c>
      <c r="G38" s="116">
        <f t="shared" si="2"/>
        <v>1</v>
      </c>
      <c r="H38" s="109"/>
      <c r="I38" s="135"/>
      <c r="J38" s="109"/>
    </row>
    <row r="39" spans="1:10" ht="14">
      <c r="A39" s="117" t="s">
        <v>119</v>
      </c>
      <c r="B39" s="118"/>
      <c r="C39" s="118"/>
      <c r="D39" s="119"/>
      <c r="E39" s="113">
        <f>SUBTOTAL(9,E25:E38)</f>
        <v>139170.23000000001</v>
      </c>
      <c r="F39" s="120">
        <f t="shared" si="0"/>
        <v>5.0911654824663504E-4</v>
      </c>
      <c r="G39" s="120">
        <f t="shared" si="2"/>
        <v>1</v>
      </c>
      <c r="H39" s="121"/>
      <c r="I39" s="136"/>
      <c r="J39" s="121"/>
    </row>
    <row r="40" spans="1:10" ht="14">
      <c r="A40" s="122" t="s">
        <v>100</v>
      </c>
      <c r="B40" s="123"/>
      <c r="C40" s="124"/>
      <c r="D40" s="125"/>
      <c r="E40" s="126">
        <f>SUM(E23,E39)</f>
        <v>273356327.69999999</v>
      </c>
      <c r="F40" s="127">
        <f t="shared" si="0"/>
        <v>1</v>
      </c>
      <c r="G40" s="128"/>
      <c r="H40" s="129"/>
      <c r="I40" s="137"/>
      <c r="J40" s="129"/>
    </row>
    <row r="41" spans="1:10">
      <c r="D41" s="130"/>
    </row>
    <row r="42" spans="1:10">
      <c r="D42" s="130"/>
    </row>
    <row r="43" spans="1:10">
      <c r="A43" s="131"/>
      <c r="D43" s="130"/>
    </row>
    <row r="44" spans="1:10">
      <c r="D44" s="130"/>
    </row>
    <row r="45" spans="1:10">
      <c r="D45" s="130"/>
    </row>
    <row r="46" spans="1:10">
      <c r="D46" s="130"/>
    </row>
    <row r="47" spans="1:10">
      <c r="D47" s="130"/>
    </row>
    <row r="48" spans="1:10">
      <c r="D48" s="130"/>
    </row>
    <row r="49" spans="1:4">
      <c r="D49" s="130"/>
    </row>
    <row r="50" spans="1:4">
      <c r="D50" s="130"/>
    </row>
    <row r="51" spans="1:4">
      <c r="D51" s="130"/>
    </row>
    <row r="52" spans="1:4">
      <c r="D52" s="130"/>
    </row>
    <row r="53" spans="1:4">
      <c r="D53" s="130"/>
    </row>
    <row r="57" spans="1:4">
      <c r="A57" s="132"/>
    </row>
    <row r="59" spans="1:4">
      <c r="A59" s="132"/>
    </row>
  </sheetData>
  <mergeCells count="15">
    <mergeCell ref="A5:J5"/>
    <mergeCell ref="E6:F6"/>
    <mergeCell ref="A8:J8"/>
    <mergeCell ref="A24:J24"/>
    <mergeCell ref="A6:A7"/>
    <mergeCell ref="A9:A15"/>
    <mergeCell ref="A16:A22"/>
    <mergeCell ref="H6:H7"/>
    <mergeCell ref="I6:I7"/>
    <mergeCell ref="J6:J7"/>
    <mergeCell ref="A25:A31"/>
    <mergeCell ref="A32:A38"/>
    <mergeCell ref="B6:B7"/>
    <mergeCell ref="C6:C7"/>
    <mergeCell ref="D6:D7"/>
  </mergeCells>
  <phoneticPr fontId="91" type="noConversion"/>
  <pageMargins left="0.55118110236220497" right="0.55118110236220497" top="0.59055118110236204" bottom="0.59055118110236204" header="0.35433070866141703" footer="0.118110236220472"/>
  <pageSetup paperSize="9" scale="55" orientation="landscape"/>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tabColor theme="4"/>
  </sheetPr>
  <dimension ref="A1:L38"/>
  <sheetViews>
    <sheetView topLeftCell="A7" workbookViewId="0">
      <selection activeCell="F16" sqref="F16"/>
    </sheetView>
  </sheetViews>
  <sheetFormatPr defaultColWidth="9" defaultRowHeight="15"/>
  <cols>
    <col min="1" max="1" width="4.58203125" style="60" customWidth="1"/>
    <col min="2" max="2" width="13.58203125" style="60" customWidth="1"/>
    <col min="3" max="3" width="33.5" style="60" bestFit="1" customWidth="1"/>
    <col min="4" max="7" width="17.83203125" style="60" customWidth="1"/>
    <col min="8" max="11" width="9" style="60"/>
    <col min="12" max="12" width="11.33203125" style="60" bestFit="1" customWidth="1"/>
    <col min="13" max="16384" width="9" style="60"/>
  </cols>
  <sheetData>
    <row r="1" spans="1:12">
      <c r="A1" s="62"/>
      <c r="B1" s="63"/>
      <c r="C1" s="64"/>
      <c r="D1" s="64"/>
      <c r="E1" s="64"/>
      <c r="F1" s="64"/>
      <c r="G1" s="65"/>
    </row>
    <row r="2" spans="1:12">
      <c r="A2" s="66"/>
      <c r="B2" s="66"/>
      <c r="C2" s="64"/>
      <c r="D2" s="64"/>
      <c r="E2" s="64"/>
      <c r="F2" s="64"/>
      <c r="G2" s="66"/>
    </row>
    <row r="3" spans="1:12" ht="16.5">
      <c r="A3" s="67" t="s">
        <v>120</v>
      </c>
      <c r="B3" s="68"/>
      <c r="C3" s="64"/>
      <c r="D3" s="64"/>
      <c r="E3" s="64"/>
      <c r="F3" s="64"/>
      <c r="G3" s="68"/>
    </row>
    <row r="4" spans="1:12">
      <c r="A4" s="69"/>
      <c r="B4" s="69"/>
      <c r="C4" s="64"/>
      <c r="D4" s="64"/>
      <c r="E4" s="64"/>
      <c r="F4" s="64"/>
      <c r="G4" s="69"/>
    </row>
    <row r="5" spans="1:12" ht="20.25" customHeight="1">
      <c r="A5" s="372" t="s">
        <v>121</v>
      </c>
      <c r="B5" s="372"/>
      <c r="C5" s="372"/>
      <c r="D5" s="372"/>
      <c r="E5" s="372"/>
      <c r="F5" s="372"/>
      <c r="G5" s="70"/>
    </row>
    <row r="6" spans="1:12" s="61" customFormat="1" ht="14.25" customHeight="1">
      <c r="A6" s="369" t="s">
        <v>122</v>
      </c>
      <c r="B6" s="364" t="s">
        <v>123</v>
      </c>
      <c r="C6" s="364" t="s">
        <v>124</v>
      </c>
      <c r="D6" s="364" t="s">
        <v>125</v>
      </c>
      <c r="E6" s="364" t="s">
        <v>126</v>
      </c>
      <c r="F6" s="364" t="s">
        <v>127</v>
      </c>
      <c r="G6" s="364" t="s">
        <v>128</v>
      </c>
    </row>
    <row r="7" spans="1:12" s="61" customFormat="1" ht="14.25" customHeight="1">
      <c r="A7" s="369"/>
      <c r="B7" s="364"/>
      <c r="C7" s="364"/>
      <c r="D7" s="364"/>
      <c r="E7" s="364"/>
      <c r="F7" s="364"/>
      <c r="G7" s="364"/>
    </row>
    <row r="8" spans="1:12" ht="14.25" customHeight="1">
      <c r="A8" s="369"/>
      <c r="B8" s="71">
        <v>1</v>
      </c>
      <c r="C8" s="71">
        <v>2</v>
      </c>
      <c r="D8" s="71">
        <v>3</v>
      </c>
      <c r="E8" s="71">
        <v>4</v>
      </c>
      <c r="F8" s="71">
        <v>5</v>
      </c>
      <c r="G8" s="72">
        <v>6</v>
      </c>
    </row>
    <row r="9" spans="1:12" ht="14.25" customHeight="1">
      <c r="A9" s="73">
        <v>1</v>
      </c>
      <c r="B9" s="370" t="s">
        <v>129</v>
      </c>
      <c r="C9" s="74"/>
      <c r="D9" s="304"/>
      <c r="E9" s="74"/>
      <c r="F9" s="75"/>
      <c r="G9" s="76"/>
    </row>
    <row r="10" spans="1:12" ht="14.25" customHeight="1">
      <c r="A10" s="73">
        <v>2</v>
      </c>
      <c r="B10" s="371"/>
      <c r="C10" s="74"/>
      <c r="D10" s="304"/>
      <c r="E10" s="74"/>
      <c r="F10" s="75"/>
      <c r="G10" s="76"/>
      <c r="J10" s="303"/>
      <c r="K10" s="301"/>
      <c r="L10" s="302"/>
    </row>
    <row r="11" spans="1:12" ht="14.25" customHeight="1">
      <c r="A11" s="73">
        <v>3</v>
      </c>
      <c r="B11" s="371"/>
      <c r="C11" s="74"/>
      <c r="D11" s="304"/>
      <c r="E11" s="74"/>
      <c r="F11" s="75"/>
      <c r="G11" s="76"/>
      <c r="K11" s="301"/>
      <c r="L11" s="302"/>
    </row>
    <row r="12" spans="1:12" ht="14.25" customHeight="1">
      <c r="A12" s="73">
        <v>4</v>
      </c>
      <c r="B12" s="371"/>
      <c r="C12" s="74"/>
      <c r="D12" s="74"/>
      <c r="E12" s="74"/>
      <c r="F12" s="75"/>
      <c r="G12" s="76"/>
    </row>
    <row r="13" spans="1:12" ht="14.25" customHeight="1">
      <c r="A13" s="73">
        <v>5</v>
      </c>
      <c r="B13" s="371"/>
      <c r="C13" s="74"/>
      <c r="D13" s="74"/>
      <c r="E13" s="74"/>
      <c r="F13" s="75"/>
      <c r="G13" s="76"/>
    </row>
    <row r="14" spans="1:12" ht="14.25" customHeight="1">
      <c r="A14" s="73">
        <v>6</v>
      </c>
      <c r="B14" s="77" t="s">
        <v>130</v>
      </c>
      <c r="C14" s="77" t="s">
        <v>131</v>
      </c>
      <c r="D14" s="77" t="s">
        <v>130</v>
      </c>
      <c r="E14" s="74"/>
      <c r="F14" s="75"/>
      <c r="G14" s="76"/>
    </row>
    <row r="15" spans="1:12" ht="14.4" customHeight="1">
      <c r="A15" s="78">
        <v>7</v>
      </c>
      <c r="B15" s="368" t="s">
        <v>132</v>
      </c>
      <c r="C15" s="368"/>
      <c r="D15" s="368"/>
      <c r="E15" s="79">
        <f>ROUND(SUM(E9:E14),2)</f>
        <v>0</v>
      </c>
      <c r="F15" s="80"/>
      <c r="G15" s="81"/>
    </row>
    <row r="16" spans="1:12" ht="14.25" customHeight="1">
      <c r="A16" s="73">
        <v>8</v>
      </c>
      <c r="B16" s="370" t="s">
        <v>133</v>
      </c>
      <c r="C16" s="82"/>
      <c r="D16" s="82"/>
      <c r="E16" s="74"/>
      <c r="F16" s="75"/>
      <c r="G16" s="76"/>
    </row>
    <row r="17" spans="1:8" ht="14.25" customHeight="1">
      <c r="A17" s="73">
        <v>9</v>
      </c>
      <c r="B17" s="371"/>
      <c r="C17" s="82"/>
      <c r="D17" s="82"/>
      <c r="E17" s="74"/>
      <c r="F17" s="75"/>
      <c r="G17" s="76"/>
      <c r="H17" s="83"/>
    </row>
    <row r="18" spans="1:8" ht="14.4" customHeight="1">
      <c r="A18" s="73">
        <v>10</v>
      </c>
      <c r="B18" s="371"/>
      <c r="C18" s="84"/>
      <c r="D18" s="84"/>
      <c r="E18" s="74"/>
      <c r="F18" s="75"/>
      <c r="G18" s="76"/>
    </row>
    <row r="19" spans="1:8" ht="14.25" customHeight="1">
      <c r="A19" s="73">
        <v>11</v>
      </c>
      <c r="B19" s="371"/>
      <c r="C19" s="74"/>
      <c r="D19" s="74"/>
      <c r="E19" s="74"/>
      <c r="F19" s="75"/>
      <c r="G19" s="76"/>
    </row>
    <row r="20" spans="1:8" ht="14.25" customHeight="1">
      <c r="A20" s="73">
        <v>12</v>
      </c>
      <c r="B20" s="371"/>
      <c r="C20" s="74"/>
      <c r="D20" s="74"/>
      <c r="E20" s="74"/>
      <c r="F20" s="75"/>
      <c r="G20" s="76"/>
    </row>
    <row r="21" spans="1:8" ht="14.25" customHeight="1">
      <c r="A21" s="73">
        <v>13</v>
      </c>
      <c r="B21" s="77" t="s">
        <v>130</v>
      </c>
      <c r="C21" s="77" t="s">
        <v>131</v>
      </c>
      <c r="D21" s="77" t="s">
        <v>130</v>
      </c>
      <c r="E21" s="74"/>
      <c r="F21" s="75"/>
      <c r="G21" s="76"/>
    </row>
    <row r="22" spans="1:8" ht="14.4" customHeight="1">
      <c r="A22" s="78">
        <v>14</v>
      </c>
      <c r="B22" s="373" t="s">
        <v>134</v>
      </c>
      <c r="C22" s="373"/>
      <c r="D22" s="373"/>
      <c r="E22" s="79">
        <f>ROUND(SUM(E16:E21),2)</f>
        <v>0</v>
      </c>
      <c r="F22" s="80"/>
      <c r="G22" s="81"/>
    </row>
    <row r="23" spans="1:8" ht="14.25" customHeight="1">
      <c r="A23" s="78">
        <v>15</v>
      </c>
      <c r="B23" s="368" t="s">
        <v>135</v>
      </c>
      <c r="C23" s="368"/>
      <c r="D23" s="368"/>
      <c r="E23" s="85"/>
      <c r="F23" s="86"/>
      <c r="G23" s="81"/>
    </row>
    <row r="24" spans="1:8" ht="14.25" customHeight="1">
      <c r="A24" s="73">
        <v>16</v>
      </c>
      <c r="B24" s="370" t="s">
        <v>136</v>
      </c>
      <c r="C24" s="74" t="s">
        <v>289</v>
      </c>
      <c r="D24" s="304" t="s">
        <v>317</v>
      </c>
      <c r="E24" s="74">
        <v>19022714.399999999</v>
      </c>
      <c r="F24" s="75">
        <v>6.4399999999999999E-2</v>
      </c>
      <c r="G24" s="76"/>
    </row>
    <row r="25" spans="1:8" ht="14.25" customHeight="1">
      <c r="A25" s="73">
        <v>17</v>
      </c>
      <c r="B25" s="371"/>
      <c r="C25" s="74" t="s">
        <v>297</v>
      </c>
      <c r="D25" s="304" t="s">
        <v>317</v>
      </c>
      <c r="E25" s="74">
        <v>3676933.49</v>
      </c>
      <c r="F25" s="75">
        <v>1.24E-2</v>
      </c>
      <c r="G25" s="76"/>
    </row>
    <row r="26" spans="1:8" ht="14.25" customHeight="1">
      <c r="A26" s="73">
        <v>18</v>
      </c>
      <c r="B26" s="371"/>
      <c r="C26" s="74"/>
      <c r="D26" s="74"/>
      <c r="E26" s="74"/>
      <c r="F26" s="75"/>
      <c r="G26" s="76"/>
    </row>
    <row r="27" spans="1:8" ht="14.25" customHeight="1">
      <c r="A27" s="73">
        <v>19</v>
      </c>
      <c r="B27" s="371"/>
      <c r="C27" s="74"/>
      <c r="D27" s="74"/>
      <c r="E27" s="74"/>
      <c r="F27" s="75"/>
      <c r="G27" s="76"/>
    </row>
    <row r="28" spans="1:8" ht="14.25" customHeight="1">
      <c r="A28" s="73">
        <v>20</v>
      </c>
      <c r="B28" s="371"/>
      <c r="C28" s="74"/>
      <c r="D28" s="74"/>
      <c r="E28" s="74"/>
      <c r="F28" s="75"/>
      <c r="G28" s="76"/>
    </row>
    <row r="29" spans="1:8" ht="14.25" customHeight="1">
      <c r="A29" s="73">
        <v>21</v>
      </c>
      <c r="B29" s="77" t="s">
        <v>130</v>
      </c>
      <c r="C29" s="77" t="s">
        <v>131</v>
      </c>
      <c r="D29" s="77" t="s">
        <v>130</v>
      </c>
      <c r="E29" s="74"/>
      <c r="F29" s="75"/>
      <c r="G29" s="76"/>
    </row>
    <row r="30" spans="1:8" ht="14.25" customHeight="1">
      <c r="A30" s="87">
        <v>22</v>
      </c>
      <c r="B30" s="368" t="s">
        <v>137</v>
      </c>
      <c r="C30" s="368"/>
      <c r="D30" s="368"/>
      <c r="E30" s="88">
        <f>ROUND(SUM(E24:E29),2)</f>
        <v>22699647.890000001</v>
      </c>
      <c r="F30" s="89"/>
      <c r="G30" s="90"/>
    </row>
    <row r="31" spans="1:8" ht="14.25" customHeight="1">
      <c r="A31" s="73">
        <v>23</v>
      </c>
      <c r="B31" s="370" t="s">
        <v>138</v>
      </c>
      <c r="C31" s="84"/>
      <c r="D31" s="84"/>
      <c r="E31" s="74"/>
      <c r="F31" s="75"/>
      <c r="G31" s="76"/>
    </row>
    <row r="32" spans="1:8" ht="14.25" customHeight="1">
      <c r="A32" s="73">
        <v>24</v>
      </c>
      <c r="B32" s="371"/>
      <c r="C32" s="74"/>
      <c r="D32" s="74"/>
      <c r="E32" s="74"/>
      <c r="F32" s="75"/>
      <c r="G32" s="76"/>
    </row>
    <row r="33" spans="1:7" ht="14.25" customHeight="1">
      <c r="A33" s="73">
        <v>25</v>
      </c>
      <c r="B33" s="371"/>
      <c r="C33" s="74"/>
      <c r="D33" s="74"/>
      <c r="E33" s="74"/>
      <c r="F33" s="75"/>
      <c r="G33" s="76"/>
    </row>
    <row r="34" spans="1:7" ht="14.25" customHeight="1">
      <c r="A34" s="73">
        <v>26</v>
      </c>
      <c r="B34" s="371"/>
      <c r="C34" s="74"/>
      <c r="D34" s="74"/>
      <c r="E34" s="74"/>
      <c r="F34" s="75"/>
      <c r="G34" s="76"/>
    </row>
    <row r="35" spans="1:7" ht="14.25" customHeight="1">
      <c r="A35" s="73">
        <v>27</v>
      </c>
      <c r="B35" s="371"/>
      <c r="C35" s="74"/>
      <c r="D35" s="74"/>
      <c r="E35" s="74"/>
      <c r="F35" s="75"/>
      <c r="G35" s="76"/>
    </row>
    <row r="36" spans="1:7" ht="14.25" customHeight="1">
      <c r="A36" s="73">
        <v>28</v>
      </c>
      <c r="B36" s="77" t="s">
        <v>130</v>
      </c>
      <c r="C36" s="77" t="s">
        <v>131</v>
      </c>
      <c r="D36" s="77" t="s">
        <v>130</v>
      </c>
      <c r="E36" s="74"/>
      <c r="F36" s="75"/>
      <c r="G36" s="76"/>
    </row>
    <row r="37" spans="1:7" ht="14.25" customHeight="1">
      <c r="A37" s="91">
        <v>29</v>
      </c>
      <c r="B37" s="365" t="s">
        <v>139</v>
      </c>
      <c r="C37" s="366"/>
      <c r="D37" s="367"/>
      <c r="E37" s="79">
        <f>ROUND(SUM(E31:E36),2)</f>
        <v>0</v>
      </c>
      <c r="F37" s="80"/>
      <c r="G37" s="81"/>
    </row>
    <row r="38" spans="1:7">
      <c r="A38" s="78">
        <v>30</v>
      </c>
      <c r="B38" s="368" t="s">
        <v>140</v>
      </c>
      <c r="C38" s="368"/>
      <c r="D38" s="368"/>
      <c r="E38" s="85"/>
      <c r="F38" s="86"/>
      <c r="G38" s="81"/>
    </row>
  </sheetData>
  <mergeCells count="18">
    <mergeCell ref="A5:F5"/>
    <mergeCell ref="B15:D15"/>
    <mergeCell ref="B22:D22"/>
    <mergeCell ref="B23:D23"/>
    <mergeCell ref="B30:D30"/>
    <mergeCell ref="E6:E7"/>
    <mergeCell ref="F6:F7"/>
    <mergeCell ref="G6:G7"/>
    <mergeCell ref="B37:D37"/>
    <mergeCell ref="B38:D38"/>
    <mergeCell ref="A6:A8"/>
    <mergeCell ref="B6:B7"/>
    <mergeCell ref="B9:B13"/>
    <mergeCell ref="B16:B20"/>
    <mergeCell ref="B24:B28"/>
    <mergeCell ref="B31:B35"/>
    <mergeCell ref="C6:C7"/>
    <mergeCell ref="D6:D7"/>
  </mergeCells>
  <phoneticPr fontId="91" type="noConversion"/>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18C1D-9E60-4469-95F6-7BC63C5FBA12}">
  <dimension ref="A1:D6"/>
  <sheetViews>
    <sheetView workbookViewId="0">
      <selection activeCell="D1" sqref="D1"/>
    </sheetView>
  </sheetViews>
  <sheetFormatPr defaultRowHeight="15"/>
  <cols>
    <col min="1" max="1" width="13.6640625" bestFit="1" customWidth="1"/>
    <col min="3" max="3" width="11.5" bestFit="1" customWidth="1"/>
  </cols>
  <sheetData>
    <row r="1" spans="1:4">
      <c r="A1" t="s">
        <v>206</v>
      </c>
      <c r="B1" t="s">
        <v>207</v>
      </c>
      <c r="C1" t="s">
        <v>208</v>
      </c>
      <c r="D1" t="s">
        <v>209</v>
      </c>
    </row>
    <row r="2" spans="1:4">
      <c r="D2" t="s">
        <v>210</v>
      </c>
    </row>
    <row r="3" spans="1:4">
      <c r="A3" t="s">
        <v>211</v>
      </c>
      <c r="B3" t="s">
        <v>212</v>
      </c>
      <c r="C3" t="s">
        <v>213</v>
      </c>
      <c r="D3" t="s">
        <v>214</v>
      </c>
    </row>
    <row r="4" spans="1:4">
      <c r="A4" t="s">
        <v>215</v>
      </c>
      <c r="B4" t="s">
        <v>212</v>
      </c>
      <c r="C4" t="s">
        <v>213</v>
      </c>
      <c r="D4" t="s">
        <v>214</v>
      </c>
    </row>
    <row r="5" spans="1:4">
      <c r="A5" t="s">
        <v>216</v>
      </c>
      <c r="B5" t="s">
        <v>217</v>
      </c>
      <c r="C5" t="s">
        <v>213</v>
      </c>
      <c r="D5" t="s">
        <v>214</v>
      </c>
    </row>
    <row r="6" spans="1:4">
      <c r="A6" s="289" t="s">
        <v>306</v>
      </c>
    </row>
  </sheetData>
  <phoneticPr fontId="91"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07F01-4B36-4DD2-8B26-84516E697D96}">
  <dimension ref="A1:B5"/>
  <sheetViews>
    <sheetView workbookViewId="0">
      <selection activeCell="M9" sqref="M9"/>
    </sheetView>
  </sheetViews>
  <sheetFormatPr defaultRowHeight="15"/>
  <sheetData>
    <row r="1" spans="1:2">
      <c r="A1" t="s">
        <v>218</v>
      </c>
      <c r="B1" t="s">
        <v>219</v>
      </c>
    </row>
    <row r="4" spans="1:2">
      <c r="A4" t="s">
        <v>205</v>
      </c>
    </row>
    <row r="5" spans="1:2">
      <c r="A5" s="289" t="s">
        <v>306</v>
      </c>
    </row>
  </sheetData>
  <phoneticPr fontId="91"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E291D-D26D-41CE-A5D9-830D886790F4}">
  <sheetPr>
    <tabColor rgb="FFFFFF00"/>
  </sheetPr>
  <dimension ref="A1:I4"/>
  <sheetViews>
    <sheetView workbookViewId="0">
      <selection activeCell="G15" sqref="G15"/>
    </sheetView>
  </sheetViews>
  <sheetFormatPr defaultRowHeight="15"/>
  <cols>
    <col min="2" max="2" width="24.58203125" bestFit="1" customWidth="1"/>
  </cols>
  <sheetData>
    <row r="1" spans="1:9">
      <c r="A1" t="s">
        <v>233</v>
      </c>
      <c r="B1" t="s">
        <v>234</v>
      </c>
      <c r="C1" t="s">
        <v>235</v>
      </c>
      <c r="D1" t="s">
        <v>236</v>
      </c>
      <c r="E1" t="s">
        <v>236</v>
      </c>
      <c r="F1" t="s">
        <v>239</v>
      </c>
      <c r="G1" t="s">
        <v>240</v>
      </c>
      <c r="H1" t="s">
        <v>241</v>
      </c>
      <c r="I1" t="s">
        <v>241</v>
      </c>
    </row>
    <row r="2" spans="1:9">
      <c r="D2" t="s">
        <v>237</v>
      </c>
      <c r="E2" t="s">
        <v>238</v>
      </c>
      <c r="H2" t="s">
        <v>237</v>
      </c>
      <c r="I2" t="s">
        <v>238</v>
      </c>
    </row>
    <row r="3" spans="1:9">
      <c r="B3" t="s">
        <v>242</v>
      </c>
    </row>
    <row r="4" spans="1:9">
      <c r="A4" s="289" t="s">
        <v>306</v>
      </c>
    </row>
  </sheetData>
  <phoneticPr fontId="91"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B95EF-E9AE-4687-8BF7-D209091935D6}">
  <dimension ref="A1:C11"/>
  <sheetViews>
    <sheetView workbookViewId="0">
      <selection activeCell="M18" sqref="M18"/>
    </sheetView>
  </sheetViews>
  <sheetFormatPr defaultRowHeight="15"/>
  <sheetData>
    <row r="1" spans="1:3">
      <c r="A1" t="s">
        <v>220</v>
      </c>
      <c r="B1" t="s">
        <v>221</v>
      </c>
      <c r="C1" t="s">
        <v>222</v>
      </c>
    </row>
    <row r="2" spans="1:3">
      <c r="A2" t="s">
        <v>223</v>
      </c>
    </row>
    <row r="3" spans="1:3">
      <c r="A3" t="s">
        <v>224</v>
      </c>
    </row>
    <row r="4" spans="1:3">
      <c r="A4" t="s">
        <v>225</v>
      </c>
    </row>
    <row r="5" spans="1:3">
      <c r="A5" t="s">
        <v>226</v>
      </c>
    </row>
    <row r="6" spans="1:3">
      <c r="A6" t="s">
        <v>227</v>
      </c>
    </row>
    <row r="7" spans="1:3">
      <c r="A7" t="s">
        <v>228</v>
      </c>
    </row>
    <row r="8" spans="1:3">
      <c r="A8" t="s">
        <v>229</v>
      </c>
    </row>
    <row r="9" spans="1:3">
      <c r="A9" t="s">
        <v>230</v>
      </c>
    </row>
    <row r="10" spans="1:3">
      <c r="A10" t="s">
        <v>205</v>
      </c>
    </row>
    <row r="11" spans="1:3">
      <c r="B11" s="289" t="s">
        <v>318</v>
      </c>
    </row>
  </sheetData>
  <phoneticPr fontId="91"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358E7-3D7B-4F67-ACF5-2D3A9799B3A8}">
  <dimension ref="A1:D5"/>
  <sheetViews>
    <sheetView workbookViewId="0">
      <selection activeCell="B2" sqref="B2"/>
    </sheetView>
  </sheetViews>
  <sheetFormatPr defaultRowHeight="15"/>
  <cols>
    <col min="3" max="3" width="23.5" bestFit="1" customWidth="1"/>
  </cols>
  <sheetData>
    <row r="1" spans="1:4">
      <c r="A1" t="s">
        <v>231</v>
      </c>
      <c r="B1" t="s">
        <v>232</v>
      </c>
      <c r="C1" t="s">
        <v>209</v>
      </c>
      <c r="D1" t="s">
        <v>218</v>
      </c>
    </row>
    <row r="2" spans="1:4">
      <c r="A2">
        <v>1</v>
      </c>
    </row>
    <row r="3" spans="1:4">
      <c r="A3">
        <v>2</v>
      </c>
    </row>
    <row r="4" spans="1:4">
      <c r="A4">
        <v>3</v>
      </c>
    </row>
    <row r="5" spans="1:4">
      <c r="B5" s="289" t="s">
        <v>306</v>
      </c>
    </row>
  </sheetData>
  <phoneticPr fontId="91"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K64"/>
  <sheetViews>
    <sheetView zoomScale="90" zoomScaleNormal="90" workbookViewId="0">
      <selection activeCell="C15" sqref="C15"/>
    </sheetView>
  </sheetViews>
  <sheetFormatPr defaultColWidth="8.1640625" defaultRowHeight="14"/>
  <cols>
    <col min="1" max="1" width="18.4140625" style="1" customWidth="1"/>
    <col min="2" max="2" width="33.6640625" style="1" customWidth="1"/>
    <col min="3" max="3" width="32.33203125" style="1" customWidth="1"/>
    <col min="4" max="6" width="15.6640625" style="1" customWidth="1"/>
    <col min="7" max="10" width="19.33203125" style="1" customWidth="1"/>
    <col min="11" max="11" width="15.33203125" style="1" customWidth="1"/>
    <col min="12" max="16384" width="8.1640625" style="1"/>
  </cols>
  <sheetData>
    <row r="1" spans="1:11" ht="16" customHeight="1"/>
    <row r="2" spans="1:11" ht="15" customHeight="1">
      <c r="A2" s="385" t="s">
        <v>141</v>
      </c>
      <c r="B2" s="388" t="s">
        <v>142</v>
      </c>
      <c r="C2" s="2" t="s">
        <v>143</v>
      </c>
      <c r="D2" s="376"/>
      <c r="E2" s="377"/>
      <c r="F2" s="378"/>
      <c r="G2" s="379"/>
      <c r="H2" s="380"/>
      <c r="I2" s="381"/>
      <c r="J2" s="54"/>
      <c r="K2" s="374"/>
    </row>
    <row r="3" spans="1:11">
      <c r="A3" s="386"/>
      <c r="B3" s="389"/>
      <c r="C3" s="3">
        <v>2023</v>
      </c>
      <c r="D3" s="3"/>
      <c r="E3" s="3"/>
      <c r="F3" s="3"/>
      <c r="G3" s="4"/>
      <c r="H3" s="4"/>
      <c r="I3" s="4"/>
      <c r="J3" s="4"/>
      <c r="K3" s="375"/>
    </row>
    <row r="4" spans="1:11" ht="15.65" customHeight="1">
      <c r="A4" s="5" t="s">
        <v>144</v>
      </c>
      <c r="B4" s="6" t="s">
        <v>145</v>
      </c>
      <c r="C4" s="7">
        <v>273356327.69999999</v>
      </c>
      <c r="D4" s="8"/>
      <c r="E4" s="8"/>
      <c r="F4" s="8"/>
      <c r="G4" s="8"/>
      <c r="H4" s="8"/>
      <c r="I4" s="8"/>
      <c r="J4" s="8"/>
      <c r="K4" s="55"/>
    </row>
    <row r="5" spans="1:11" ht="16.5">
      <c r="A5" s="9" t="s">
        <v>146</v>
      </c>
      <c r="B5" s="6" t="s">
        <v>147</v>
      </c>
      <c r="C5" s="7">
        <v>243696017.19999999</v>
      </c>
      <c r="D5" s="8"/>
      <c r="E5" s="8"/>
      <c r="F5" s="8"/>
      <c r="G5" s="8"/>
      <c r="H5" s="8"/>
      <c r="I5" s="8"/>
      <c r="J5" s="8"/>
      <c r="K5" s="55"/>
    </row>
    <row r="6" spans="1:11" ht="16.5">
      <c r="A6" s="10" t="s">
        <v>148</v>
      </c>
      <c r="B6" s="6" t="s">
        <v>149</v>
      </c>
      <c r="C6" s="7">
        <v>98278.1</v>
      </c>
      <c r="D6" s="8"/>
      <c r="E6" s="8"/>
      <c r="F6" s="8"/>
      <c r="G6" s="8"/>
      <c r="H6" s="8"/>
      <c r="I6" s="8"/>
      <c r="J6" s="8"/>
      <c r="K6" s="55"/>
    </row>
    <row r="7" spans="1:11" ht="16.5">
      <c r="A7" s="5" t="s">
        <v>150</v>
      </c>
      <c r="B7" s="6" t="s">
        <v>151</v>
      </c>
      <c r="C7" s="7">
        <f>C4-C5-C6</f>
        <v>29562032.399999999</v>
      </c>
      <c r="D7" s="8"/>
      <c r="E7" s="8"/>
      <c r="F7" s="8"/>
      <c r="G7" s="8"/>
      <c r="H7" s="8"/>
      <c r="I7" s="8"/>
      <c r="J7" s="8"/>
      <c r="K7" s="56"/>
    </row>
    <row r="8" spans="1:11" ht="15.65" customHeight="1">
      <c r="A8" s="9" t="s">
        <v>152</v>
      </c>
      <c r="B8" s="6" t="s">
        <v>153</v>
      </c>
      <c r="C8" s="7">
        <v>562576.46</v>
      </c>
      <c r="D8" s="8"/>
      <c r="E8" s="8"/>
      <c r="F8" s="8"/>
      <c r="G8" s="8"/>
      <c r="H8" s="8"/>
      <c r="I8" s="8"/>
      <c r="J8" s="8"/>
      <c r="K8" s="55"/>
    </row>
    <row r="9" spans="1:11" ht="16.5">
      <c r="A9" s="10" t="s">
        <v>154</v>
      </c>
      <c r="B9" s="6" t="s">
        <v>155</v>
      </c>
      <c r="C9" s="7">
        <v>15362250.310000001</v>
      </c>
      <c r="D9" s="8"/>
      <c r="E9" s="8"/>
      <c r="F9" s="8"/>
      <c r="G9" s="8"/>
      <c r="H9" s="8"/>
      <c r="I9" s="8"/>
      <c r="J9" s="8"/>
      <c r="K9" s="55"/>
    </row>
    <row r="10" spans="1:11" ht="16.5">
      <c r="A10" s="9" t="s">
        <v>156</v>
      </c>
      <c r="B10" s="11" t="s">
        <v>157</v>
      </c>
      <c r="C10" s="7">
        <f>C4-C5-C6-C8-C9</f>
        <v>13637205.629999997</v>
      </c>
      <c r="D10" s="8"/>
      <c r="E10" s="8"/>
      <c r="F10" s="8"/>
      <c r="G10" s="8"/>
      <c r="H10" s="8"/>
      <c r="I10" s="8"/>
      <c r="J10" s="8"/>
      <c r="K10" s="55"/>
    </row>
    <row r="11" spans="1:11" ht="16.5">
      <c r="A11" s="9" t="s">
        <v>158</v>
      </c>
      <c r="B11" s="11" t="s">
        <v>159</v>
      </c>
      <c r="C11" s="12">
        <f>C5+C6+C8+C9</f>
        <v>259719122.06999999</v>
      </c>
      <c r="D11" s="8"/>
      <c r="E11" s="8"/>
      <c r="F11" s="8"/>
      <c r="G11" s="8"/>
      <c r="H11" s="8"/>
      <c r="I11" s="8"/>
      <c r="J11" s="8"/>
      <c r="K11" s="55"/>
    </row>
    <row r="12" spans="1:11" ht="17" thickBot="1">
      <c r="A12" s="13" t="s">
        <v>160</v>
      </c>
      <c r="B12" s="14" t="s">
        <v>161</v>
      </c>
      <c r="C12" s="15">
        <f>C10/C11</f>
        <v>5.2507514738650903E-2</v>
      </c>
      <c r="D12" s="16"/>
      <c r="E12" s="16"/>
      <c r="F12" s="17"/>
      <c r="G12" s="16"/>
      <c r="H12" s="16"/>
      <c r="I12" s="57"/>
      <c r="J12" s="16"/>
      <c r="K12" s="58"/>
    </row>
    <row r="14" spans="1:11">
      <c r="H14" s="18"/>
      <c r="I14" s="18"/>
    </row>
    <row r="15" spans="1:11">
      <c r="H15" s="19"/>
      <c r="I15" s="19"/>
    </row>
    <row r="16" spans="1:11">
      <c r="A16" s="20" t="s">
        <v>162</v>
      </c>
      <c r="H16" s="19"/>
      <c r="I16" s="59"/>
    </row>
    <row r="17" spans="1:9">
      <c r="H17" s="19"/>
      <c r="I17" s="19"/>
    </row>
    <row r="18" spans="1:9">
      <c r="A18" s="334" t="s">
        <v>109</v>
      </c>
      <c r="B18" s="21">
        <v>1</v>
      </c>
      <c r="C18" s="22"/>
      <c r="D18" s="23"/>
      <c r="E18" s="24"/>
      <c r="H18" s="19"/>
      <c r="I18" s="19"/>
    </row>
    <row r="19" spans="1:9">
      <c r="A19" s="335"/>
      <c r="B19" s="21">
        <v>2</v>
      </c>
      <c r="C19" s="22"/>
      <c r="D19" s="23"/>
      <c r="E19" s="24"/>
      <c r="H19" s="19"/>
      <c r="I19" s="19"/>
    </row>
    <row r="20" spans="1:9">
      <c r="A20" s="335"/>
      <c r="B20" s="21">
        <v>3</v>
      </c>
      <c r="C20" s="22"/>
      <c r="D20" s="23"/>
      <c r="E20" s="25"/>
    </row>
    <row r="21" spans="1:9">
      <c r="A21" s="335"/>
      <c r="B21" s="21">
        <v>4</v>
      </c>
      <c r="C21" s="26"/>
      <c r="D21" s="27"/>
      <c r="E21" s="25"/>
    </row>
    <row r="22" spans="1:9">
      <c r="A22" s="335"/>
      <c r="B22" s="21">
        <v>5</v>
      </c>
      <c r="C22" s="26"/>
      <c r="D22" s="27"/>
      <c r="E22" s="25"/>
    </row>
    <row r="23" spans="1:9">
      <c r="A23" s="335"/>
      <c r="B23" s="28" t="s">
        <v>89</v>
      </c>
      <c r="C23" s="26"/>
      <c r="D23" s="27"/>
      <c r="E23" s="25"/>
    </row>
    <row r="24" spans="1:9">
      <c r="A24" s="336"/>
      <c r="B24" s="29" t="s">
        <v>110</v>
      </c>
      <c r="C24" s="30"/>
      <c r="D24" s="31"/>
      <c r="E24" s="32">
        <f>SUBTOTAL(9,E18:E23)</f>
        <v>0</v>
      </c>
    </row>
    <row r="25" spans="1:9">
      <c r="A25" s="334" t="s">
        <v>111</v>
      </c>
      <c r="B25" s="21">
        <v>1</v>
      </c>
      <c r="C25" s="26"/>
      <c r="D25" s="23"/>
      <c r="E25" s="25"/>
    </row>
    <row r="26" spans="1:9">
      <c r="A26" s="335"/>
      <c r="B26" s="21">
        <v>2</v>
      </c>
      <c r="C26" s="22"/>
      <c r="D26" s="23"/>
      <c r="E26" s="24"/>
    </row>
    <row r="27" spans="1:9">
      <c r="A27" s="335"/>
      <c r="B27" s="21">
        <v>3</v>
      </c>
      <c r="C27" s="26"/>
      <c r="D27" s="27"/>
      <c r="E27" s="25"/>
    </row>
    <row r="28" spans="1:9">
      <c r="A28" s="335"/>
      <c r="B28" s="21">
        <v>4</v>
      </c>
      <c r="C28" s="26"/>
      <c r="D28" s="27"/>
      <c r="E28" s="25"/>
    </row>
    <row r="29" spans="1:9">
      <c r="A29" s="335"/>
      <c r="B29" s="21">
        <v>5</v>
      </c>
      <c r="C29" s="26"/>
      <c r="D29" s="27"/>
      <c r="E29" s="25"/>
    </row>
    <row r="30" spans="1:9">
      <c r="A30" s="335"/>
      <c r="B30" s="28" t="s">
        <v>89</v>
      </c>
      <c r="C30" s="26"/>
      <c r="D30" s="27"/>
      <c r="E30" s="25"/>
    </row>
    <row r="31" spans="1:9">
      <c r="A31" s="336"/>
      <c r="B31" s="33" t="s">
        <v>112</v>
      </c>
      <c r="C31" s="34"/>
      <c r="D31" s="31"/>
      <c r="E31" s="32">
        <f>SUBTOTAL(9,E25:E30)</f>
        <v>0</v>
      </c>
    </row>
    <row r="47" spans="1:4">
      <c r="A47" s="387" t="s">
        <v>123</v>
      </c>
      <c r="B47" s="35" t="s">
        <v>163</v>
      </c>
      <c r="C47" s="35" t="s">
        <v>164</v>
      </c>
      <c r="D47" s="36" t="s">
        <v>165</v>
      </c>
    </row>
    <row r="48" spans="1:4">
      <c r="A48" s="387"/>
      <c r="B48" s="37" t="s">
        <v>166</v>
      </c>
      <c r="C48" s="37" t="s">
        <v>167</v>
      </c>
      <c r="D48" s="38" t="s">
        <v>168</v>
      </c>
    </row>
    <row r="49" spans="1:5">
      <c r="A49" s="39" t="s">
        <v>169</v>
      </c>
      <c r="B49" s="40"/>
      <c r="C49" s="41"/>
      <c r="D49" s="40"/>
    </row>
    <row r="50" spans="1:5">
      <c r="A50" s="39" t="s">
        <v>170</v>
      </c>
      <c r="B50" s="40"/>
      <c r="C50" s="40"/>
      <c r="D50" s="40"/>
    </row>
    <row r="51" spans="1:5">
      <c r="A51" s="42" t="s">
        <v>171</v>
      </c>
      <c r="B51" s="43">
        <f>SUM(B49:B50)</f>
        <v>0</v>
      </c>
      <c r="C51" s="43"/>
      <c r="D51" s="40"/>
      <c r="E51" s="44"/>
    </row>
    <row r="52" spans="1:5">
      <c r="E52" s="44"/>
    </row>
    <row r="53" spans="1:5">
      <c r="E53" s="44"/>
    </row>
    <row r="56" spans="1:5" ht="28.5">
      <c r="A56" s="382" t="s">
        <v>124</v>
      </c>
      <c r="B56" s="382"/>
      <c r="C56" s="45" t="s">
        <v>126</v>
      </c>
      <c r="D56" s="45" t="s">
        <v>172</v>
      </c>
    </row>
    <row r="57" spans="1:5">
      <c r="A57" s="46" t="s">
        <v>173</v>
      </c>
      <c r="B57" s="47"/>
      <c r="C57" s="48"/>
      <c r="D57" s="49"/>
    </row>
    <row r="58" spans="1:5">
      <c r="A58" s="46" t="s">
        <v>174</v>
      </c>
      <c r="B58" s="47"/>
      <c r="C58" s="48"/>
      <c r="D58" s="49"/>
    </row>
    <row r="59" spans="1:5">
      <c r="A59" s="383" t="s">
        <v>175</v>
      </c>
      <c r="B59" s="383"/>
      <c r="C59" s="50"/>
      <c r="D59" s="49"/>
    </row>
    <row r="60" spans="1:5">
      <c r="A60" s="46" t="s">
        <v>173</v>
      </c>
      <c r="B60" s="47"/>
      <c r="C60" s="48"/>
      <c r="D60" s="49"/>
    </row>
    <row r="61" spans="1:5">
      <c r="A61" s="46" t="s">
        <v>176</v>
      </c>
      <c r="B61" s="47"/>
      <c r="C61" s="48"/>
      <c r="D61" s="49"/>
    </row>
    <row r="62" spans="1:5" ht="15">
      <c r="A62" s="51"/>
      <c r="B62" s="52"/>
      <c r="C62" s="53"/>
      <c r="D62" s="49"/>
    </row>
    <row r="63" spans="1:5">
      <c r="A63" s="384" t="s">
        <v>177</v>
      </c>
      <c r="B63" s="384"/>
      <c r="C63" s="50"/>
      <c r="D63" s="49"/>
    </row>
    <row r="64" spans="1:5">
      <c r="C64" s="44"/>
    </row>
  </sheetData>
  <mergeCells count="11">
    <mergeCell ref="A63:B63"/>
    <mergeCell ref="A2:A3"/>
    <mergeCell ref="A18:A24"/>
    <mergeCell ref="A25:A31"/>
    <mergeCell ref="A47:A48"/>
    <mergeCell ref="B2:B3"/>
    <mergeCell ref="K2:K3"/>
    <mergeCell ref="D2:F2"/>
    <mergeCell ref="G2:I2"/>
    <mergeCell ref="A56:B56"/>
    <mergeCell ref="A59:B59"/>
  </mergeCells>
  <phoneticPr fontId="91" type="noConversion"/>
  <pageMargins left="0.7" right="0.7" top="0.75" bottom="0.75" header="0.3" footer="0.3"/>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B925F-113F-4D63-BD67-1409B50BB73B}">
  <dimension ref="A1"/>
  <sheetViews>
    <sheetView workbookViewId="0">
      <selection activeCell="L25" sqref="L25"/>
    </sheetView>
  </sheetViews>
  <sheetFormatPr defaultRowHeight="15"/>
  <sheetData/>
  <phoneticPr fontId="9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23</vt:i4>
      </vt:variant>
      <vt:variant>
        <vt:lpstr>命名范围</vt:lpstr>
      </vt:variant>
      <vt:variant>
        <vt:i4>8</vt:i4>
      </vt:variant>
    </vt:vector>
  </HeadingPairs>
  <TitlesOfParts>
    <vt:vector size="31" baseType="lpstr">
      <vt:lpstr>数据表</vt:lpstr>
      <vt:lpstr>集团背景情况</vt:lpstr>
      <vt:lpstr>公司经营背景资料</vt:lpstr>
      <vt:lpstr>主要产品</vt:lpstr>
      <vt:lpstr>行业情况</vt:lpstr>
      <vt:lpstr>被测关联交易</vt:lpstr>
      <vt:lpstr>资料清单</vt:lpstr>
      <vt:lpstr>1 组织结构及管理架构</vt:lpstr>
      <vt:lpstr>2 关联公司信息</vt:lpstr>
      <vt:lpstr>关联方个人信息</vt:lpstr>
      <vt:lpstr>关联关系变化情况</vt:lpstr>
      <vt:lpstr>3 分部财务数据</vt:lpstr>
      <vt:lpstr>关联交易汇总表</vt:lpstr>
      <vt:lpstr>4 供应商清单</vt:lpstr>
      <vt:lpstr>5 客户清单</vt:lpstr>
      <vt:lpstr>6 劳务交易表</vt:lpstr>
      <vt:lpstr>劳务成本归集</vt:lpstr>
      <vt:lpstr>资金融通</vt:lpstr>
      <vt:lpstr>公司间资金融通交易总结</vt:lpstr>
      <vt:lpstr>有形资产信息</vt:lpstr>
      <vt:lpstr>功能风险汇总表</vt:lpstr>
      <vt:lpstr>PL</vt:lpstr>
      <vt:lpstr>PL含特殊因素调整</vt:lpstr>
      <vt:lpstr>行业情况!_Toc106357774</vt:lpstr>
      <vt:lpstr>'1 组织结构及管理架构'!Print_Area</vt:lpstr>
      <vt:lpstr>'2 关联公司信息'!Print_Area</vt:lpstr>
      <vt:lpstr>'3 分部财务数据'!Print_Area</vt:lpstr>
      <vt:lpstr>'4 供应商清单'!Print_Area</vt:lpstr>
      <vt:lpstr>'5 客户清单'!Print_Area</vt:lpstr>
      <vt:lpstr>资料清单!Print_Area</vt:lpstr>
      <vt:lpstr>资料清单!Print_Titles</vt:lpstr>
    </vt:vector>
  </TitlesOfParts>
  <Company>Lenovo (Beijing) Limited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自豪 满</cp:lastModifiedBy>
  <cp:lastPrinted>2017-02-14T09:03:00Z</cp:lastPrinted>
  <dcterms:created xsi:type="dcterms:W3CDTF">2007-01-15T05:25:00Z</dcterms:created>
  <dcterms:modified xsi:type="dcterms:W3CDTF">2025-04-14T05:34:54Z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2052-12.8.2.15284</vt:lpwstr>
  </property>
  <property fmtid="{D5CDD505-2E9C-101B-9397-08002B2CF9AE}" pid="3" name="ICV">
    <vt:lpwstr>663C052AE83B4D4990C899020A981C3B_13</vt:lpwstr>
  </property>
</Properties>
</file>