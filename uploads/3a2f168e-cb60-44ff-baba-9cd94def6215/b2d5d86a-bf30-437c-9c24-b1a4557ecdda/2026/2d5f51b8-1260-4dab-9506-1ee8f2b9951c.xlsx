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823" activeTab="6"/>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关联公司信息'!$A$1:$J$18</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<sst xmlns="http://schemas.openxmlformats.org/spreadsheetml/2006/main" count="361" uniqueCount="282">
  <si>
    <t>企业名称</t>
  </si>
  <si>
    <t>年度</t>
  </si>
  <si>
    <t>事务所名称</t>
  </si>
  <si>
    <t>事务所简称</t>
  </si>
  <si>
    <t>企业简称</t>
  </si>
  <si>
    <t>母公司全称</t>
  </si>
  <si>
    <t>集团情况描述</t>
  </si>
  <si>
    <t>公司经营背景资料</t>
  </si>
  <si>
    <t>使用kimi生成约500字的集团介绍</t>
  </si>
  <si>
    <t>根据企业访谈进行整理。</t>
  </si>
  <si>
    <t>产品</t>
  </si>
  <si>
    <t>销售额（万元）</t>
  </si>
  <si>
    <t>占比 (%)</t>
  </si>
  <si>
    <t>产品A</t>
  </si>
  <si>
    <t>产品B</t>
  </si>
  <si>
    <t>产品C</t>
  </si>
  <si>
    <t>3.1. 全球行业情况</t>
  </si>
  <si>
    <t>kimi自动生成2000字</t>
  </si>
  <si>
    <t>3.2. 中国行业情况</t>
  </si>
  <si>
    <t>3.3. 行业竞争情况</t>
  </si>
  <si>
    <t>3.4. 行业政策情况及未来趋势</t>
  </si>
  <si>
    <t>3.5. 小结</t>
  </si>
  <si>
    <t>kimi生成500字总结</t>
  </si>
  <si>
    <t>被测关联交易利润水平</t>
  </si>
  <si>
    <t>【年度】年度转让定价同期资料准备所需基础资料和文件清单</t>
  </si>
  <si>
    <r>
      <rPr>
        <sz val="11"/>
        <color theme="1"/>
        <rFont val="宋体"/>
        <charset val="134"/>
      </rPr>
      <t>敬请注意，该</t>
    </r>
    <r>
      <rPr>
        <sz val="11"/>
        <color theme="1"/>
        <rFont val="宋体"/>
        <charset val="134"/>
      </rPr>
      <t>“</t>
    </r>
    <r>
      <rPr>
        <sz val="11"/>
        <color theme="1"/>
        <rFont val="宋体"/>
        <charset val="134"/>
      </rPr>
      <t>提供资料清单</t>
    </r>
    <r>
      <rPr>
        <sz val="11"/>
        <color theme="1"/>
        <rFont val="宋体"/>
        <charset val="134"/>
      </rPr>
      <t>”</t>
    </r>
    <r>
      <rPr>
        <sz val="11"/>
        <color theme="1"/>
        <rFont val="宋体"/>
        <charset val="134"/>
      </rPr>
      <t>只适用于【企业名称】（以下简称</t>
    </r>
    <r>
      <rPr>
        <sz val="11"/>
        <color theme="1"/>
        <rFont val="宋体"/>
        <charset val="134"/>
      </rPr>
      <t>“</t>
    </r>
    <r>
      <rPr>
        <sz val="11"/>
        <color theme="1"/>
        <rFont val="宋体"/>
        <charset val="134"/>
      </rPr>
      <t>公司简称</t>
    </r>
    <r>
      <rPr>
        <sz val="11"/>
        <color theme="1"/>
        <rFont val="宋体"/>
        <charset val="134"/>
      </rPr>
      <t>”</t>
    </r>
    <r>
      <rPr>
        <sz val="11"/>
        <color theme="1"/>
        <rFont val="宋体"/>
        <charset val="134"/>
      </rPr>
      <t>）。贵公司需要提供截至【年度】会计年度</t>
    </r>
    <r>
      <rPr>
        <sz val="11"/>
        <color theme="1"/>
        <rFont val="Times New Roman"/>
        <charset val="134"/>
      </rPr>
      <t>12</t>
    </r>
    <r>
      <rPr>
        <sz val="11"/>
        <color theme="1"/>
        <rFont val="宋体"/>
        <charset val="134"/>
      </rPr>
      <t>月</t>
    </r>
    <r>
      <rPr>
        <sz val="11"/>
        <color theme="1"/>
        <rFont val="Times New Roman"/>
        <charset val="134"/>
      </rPr>
      <t>31</t>
    </r>
    <r>
      <rPr>
        <sz val="11"/>
        <color theme="1"/>
        <rFont val="宋体"/>
        <charset val="134"/>
      </rPr>
      <t>日（以下简称</t>
    </r>
    <r>
      <rPr>
        <sz val="11"/>
        <color theme="1"/>
        <rFont val="宋体"/>
        <charset val="134"/>
      </rPr>
      <t>“</t>
    </r>
    <r>
      <rPr>
        <sz val="11"/>
        <color theme="1"/>
        <rFont val="宋体"/>
        <charset val="134"/>
      </rPr>
      <t>【年度】年度</t>
    </r>
    <r>
      <rPr>
        <sz val="11"/>
        <color theme="1"/>
        <rFont val="宋体"/>
        <charset val="134"/>
      </rPr>
      <t>”</t>
    </r>
    <r>
      <rPr>
        <sz val="11"/>
        <color theme="1"/>
        <rFont val="宋体"/>
        <charset val="134"/>
      </rPr>
      <t>）的信息与资料，敬请贵公司注意，该清单是基于本所目前对贵公司经营状况的理解，该</t>
    </r>
    <r>
      <rPr>
        <sz val="11"/>
        <color theme="1"/>
        <rFont val="宋体"/>
        <charset val="134"/>
      </rPr>
      <t>“</t>
    </r>
    <r>
      <rPr>
        <sz val="11"/>
        <color theme="1"/>
        <rFont val="宋体"/>
        <charset val="134"/>
      </rPr>
      <t>资料清单</t>
    </r>
    <r>
      <rPr>
        <sz val="11"/>
        <color theme="1"/>
        <rFont val="宋体"/>
        <charset val="134"/>
      </rPr>
      <t>”</t>
    </r>
    <r>
      <rPr>
        <sz val="11"/>
        <color theme="1"/>
        <rFont val="宋体"/>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charset val="134"/>
      </rPr>
      <t xml:space="preserve">
</t>
    </r>
    <r>
      <rPr>
        <sz val="11"/>
        <color theme="1"/>
        <rFont val="宋体"/>
        <charset val="134"/>
      </rPr>
      <t>如果贵公司有任何的问题或建议，请联系我们的团队成员：</t>
    </r>
    <r>
      <rPr>
        <sz val="11"/>
        <color theme="1"/>
        <rFont val="Times New Roman"/>
        <charset val="134"/>
      </rPr>
      <t xml:space="preserve">
</t>
    </r>
    <r>
      <rPr>
        <sz val="11"/>
        <color theme="1"/>
        <rFont val="宋体"/>
        <charset val="134"/>
      </rPr>
      <t>【事务所名称】</t>
    </r>
    <r>
      <rPr>
        <sz val="11"/>
        <color theme="1"/>
        <rFont val="Times New Roman"/>
        <charset val="134"/>
      </rPr>
      <t xml:space="preserve">
</t>
    </r>
    <r>
      <rPr>
        <sz val="11"/>
        <color theme="1"/>
        <rFont val="Times New Roman"/>
        <charset val="134"/>
      </rPr>
      <t xml:space="preserve">Project Manager:
Tel:  | Email: 
Tax Senior Consultant: 
Tel: (086)  | Email: </t>
    </r>
  </si>
  <si>
    <t>立信税务师事务所有限公司</t>
  </si>
  <si>
    <t>立信税务</t>
  </si>
  <si>
    <t>斯必克流体技术</t>
  </si>
  <si>
    <t>斯必克投资</t>
  </si>
  <si>
    <r>
      <rPr>
        <b/>
        <sz val="11"/>
        <color indexed="9"/>
        <rFont val="华文楷体"/>
        <charset val="134"/>
      </rPr>
      <t>资料清单</t>
    </r>
  </si>
  <si>
    <r>
      <rPr>
        <b/>
        <sz val="11"/>
        <color indexed="9"/>
        <rFont val="华文楷体"/>
        <charset val="134"/>
      </rPr>
      <t>附注</t>
    </r>
  </si>
  <si>
    <r>
      <rPr>
        <b/>
        <sz val="11"/>
        <color theme="1"/>
        <rFont val="Times New Roman"/>
        <charset val="134"/>
      </rPr>
      <t xml:space="preserve">I. </t>
    </r>
    <r>
      <rPr>
        <b/>
        <sz val="11"/>
        <color indexed="8"/>
        <rFont val="华文楷体"/>
        <charset val="134"/>
      </rPr>
      <t>基本信息</t>
    </r>
  </si>
  <si>
    <r>
      <rPr>
        <sz val="11"/>
        <color theme="1"/>
        <rFont val="Times New Roman"/>
        <charset val="134"/>
      </rPr>
      <t xml:space="preserve">1. </t>
    </r>
    <r>
      <rPr>
        <sz val="11"/>
        <color indexed="8"/>
        <rFont val="华文楷体"/>
        <charset val="134"/>
      </rPr>
      <t>中华人民共和国企业法人营业执照</t>
    </r>
  </si>
  <si>
    <r>
      <rPr>
        <sz val="11"/>
        <color indexed="8"/>
        <rFont val="华文楷体"/>
        <charset val="134"/>
      </rPr>
      <t>如有更新请提供</t>
    </r>
  </si>
  <si>
    <t>2. 组织结构，包括企业各职能部门的设置、职责范围和雇员数量等（请提供截至【年度】年12月31日时点的组织结构图）</t>
  </si>
  <si>
    <r>
      <rPr>
        <sz val="11"/>
        <color theme="1"/>
        <rFont val="华文楷体"/>
        <charset val="134"/>
      </rPr>
      <t>请见附件</t>
    </r>
    <r>
      <rPr>
        <sz val="11"/>
        <color theme="1"/>
        <rFont val="Times New Roman"/>
        <charset val="134"/>
      </rPr>
      <t>1</t>
    </r>
  </si>
  <si>
    <t>3. 管理架构，包括企业各级管理层的汇报对象以及汇报对象主要办公所在地等（请提供截至【年度】年12月31日时点的信息）</t>
  </si>
  <si>
    <t>4. 【年度】年度关联公司信息</t>
  </si>
  <si>
    <r>
      <rPr>
        <sz val="11"/>
        <color indexed="8"/>
        <rFont val="华文楷体"/>
        <charset val="134"/>
      </rPr>
      <t>请见附件</t>
    </r>
    <r>
      <rPr>
        <sz val="11"/>
        <color indexed="8"/>
        <rFont val="Times New Roman"/>
        <charset val="134"/>
      </rPr>
      <t>2</t>
    </r>
  </si>
  <si>
    <r>
      <rPr>
        <b/>
        <sz val="11"/>
        <color theme="1"/>
        <rFont val="Times New Roman"/>
        <charset val="134"/>
      </rPr>
      <t xml:space="preserve">II. </t>
    </r>
    <r>
      <rPr>
        <b/>
        <sz val="11"/>
        <color indexed="8"/>
        <rFont val="华文楷体"/>
        <charset val="134"/>
      </rPr>
      <t>财务信息</t>
    </r>
  </si>
  <si>
    <t>1. 【年度】年审计报告，包括经审计的财务报表及其附注</t>
  </si>
  <si>
    <r>
      <rPr>
        <sz val="11"/>
        <color indexed="8"/>
        <rFont val="华文楷体"/>
        <charset val="134"/>
      </rPr>
      <t>请提供</t>
    </r>
  </si>
  <si>
    <t>2. 【年度】年度分部财务数据分析表，需包括企业不同类型产品的收入、成本、费用及利润。</t>
  </si>
  <si>
    <r>
      <rPr>
        <sz val="11"/>
        <color theme="1"/>
        <rFont val="华文楷体"/>
        <charset val="134"/>
      </rPr>
      <t>请见附件</t>
    </r>
    <r>
      <rPr>
        <sz val="11"/>
        <color theme="1"/>
        <rFont val="Times New Roman"/>
        <charset val="134"/>
      </rPr>
      <t>3</t>
    </r>
  </si>
  <si>
    <t>3. 【年度】年度《中华人民共和国企业年度关联业务往来报告表(2016年版)》</t>
  </si>
  <si>
    <t>请提供电子版</t>
  </si>
  <si>
    <t>4. 【年度】年度贵公司主要关联供应商名单</t>
  </si>
  <si>
    <r>
      <rPr>
        <sz val="11"/>
        <color theme="1"/>
        <rFont val="华文楷体"/>
        <charset val="134"/>
      </rPr>
      <t>请见附件</t>
    </r>
    <r>
      <rPr>
        <sz val="11"/>
        <color theme="1"/>
        <rFont val="Times New Roman"/>
        <charset val="134"/>
      </rPr>
      <t>4</t>
    </r>
  </si>
  <si>
    <t>5. 【年度】年度的主要关联客户清单</t>
  </si>
  <si>
    <r>
      <rPr>
        <sz val="11"/>
        <color theme="1"/>
        <rFont val="华文楷体"/>
        <charset val="134"/>
      </rPr>
      <t>请见附件</t>
    </r>
    <r>
      <rPr>
        <sz val="11"/>
        <color theme="1"/>
        <rFont val="Times New Roman"/>
        <charset val="134"/>
      </rPr>
      <t>5</t>
    </r>
  </si>
  <si>
    <t>6. 【年度】年度其他关联交易类型、金额（如涉及）</t>
  </si>
  <si>
    <t>如涉及，请提供</t>
  </si>
  <si>
    <t>斯必克（上海）流体技术有限公司</t>
  </si>
  <si>
    <r>
      <rPr>
        <sz val="11"/>
        <rFont val="华文楷体"/>
        <charset val="134"/>
      </rPr>
      <t>附件一：组织结构及管理架构</t>
    </r>
  </si>
  <si>
    <r>
      <rPr>
        <sz val="11"/>
        <color rgb="FFFF0000"/>
        <rFont val="华文楷体"/>
        <charset val="134"/>
      </rPr>
      <t>下表是我们根据</t>
    </r>
    <r>
      <rPr>
        <sz val="11"/>
        <color rgb="FFFF0000"/>
        <rFont val="宋体"/>
        <charset val="134"/>
      </rPr>
      <t>【上</t>
    </r>
    <r>
      <rPr>
        <sz val="11"/>
        <color rgb="FFFF0000"/>
        <rFont val="华文楷体"/>
        <charset val="134"/>
      </rPr>
      <t>年度】同期资料文档填写，还请贵公司更新截至</t>
    </r>
    <r>
      <rPr>
        <sz val="11"/>
        <color rgb="FFFF0000"/>
        <rFont val="宋体"/>
        <charset val="134"/>
      </rPr>
      <t>【年度】</t>
    </r>
    <r>
      <rPr>
        <sz val="11"/>
        <color rgb="FFFF0000"/>
        <rFont val="华文楷体"/>
        <charset val="134"/>
      </rPr>
      <t>年</t>
    </r>
    <r>
      <rPr>
        <sz val="11"/>
        <color rgb="FFFF0000"/>
        <rFont val="Times New Roman"/>
        <charset val="134"/>
      </rPr>
      <t>12</t>
    </r>
    <r>
      <rPr>
        <sz val="11"/>
        <color rgb="FFFF0000"/>
        <rFont val="华文楷体"/>
        <charset val="134"/>
      </rPr>
      <t>月</t>
    </r>
    <r>
      <rPr>
        <sz val="11"/>
        <color rgb="FFFF0000"/>
        <rFont val="Times New Roman"/>
        <charset val="134"/>
      </rPr>
      <t>31</t>
    </r>
    <r>
      <rPr>
        <sz val="11"/>
        <color rgb="FFFF0000"/>
        <rFont val="华文楷体"/>
        <charset val="134"/>
      </rPr>
      <t>日的部门信息和组织架构信息</t>
    </r>
  </si>
  <si>
    <r>
      <rPr>
        <b/>
        <sz val="11"/>
        <color theme="0"/>
        <rFont val="华文楷体"/>
        <charset val="134"/>
      </rPr>
      <t>主要部门</t>
    </r>
  </si>
  <si>
    <r>
      <rPr>
        <b/>
        <sz val="11"/>
        <color theme="0"/>
        <rFont val="华文楷体"/>
        <charset val="134"/>
      </rPr>
      <t>人数
（截至</t>
    </r>
    <r>
      <rPr>
        <b/>
        <sz val="11"/>
        <color theme="0"/>
        <rFont val="宋体"/>
        <charset val="134"/>
      </rPr>
      <t>【年度】</t>
    </r>
    <r>
      <rPr>
        <b/>
        <sz val="11"/>
        <color theme="0"/>
        <rFont val="华文楷体"/>
        <charset val="134"/>
      </rPr>
      <t>年</t>
    </r>
    <r>
      <rPr>
        <b/>
        <sz val="11"/>
        <color theme="0"/>
        <rFont val="Times New Roman"/>
        <charset val="134"/>
      </rPr>
      <t>12</t>
    </r>
    <r>
      <rPr>
        <b/>
        <sz val="11"/>
        <color theme="0"/>
        <rFont val="华文楷体"/>
        <charset val="134"/>
      </rPr>
      <t>月</t>
    </r>
    <r>
      <rPr>
        <b/>
        <sz val="11"/>
        <color theme="0"/>
        <rFont val="Times New Roman"/>
        <charset val="134"/>
      </rPr>
      <t>31</t>
    </r>
    <r>
      <rPr>
        <b/>
        <sz val="11"/>
        <color theme="0"/>
        <rFont val="华文楷体"/>
        <charset val="134"/>
      </rPr>
      <t>日）</t>
    </r>
  </si>
  <si>
    <r>
      <rPr>
        <b/>
        <sz val="11"/>
        <color theme="0"/>
        <rFont val="华文楷体"/>
        <charset val="134"/>
      </rPr>
      <t>主要职责范围</t>
    </r>
  </si>
  <si>
    <r>
      <rPr>
        <b/>
        <sz val="11"/>
        <color theme="0"/>
        <rFont val="华文楷体"/>
        <charset val="134"/>
      </rPr>
      <t>部门负责人汇报对象</t>
    </r>
  </si>
  <si>
    <r>
      <rPr>
        <b/>
        <sz val="11"/>
        <color theme="0"/>
        <rFont val="华文楷体"/>
        <charset val="134"/>
      </rPr>
      <t>汇报对象</t>
    </r>
  </si>
  <si>
    <r>
      <rPr>
        <b/>
        <sz val="11"/>
        <color theme="0"/>
        <rFont val="华文楷体"/>
        <charset val="134"/>
      </rPr>
      <t>汇报对象主要办公所在地</t>
    </r>
  </si>
  <si>
    <t>AAA</t>
  </si>
  <si>
    <t>CCC</t>
  </si>
  <si>
    <t>EEE</t>
  </si>
  <si>
    <t>BBB</t>
  </si>
  <si>
    <t>DDD</t>
  </si>
  <si>
    <t>FFF</t>
  </si>
  <si>
    <t>新增</t>
  </si>
  <si>
    <r>
      <rPr>
        <b/>
        <sz val="11"/>
        <color theme="1"/>
        <rFont val="华文楷体"/>
        <charset val="134"/>
      </rPr>
      <t>总计</t>
    </r>
  </si>
  <si>
    <r>
      <rPr>
        <sz val="11"/>
        <color rgb="FFFF0000"/>
        <rFont val="华文楷体"/>
        <charset val="134"/>
      </rPr>
      <t>请在此提供组织架构图：</t>
    </r>
  </si>
  <si>
    <r>
      <rPr>
        <sz val="10"/>
        <rFont val="华文楷体"/>
        <charset val="134"/>
      </rPr>
      <t>附件二：关联方相关信息</t>
    </r>
  </si>
  <si>
    <r>
      <rPr>
        <sz val="10"/>
        <color rgb="FFFF0000"/>
        <rFont val="华文楷体"/>
        <charset val="134"/>
      </rPr>
      <t>下表是我们根据</t>
    </r>
    <r>
      <rPr>
        <sz val="10"/>
        <color rgb="FFFF0000"/>
        <rFont val="宋体"/>
        <charset val="134"/>
      </rPr>
      <t>【上</t>
    </r>
    <r>
      <rPr>
        <sz val="10"/>
        <color rgb="FFFF0000"/>
        <rFont val="华文楷体"/>
        <charset val="134"/>
      </rPr>
      <t>年度】同期资料文档填写，请贵公司就</t>
    </r>
    <r>
      <rPr>
        <sz val="10"/>
        <color rgb="FFFF0000"/>
        <rFont val="宋体"/>
        <charset val="134"/>
      </rPr>
      <t>【年度】</t>
    </r>
    <r>
      <rPr>
        <sz val="10"/>
        <color rgb="FFFF0000"/>
        <rFont val="华文楷体"/>
        <charset val="134"/>
      </rPr>
      <t>年度情况对以下描述进行确认或更新。</t>
    </r>
  </si>
  <si>
    <r>
      <rPr>
        <b/>
        <sz val="10"/>
        <color theme="0"/>
        <rFont val="华文楷体"/>
        <charset val="134"/>
      </rPr>
      <t>行次</t>
    </r>
  </si>
  <si>
    <r>
      <rPr>
        <b/>
        <sz val="10"/>
        <color theme="0"/>
        <rFont val="华文楷体"/>
        <charset val="134"/>
      </rPr>
      <t>关联方名称</t>
    </r>
  </si>
  <si>
    <r>
      <rPr>
        <b/>
        <sz val="10"/>
        <color theme="0"/>
        <rFont val="华文楷体"/>
        <charset val="134"/>
      </rPr>
      <t>关联方类型</t>
    </r>
  </si>
  <si>
    <r>
      <rPr>
        <b/>
        <sz val="10"/>
        <color theme="0"/>
        <rFont val="华文楷体"/>
        <charset val="134"/>
      </rPr>
      <t>国家（地区）</t>
    </r>
  </si>
  <si>
    <t>纳税人证件类型</t>
  </si>
  <si>
    <t>证件号</t>
  </si>
  <si>
    <r>
      <rPr>
        <b/>
        <sz val="10"/>
        <color theme="0"/>
        <rFont val="华文楷体"/>
        <charset val="134"/>
      </rPr>
      <t>关联关系类型</t>
    </r>
  </si>
  <si>
    <r>
      <rPr>
        <b/>
        <sz val="10"/>
        <color theme="0"/>
        <rFont val="华文楷体"/>
        <charset val="134"/>
      </rPr>
      <t>起始日期</t>
    </r>
  </si>
  <si>
    <r>
      <rPr>
        <b/>
        <sz val="10"/>
        <color theme="0"/>
        <rFont val="华文楷体"/>
        <charset val="134"/>
      </rPr>
      <t>截止日期</t>
    </r>
  </si>
  <si>
    <r>
      <rPr>
        <b/>
        <sz val="10"/>
        <color theme="0"/>
        <rFont val="华文楷体"/>
        <charset val="134"/>
      </rPr>
      <t>法定税率</t>
    </r>
  </si>
  <si>
    <t>是否享受税收优惠</t>
  </si>
  <si>
    <t>KKKK</t>
  </si>
  <si>
    <t>A</t>
  </si>
  <si>
    <t>B</t>
  </si>
  <si>
    <t>否</t>
  </si>
  <si>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</si>
  <si>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</si>
  <si>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t>个人关联方</t>
  </si>
  <si>
    <t>国籍</t>
  </si>
  <si>
    <t>关联关系类型</t>
  </si>
  <si>
    <t>居住地址</t>
  </si>
  <si>
    <t>关联方名称</t>
  </si>
  <si>
    <t>国家/地区</t>
  </si>
  <si>
    <t>起止日期</t>
  </si>
  <si>
    <t>变化原因</t>
  </si>
  <si>
    <t>UIUIUIU</t>
  </si>
  <si>
    <t>US</t>
  </si>
  <si>
    <t>AA</t>
  </si>
  <si>
    <t>新增，自【清单模板-数据表B2】年3月1日起，XX有限公司收购本企业51%股权，与本企业构成关联关系</t>
  </si>
  <si>
    <t>EU</t>
  </si>
  <si>
    <t>BB</t>
  </si>
  <si>
    <t>减少，自【清单模板-数据表B2】年6月15日起，YY公司出售本企业全部股权，与本企业不构成关联关系</t>
  </si>
  <si>
    <r>
      <rPr>
        <sz val="11"/>
        <rFont val="华文楷体"/>
        <charset val="134"/>
      </rPr>
      <t>附件三：分部财务数据</t>
    </r>
  </si>
  <si>
    <t>请贵公司就【24年度】情况对以下描述进行确认或更新。</t>
  </si>
  <si>
    <r>
      <rPr>
        <b/>
        <sz val="11"/>
        <rFont val="华文楷体"/>
        <charset val="134"/>
      </rPr>
      <t>单位：人民币元</t>
    </r>
  </si>
  <si>
    <r>
      <rPr>
        <b/>
        <sz val="11"/>
        <color theme="0"/>
        <rFont val="Times New Roman"/>
        <charset val="134"/>
      </rPr>
      <t xml:space="preserve">
</t>
    </r>
    <r>
      <rPr>
        <b/>
        <sz val="11"/>
        <color theme="0"/>
        <rFont val="华文楷体"/>
        <charset val="134"/>
      </rPr>
      <t>项目</t>
    </r>
  </si>
  <si>
    <r>
      <rPr>
        <b/>
        <sz val="11"/>
        <color theme="0"/>
        <rFont val="华文楷体"/>
        <charset val="134"/>
      </rPr>
      <t>备注</t>
    </r>
  </si>
  <si>
    <r>
      <rPr>
        <b/>
        <sz val="11"/>
        <color theme="0"/>
        <rFont val="华文楷体"/>
        <charset val="134"/>
      </rPr>
      <t>贸易业务</t>
    </r>
  </si>
  <si>
    <r>
      <rPr>
        <b/>
        <sz val="11"/>
        <color theme="0"/>
        <rFont val="华文楷体"/>
        <charset val="134"/>
      </rPr>
      <t>其他业务（如有）</t>
    </r>
  </si>
  <si>
    <r>
      <rPr>
        <b/>
        <sz val="11"/>
        <color theme="0"/>
        <rFont val="华文楷体"/>
        <charset val="134"/>
      </rPr>
      <t>合计</t>
    </r>
  </si>
  <si>
    <r>
      <rPr>
        <b/>
        <sz val="11"/>
        <color theme="0"/>
        <rFont val="华文楷体"/>
        <charset val="134"/>
      </rPr>
      <t>境外</t>
    </r>
  </si>
  <si>
    <r>
      <rPr>
        <b/>
        <sz val="11"/>
        <color theme="0"/>
        <rFont val="华文楷体"/>
        <charset val="134"/>
      </rPr>
      <t>境内</t>
    </r>
  </si>
  <si>
    <r>
      <rPr>
        <b/>
        <sz val="11"/>
        <color theme="0"/>
        <rFont val="华文楷体"/>
        <charset val="134"/>
      </rPr>
      <t>关联方</t>
    </r>
  </si>
  <si>
    <r>
      <rPr>
        <b/>
        <sz val="11"/>
        <color theme="0"/>
        <rFont val="华文楷体"/>
        <charset val="134"/>
      </rPr>
      <t>非关联方</t>
    </r>
  </si>
  <si>
    <r>
      <rPr>
        <sz val="11"/>
        <color indexed="8"/>
        <rFont val="华文楷体"/>
        <charset val="134"/>
      </rPr>
      <t>一、营业收入</t>
    </r>
  </si>
  <si>
    <r>
      <rPr>
        <sz val="11"/>
        <color indexed="8"/>
        <rFont val="华文楷体"/>
        <charset val="134"/>
      </rPr>
      <t>　　　　其中：主营业务收入</t>
    </r>
  </si>
  <si>
    <r>
      <rPr>
        <sz val="11"/>
        <color indexed="8"/>
        <rFont val="华文楷体"/>
        <charset val="134"/>
      </rPr>
      <t>　减：营业成本</t>
    </r>
  </si>
  <si>
    <r>
      <rPr>
        <sz val="11"/>
        <color indexed="8"/>
        <rFont val="华文楷体"/>
        <charset val="134"/>
      </rPr>
      <t>　　　　其中：主营业务成本</t>
    </r>
  </si>
  <si>
    <r>
      <rPr>
        <sz val="11"/>
        <color indexed="8"/>
        <rFont val="华文楷体"/>
        <charset val="134"/>
      </rPr>
      <t>　　　营业税金及附加</t>
    </r>
  </si>
  <si>
    <r>
      <rPr>
        <sz val="11"/>
        <color indexed="8"/>
        <rFont val="华文楷体"/>
        <charset val="134"/>
      </rPr>
      <t>　　　　其中：主营业务税金及附加</t>
    </r>
  </si>
  <si>
    <r>
      <rPr>
        <sz val="11"/>
        <color indexed="8"/>
        <rFont val="华文楷体"/>
        <charset val="134"/>
      </rPr>
      <t>　　　销售费用</t>
    </r>
  </si>
  <si>
    <r>
      <rPr>
        <sz val="11"/>
        <color indexed="8"/>
        <rFont val="华文楷体"/>
        <charset val="134"/>
      </rPr>
      <t>　　　管理费用</t>
    </r>
  </si>
  <si>
    <r>
      <rPr>
        <sz val="11"/>
        <color indexed="8"/>
        <rFont val="华文楷体"/>
        <charset val="134"/>
      </rPr>
      <t>　　　财务费用</t>
    </r>
  </si>
  <si>
    <r>
      <rPr>
        <sz val="11"/>
        <rFont val="华文楷体"/>
        <charset val="134"/>
      </rPr>
      <t>　　　资产减值损失</t>
    </r>
  </si>
  <si>
    <r>
      <rPr>
        <sz val="11"/>
        <color indexed="8"/>
        <rFont val="华文楷体"/>
        <charset val="134"/>
      </rPr>
      <t>　加：公允价值变动收益（损失以</t>
    </r>
    <r>
      <rPr>
        <sz val="11"/>
        <color indexed="8"/>
        <rFont val="Times New Roman"/>
        <charset val="134"/>
      </rPr>
      <t>“-”</t>
    </r>
    <r>
      <rPr>
        <sz val="11"/>
        <color indexed="8"/>
        <rFont val="华文楷体"/>
        <charset val="134"/>
      </rPr>
      <t>号填列）</t>
    </r>
  </si>
  <si>
    <r>
      <rPr>
        <sz val="11"/>
        <color indexed="8"/>
        <rFont val="华文楷体"/>
        <charset val="134"/>
      </rPr>
      <t>　　　投资收益（损失以</t>
    </r>
    <r>
      <rPr>
        <sz val="11"/>
        <color indexed="8"/>
        <rFont val="Times New Roman"/>
        <charset val="134"/>
      </rPr>
      <t>“-”</t>
    </r>
    <r>
      <rPr>
        <sz val="11"/>
        <color indexed="8"/>
        <rFont val="华文楷体"/>
        <charset val="134"/>
      </rPr>
      <t>号填列）</t>
    </r>
  </si>
  <si>
    <r>
      <rPr>
        <sz val="11"/>
        <color indexed="8"/>
        <rFont val="华文楷体"/>
        <charset val="134"/>
      </rPr>
      <t>　　</t>
    </r>
    <r>
      <rPr>
        <sz val="11"/>
        <color indexed="8"/>
        <rFont val="Times New Roman"/>
        <charset val="134"/>
      </rPr>
      <t xml:space="preserve">   </t>
    </r>
    <r>
      <rPr>
        <sz val="11"/>
        <color indexed="8"/>
        <rFont val="华文楷体"/>
        <charset val="134"/>
      </rPr>
      <t>　其中：对联营企业和合营企业的投资收益</t>
    </r>
  </si>
  <si>
    <r>
      <rPr>
        <sz val="11"/>
        <color indexed="8"/>
        <rFont val="华文楷体"/>
        <charset val="134"/>
      </rPr>
      <t>二、营业利润（亏损以</t>
    </r>
    <r>
      <rPr>
        <sz val="11"/>
        <color indexed="8"/>
        <rFont val="Times New Roman"/>
        <charset val="134"/>
      </rPr>
      <t>“-”</t>
    </r>
    <r>
      <rPr>
        <sz val="11"/>
        <color indexed="8"/>
        <rFont val="华文楷体"/>
        <charset val="134"/>
      </rPr>
      <t>号填列）＝</t>
    </r>
  </si>
  <si>
    <r>
      <rPr>
        <sz val="11"/>
        <rFont val="华文楷体"/>
        <charset val="134"/>
      </rPr>
      <t>说明：分别披露关联交易和非关联交易的收入、成本、费用和利润，不能直接归集的，按照合理比例划分，并说明该划分比例的依据。</t>
    </r>
  </si>
  <si>
    <t>关联交易类型</t>
  </si>
  <si>
    <t>境外交易金额</t>
  </si>
  <si>
    <t>境内交易金额</t>
  </si>
  <si>
    <t>交易总额</t>
  </si>
  <si>
    <t>C=A+B</t>
  </si>
  <si>
    <t>{有形资产所有权出让}</t>
  </si>
  <si>
    <t>{有形资产所有权受让}</t>
  </si>
  <si>
    <t>{提供关联劳务}</t>
  </si>
  <si>
    <t>{接受关联劳务}</t>
  </si>
  <si>
    <t>……</t>
  </si>
  <si>
    <t>{关联融资利息收入/支出}</t>
  </si>
  <si>
    <t>合计</t>
  </si>
  <si>
    <t>附件四： 供应商清单</t>
  </si>
  <si>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日包括关联方在内的贵公司的主要供应商详情。</t>
    </r>
    <r>
      <rPr>
        <sz val="12"/>
        <color rgb="FFFF0000"/>
        <rFont val="Times New Roman"/>
        <charset val="134"/>
      </rPr>
      <t xml:space="preserve"> </t>
    </r>
    <r>
      <rPr>
        <sz val="12"/>
        <color rgb="FFFF0000"/>
        <rFont val="华文楷体"/>
        <charset val="134"/>
      </rPr>
      <t>请注明供应商位于境内还是境外、采购的产品类型、采购金额及每个供应商的采购金额占贵公司采购总金额的比例等。</t>
    </r>
  </si>
  <si>
    <r>
      <rPr>
        <b/>
        <sz val="10"/>
        <color theme="0"/>
        <rFont val="华文楷体"/>
        <charset val="134"/>
      </rPr>
      <t>项目</t>
    </r>
  </si>
  <si>
    <r>
      <rPr>
        <b/>
        <sz val="10"/>
        <color theme="0"/>
        <rFont val="华文楷体"/>
        <charset val="134"/>
      </rPr>
      <t>编号</t>
    </r>
  </si>
  <si>
    <r>
      <rPr>
        <b/>
        <sz val="10"/>
        <color theme="0"/>
        <rFont val="华文楷体"/>
        <charset val="134"/>
      </rPr>
      <t>供应商名称</t>
    </r>
  </si>
  <si>
    <r>
      <rPr>
        <b/>
        <sz val="10"/>
        <color theme="0"/>
        <rFont val="华文楷体"/>
        <charset val="134"/>
      </rPr>
      <t>产品类型（例如原材料，半成品或成品）</t>
    </r>
  </si>
  <si>
    <r>
      <rPr>
        <b/>
        <sz val="10"/>
        <color theme="0"/>
        <rFont val="华文楷体"/>
        <charset val="134"/>
      </rPr>
      <t>会计年度</t>
    </r>
    <r>
      <rPr>
        <b/>
        <sz val="10"/>
        <color theme="0"/>
        <rFont val="宋体"/>
        <charset val="134"/>
      </rPr>
      <t>【年度】</t>
    </r>
  </si>
  <si>
    <r>
      <rPr>
        <b/>
        <sz val="10"/>
        <color theme="0"/>
        <rFont val="华文楷体"/>
        <charset val="134"/>
      </rPr>
      <t>运输条款（例如</t>
    </r>
    <r>
      <rPr>
        <b/>
        <sz val="10"/>
        <color theme="0"/>
        <rFont val="Times New Roman"/>
        <charset val="134"/>
      </rPr>
      <t>FOB</t>
    </r>
    <r>
      <rPr>
        <b/>
        <sz val="10"/>
        <color theme="0"/>
        <rFont val="华文楷体"/>
        <charset val="134"/>
      </rPr>
      <t>，</t>
    </r>
    <r>
      <rPr>
        <b/>
        <sz val="10"/>
        <color theme="0"/>
        <rFont val="Times New Roman"/>
        <charset val="134"/>
      </rPr>
      <t>CIF</t>
    </r>
    <r>
      <rPr>
        <b/>
        <sz val="10"/>
        <color theme="0"/>
        <rFont val="华文楷体"/>
        <charset val="134"/>
      </rPr>
      <t>等）</t>
    </r>
  </si>
  <si>
    <r>
      <rPr>
        <b/>
        <sz val="10"/>
        <color theme="0"/>
        <rFont val="华文楷体"/>
        <charset val="134"/>
      </rPr>
      <t>支付货币</t>
    </r>
    <r>
      <rPr>
        <b/>
        <sz val="10"/>
        <color theme="0"/>
        <rFont val="Times New Roman"/>
        <charset val="134"/>
      </rPr>
      <t xml:space="preserve"> </t>
    </r>
    <r>
      <rPr>
        <b/>
        <sz val="10"/>
        <color theme="0"/>
        <rFont val="华文楷体"/>
        <charset val="134"/>
      </rPr>
      <t>（例如美元）</t>
    </r>
  </si>
  <si>
    <r>
      <rPr>
        <b/>
        <sz val="10"/>
        <color theme="0"/>
        <rFont val="华文楷体"/>
        <charset val="134"/>
      </rPr>
      <t>支付条款（例如发票开具日期</t>
    </r>
    <r>
      <rPr>
        <b/>
        <sz val="10"/>
        <color theme="0"/>
        <rFont val="Times New Roman"/>
        <charset val="134"/>
      </rPr>
      <t>30</t>
    </r>
    <r>
      <rPr>
        <b/>
        <sz val="10"/>
        <color theme="0"/>
        <rFont val="华文楷体"/>
        <charset val="134"/>
      </rPr>
      <t>天内）</t>
    </r>
  </si>
  <si>
    <r>
      <rPr>
        <b/>
        <sz val="10"/>
        <color theme="0"/>
        <rFont val="华文楷体"/>
        <charset val="134"/>
      </rPr>
      <t>金额
（人民币）</t>
    </r>
  </si>
  <si>
    <r>
      <rPr>
        <b/>
        <sz val="10"/>
        <color theme="0"/>
        <rFont val="华文楷体"/>
        <charset val="134"/>
      </rPr>
      <t>占采购总金额比例</t>
    </r>
  </si>
  <si>
    <r>
      <rPr>
        <b/>
        <sz val="10"/>
        <color theme="0"/>
        <rFont val="华文楷体"/>
        <charset val="134"/>
      </rPr>
      <t>占关联采购总金额比例</t>
    </r>
  </si>
  <si>
    <r>
      <rPr>
        <b/>
        <sz val="10"/>
        <rFont val="华文楷体"/>
        <charset val="134"/>
      </rPr>
      <t>关联供应商</t>
    </r>
  </si>
  <si>
    <r>
      <rPr>
        <sz val="10"/>
        <rFont val="华文楷体"/>
        <charset val="134"/>
      </rPr>
      <t>境外关联采购</t>
    </r>
  </si>
  <si>
    <t>KKK</t>
  </si>
  <si>
    <t>sss</t>
  </si>
  <si>
    <r>
      <rPr>
        <sz val="10"/>
        <rFont val="华文楷体"/>
        <charset val="134"/>
      </rPr>
      <t>其他</t>
    </r>
  </si>
  <si>
    <r>
      <rPr>
        <sz val="10"/>
        <rFont val="华文楷体"/>
        <charset val="134"/>
      </rPr>
      <t>境外关联采购小计</t>
    </r>
  </si>
  <si>
    <r>
      <rPr>
        <sz val="10"/>
        <rFont val="华文楷体"/>
        <charset val="134"/>
      </rPr>
      <t>境内关联采购</t>
    </r>
  </si>
  <si>
    <r>
      <rPr>
        <b/>
        <sz val="10"/>
        <rFont val="华文楷体"/>
        <charset val="134"/>
      </rPr>
      <t>境内关联采购小计</t>
    </r>
  </si>
  <si>
    <r>
      <rPr>
        <b/>
        <sz val="10"/>
        <rFont val="华文楷体"/>
        <charset val="134"/>
      </rPr>
      <t>关联采购小计</t>
    </r>
  </si>
  <si>
    <r>
      <rPr>
        <b/>
        <sz val="10"/>
        <rFont val="华文楷体"/>
        <charset val="134"/>
      </rPr>
      <t>非关联供应商</t>
    </r>
  </si>
  <si>
    <r>
      <rPr>
        <sz val="10"/>
        <rFont val="华文楷体"/>
        <charset val="134"/>
      </rPr>
      <t>境外非关联采购</t>
    </r>
  </si>
  <si>
    <r>
      <rPr>
        <b/>
        <sz val="10"/>
        <rFont val="华文楷体"/>
        <charset val="134"/>
      </rPr>
      <t>境外非关联采购小计</t>
    </r>
  </si>
  <si>
    <r>
      <rPr>
        <sz val="10"/>
        <rFont val="华文楷体"/>
        <charset val="134"/>
      </rPr>
      <t>境内非关联采购</t>
    </r>
  </si>
  <si>
    <r>
      <rPr>
        <b/>
        <sz val="10"/>
        <rFont val="华文楷体"/>
        <charset val="134"/>
      </rPr>
      <t>境内非关联采购小计</t>
    </r>
  </si>
  <si>
    <r>
      <rPr>
        <b/>
        <sz val="10"/>
        <rFont val="华文楷体"/>
        <charset val="134"/>
      </rPr>
      <t>非关联采购小计</t>
    </r>
  </si>
  <si>
    <r>
      <rPr>
        <b/>
        <sz val="10"/>
        <rFont val="华文楷体"/>
        <charset val="134"/>
      </rPr>
      <t>合计</t>
    </r>
  </si>
  <si>
    <r>
      <rPr>
        <sz val="12"/>
        <rFont val="华文楷体"/>
        <charset val="134"/>
      </rPr>
      <t>附件五：客户清单</t>
    </r>
  </si>
  <si>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日包括关联方在内的贵公司的主要客户详情。</t>
    </r>
    <r>
      <rPr>
        <sz val="12"/>
        <color rgb="FFFF0000"/>
        <rFont val="Times New Roman"/>
        <charset val="134"/>
      </rPr>
      <t xml:space="preserve"> </t>
    </r>
    <r>
      <rPr>
        <sz val="12"/>
        <color rgb="FFFF0000"/>
        <rFont val="华文楷体"/>
        <charset val="134"/>
      </rPr>
      <t>请注明客户位于境内还是境外、相关的产品类型、销售收入及每个客户的销售收入占贵公司销售总收入的比例等。</t>
    </r>
  </si>
  <si>
    <r>
      <rPr>
        <b/>
        <sz val="10"/>
        <color theme="0"/>
        <rFont val="华文楷体"/>
        <charset val="134"/>
      </rPr>
      <t>客户名称</t>
    </r>
  </si>
  <si>
    <r>
      <rPr>
        <b/>
        <sz val="10"/>
        <color theme="0"/>
        <rFont val="华文楷体"/>
        <charset val="134"/>
      </rPr>
      <t>产品以及产品细分（例如</t>
    </r>
    <r>
      <rPr>
        <b/>
        <sz val="10"/>
        <color theme="0"/>
        <rFont val="Times New Roman"/>
        <charset val="134"/>
      </rPr>
      <t>A1</t>
    </r>
    <r>
      <rPr>
        <b/>
        <sz val="10"/>
        <color theme="0"/>
        <rFont val="华文楷体"/>
        <charset val="134"/>
      </rPr>
      <t>，</t>
    </r>
    <r>
      <rPr>
        <b/>
        <sz val="10"/>
        <color theme="0"/>
        <rFont val="Times New Roman"/>
        <charset val="134"/>
      </rPr>
      <t>B2</t>
    </r>
    <r>
      <rPr>
        <b/>
        <sz val="10"/>
        <color theme="0"/>
        <rFont val="华文楷体"/>
        <charset val="134"/>
      </rPr>
      <t>等）</t>
    </r>
  </si>
  <si>
    <t>金额
（人民币）</t>
  </si>
  <si>
    <r>
      <rPr>
        <b/>
        <sz val="10"/>
        <color theme="0"/>
        <rFont val="华文楷体"/>
        <charset val="134"/>
      </rPr>
      <t>占销售总收入比例</t>
    </r>
  </si>
  <si>
    <r>
      <rPr>
        <b/>
        <sz val="10"/>
        <color theme="0"/>
        <rFont val="华文楷体"/>
        <charset val="134"/>
      </rPr>
      <t>占关联销售总收入比例</t>
    </r>
  </si>
  <si>
    <r>
      <rPr>
        <b/>
        <sz val="10"/>
        <rFont val="华文楷体"/>
        <charset val="134"/>
      </rPr>
      <t>关联客户</t>
    </r>
  </si>
  <si>
    <r>
      <rPr>
        <sz val="10"/>
        <rFont val="华文楷体"/>
        <charset val="134"/>
      </rPr>
      <t>境外关联销售</t>
    </r>
  </si>
  <si>
    <t>CC</t>
  </si>
  <si>
    <r>
      <rPr>
        <sz val="10"/>
        <rFont val="华文楷体"/>
        <charset val="134"/>
      </rPr>
      <t>境外关联销售小计</t>
    </r>
  </si>
  <si>
    <r>
      <rPr>
        <sz val="10"/>
        <rFont val="华文楷体"/>
        <charset val="134"/>
      </rPr>
      <t>境内关联销售</t>
    </r>
  </si>
  <si>
    <r>
      <rPr>
        <b/>
        <sz val="10"/>
        <rFont val="华文楷体"/>
        <charset val="134"/>
      </rPr>
      <t>境内关联销售小计</t>
    </r>
  </si>
  <si>
    <r>
      <rPr>
        <b/>
        <sz val="10"/>
        <rFont val="华文楷体"/>
        <charset val="134"/>
      </rPr>
      <t>关联销售小计</t>
    </r>
  </si>
  <si>
    <r>
      <rPr>
        <b/>
        <sz val="10"/>
        <rFont val="华文楷体"/>
        <charset val="134"/>
      </rPr>
      <t>非关联客户</t>
    </r>
  </si>
  <si>
    <r>
      <rPr>
        <sz val="10"/>
        <rFont val="华文楷体"/>
        <charset val="134"/>
      </rPr>
      <t>境外非关联销售</t>
    </r>
  </si>
  <si>
    <r>
      <rPr>
        <b/>
        <sz val="10"/>
        <rFont val="华文楷体"/>
        <charset val="134"/>
      </rPr>
      <t>境外非关联销售小计</t>
    </r>
  </si>
  <si>
    <r>
      <rPr>
        <sz val="10"/>
        <rFont val="华文楷体"/>
        <charset val="134"/>
      </rPr>
      <t>境内非关联销售</t>
    </r>
  </si>
  <si>
    <r>
      <rPr>
        <b/>
        <sz val="10"/>
        <rFont val="华文楷体"/>
        <charset val="134"/>
      </rPr>
      <t>境内非关联销售小计</t>
    </r>
  </si>
  <si>
    <r>
      <rPr>
        <b/>
        <sz val="10"/>
        <rFont val="华文楷体"/>
        <charset val="134"/>
      </rPr>
      <t>非关联销售小计</t>
    </r>
  </si>
  <si>
    <t>附件六：劳务交易表</t>
  </si>
  <si>
    <t>请贵公司提供截至2019年12月31日贵公司的关联劳务交易详情。</t>
  </si>
  <si>
    <t>行次</t>
  </si>
  <si>
    <t>关联交易内容</t>
  </si>
  <si>
    <t>交易金额</t>
  </si>
  <si>
    <t>比例</t>
  </si>
  <si>
    <t>占总劳务收入比重（%）</t>
  </si>
  <si>
    <t xml:space="preserve">境外关联
劳务收入
</t>
  </si>
  <si>
    <t>SPX AA</t>
  </si>
  <si>
    <t>ss</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</si>
  <si>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</si>
  <si>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</si>
  <si>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</si>
  <si>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</si>
  <si>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</si>
  <si>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</si>
  <si>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</si>
  <si>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</si>
  <si>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</si>
  <si>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</si>
  <si>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</si>
  <si>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</si>
  <si>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</si>
  <si>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</si>
  <si>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</si>
  <si>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</si>
  <si>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</si>
  <si>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</si>
  <si>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</si>
  <si>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</si>
  <si>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</si>
  <si>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</si>
  <si>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</si>
  <si>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</si>
  <si>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</si>
  <si>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</si>
  <si>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</si>
  <si>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</si>
  <si>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</si>
  <si>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</si>
  <si>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</si>
  <si>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</si>
  <si>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</si>
  <si>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</si>
  <si>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</si>
  <si>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</si>
  <si>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</si>
  <si>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</si>
  <si>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</si>
  <si>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</si>
  <si>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</si>
  <si>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</si>
  <si>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</si>
  <si>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</si>
  <si>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</si>
  <si>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</si>
  <si>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序号</t>
  </si>
  <si>
    <t>风险</t>
  </si>
  <si>
    <r>
      <rPr>
        <b/>
        <sz val="11"/>
        <color rgb="FFFFFFFF"/>
        <rFont val="微软雅黑"/>
        <charset val="134"/>
      </rPr>
      <t>项目</t>
    </r>
  </si>
  <si>
    <r>
      <rPr>
        <b/>
        <sz val="11"/>
        <color rgb="FFFFFFFF"/>
        <rFont val="微软雅黑"/>
        <charset val="134"/>
      </rPr>
      <t>公式</t>
    </r>
  </si>
  <si>
    <t>【年度】</t>
  </si>
  <si>
    <r>
      <rPr>
        <sz val="11"/>
        <color rgb="FF000000"/>
        <rFont val="微软雅黑"/>
        <charset val="134"/>
      </rPr>
      <t>营业收入</t>
    </r>
  </si>
  <si>
    <t>a</t>
  </si>
  <si>
    <r>
      <rPr>
        <sz val="11"/>
        <rFont val="微软雅黑"/>
        <charset val="134"/>
      </rPr>
      <t>减：</t>
    </r>
    <r>
      <rPr>
        <sz val="11"/>
        <color rgb="FF000000"/>
        <rFont val="微软雅黑"/>
        <charset val="134"/>
      </rPr>
      <t>营业成本</t>
    </r>
  </si>
  <si>
    <t>b</t>
  </si>
  <si>
    <r>
      <rPr>
        <sz val="11"/>
        <color rgb="FF000000"/>
        <rFont val="微软雅黑"/>
        <charset val="134"/>
      </rPr>
      <t>税金及附加</t>
    </r>
  </si>
  <si>
    <t>c</t>
  </si>
  <si>
    <r>
      <rPr>
        <sz val="11"/>
        <color rgb="FF000000"/>
        <rFont val="微软雅黑"/>
        <charset val="134"/>
      </rPr>
      <t>营业利润</t>
    </r>
  </si>
  <si>
    <t>d = a-b-c</t>
  </si>
  <si>
    <r>
      <rPr>
        <sz val="11"/>
        <rFont val="微软雅黑"/>
        <charset val="134"/>
      </rPr>
      <t>减：销售费用</t>
    </r>
  </si>
  <si>
    <t>e</t>
  </si>
  <si>
    <r>
      <rPr>
        <sz val="11"/>
        <color rgb="FF000000"/>
        <rFont val="微软雅黑"/>
        <charset val="134"/>
      </rPr>
      <t>管理费用</t>
    </r>
  </si>
  <si>
    <t>f</t>
  </si>
  <si>
    <r>
      <rPr>
        <sz val="11"/>
        <rFont val="微软雅黑"/>
        <charset val="134"/>
      </rPr>
      <t>息税前利润</t>
    </r>
  </si>
  <si>
    <t>g = a-b-c-e-f</t>
  </si>
  <si>
    <r>
      <rPr>
        <sz val="11"/>
        <rFont val="微软雅黑"/>
        <charset val="134"/>
      </rPr>
      <t>营业成本及费用</t>
    </r>
  </si>
  <si>
    <t>h = b+c+e+f</t>
  </si>
  <si>
    <r>
      <rPr>
        <sz val="11"/>
        <rFont val="微软雅黑"/>
        <charset val="134"/>
      </rPr>
      <t>完全成本加成率</t>
    </r>
  </si>
  <si>
    <t>i= g/h</t>
  </si>
  <si>
    <t>根据访谈，关联销售以审计报告为准</t>
  </si>
  <si>
    <t>关联采购</t>
  </si>
  <si>
    <t>关联销售</t>
  </si>
  <si>
    <t>总计</t>
  </si>
  <si>
    <r>
      <rPr>
        <b/>
        <sz val="11"/>
        <color rgb="FFFFFFFF"/>
        <rFont val="仿宋_GB2312"/>
        <charset val="134"/>
      </rPr>
      <t>占采购、销售总额比例</t>
    </r>
    <r>
      <rPr>
        <b/>
        <sz val="11"/>
        <color rgb="FFFFFFFF"/>
        <rFont val="Arial Narrow"/>
        <charset val="134"/>
      </rPr>
      <t>(%)</t>
    </r>
  </si>
  <si>
    <t>关联</t>
  </si>
  <si>
    <t>采购</t>
  </si>
  <si>
    <t>关联采购总计</t>
  </si>
  <si>
    <t>销售</t>
  </si>
  <si>
    <t>关联销售总计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</si>
</sst>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109">
    <font>
      <sz val="12"/>
      <name val="宋体"/>
      <charset val="134"/>
    </font>
    <font>
      <sz val="11"/>
      <color theme="1"/>
      <name val="Arial"/>
      <charset val="134"/>
    </font>
    <font>
      <b/>
      <sz val="11"/>
      <color rgb="FFFFFFFF"/>
      <name val="Arial"/>
      <charset val="134"/>
    </font>
    <font>
      <b/>
      <sz val="11"/>
      <color rgb="FFFFFFFF"/>
      <name val="宋体"/>
      <charset val="134"/>
    </font>
    <font>
      <sz val="11"/>
      <color rgb="FF000000"/>
      <name val="Arial"/>
      <charset val="134"/>
    </font>
    <font>
      <sz val="11"/>
      <name val="Arial"/>
      <charset val="134"/>
    </font>
    <font>
      <sz val="11"/>
      <color rgb="FFFF0000"/>
      <name val="Arial"/>
      <charset val="134"/>
    </font>
    <font>
      <sz val="11"/>
      <color theme="1"/>
      <name val="宋体"/>
      <charset val="134"/>
    </font>
    <font>
      <sz val="10"/>
      <name val="Times New Roman"/>
      <charset val="134"/>
    </font>
    <font>
      <sz val="10"/>
      <name val="宋体"/>
      <charset val="134"/>
    </font>
    <font>
      <b/>
      <sz val="10"/>
      <name val="Times New Roman"/>
      <charset val="134"/>
    </font>
    <font>
      <b/>
      <sz val="11"/>
      <color rgb="FFFFFFFF"/>
      <name val="仿宋_GB2312"/>
      <charset val="134"/>
    </font>
    <font>
      <b/>
      <sz val="11"/>
      <color rgb="FFFFFFFF"/>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rgb="FF000000"/>
      <name val="仿宋_GB2312"/>
      <charset val="134"/>
    </font>
    <font>
      <sz val="11"/>
      <color rgb="FF000000"/>
      <name val="Arial Narrow"/>
      <charset val="134"/>
    </font>
    <font>
      <b/>
      <sz val="11"/>
      <color rgb="FF000000"/>
      <name val="仿宋_GB2312"/>
      <charset val="134"/>
    </font>
    <font>
      <b/>
      <sz val="11"/>
      <color rgb="FF000000"/>
      <name val="Arial Narrow"/>
      <charset val="134"/>
    </font>
    <font>
      <sz val="11"/>
      <color indexed="8"/>
      <name val="宋体"/>
      <charset val="134"/>
    </font>
    <font>
      <b/>
      <sz val="10"/>
      <color rgb="FF000000"/>
      <name val="微软雅黑"/>
      <charset val="134"/>
    </font>
    <font>
      <sz val="10"/>
      <name val="微软雅黑"/>
      <charset val="134"/>
    </font>
    <font>
      <b/>
      <sz val="10"/>
      <name val="微软雅黑"/>
      <charset val="134"/>
    </font>
    <font>
      <sz val="11"/>
      <name val="微软雅黑"/>
      <charset val="134"/>
    </font>
    <font>
      <sz val="12"/>
      <name val="微软雅黑"/>
      <charset val="134"/>
    </font>
    <font>
      <b/>
      <sz val="10"/>
      <color theme="0"/>
      <name val="微软雅黑"/>
      <charset val="134"/>
    </font>
    <font>
      <b/>
      <sz val="12"/>
      <color theme="0"/>
      <name val="微软雅黑"/>
      <charset val="134"/>
    </font>
    <font>
      <sz val="10"/>
      <color indexed="8"/>
      <name val="宋体"/>
      <charset val="134"/>
    </font>
    <font>
      <sz val="10"/>
      <color indexed="8"/>
      <name val="Times New Roman"/>
      <charset val="134"/>
    </font>
    <font>
      <b/>
      <sz val="10"/>
      <color indexed="8"/>
      <name val="宋体"/>
      <charset val="134"/>
    </font>
    <font>
      <b/>
      <sz val="10"/>
      <color indexed="8"/>
      <name val="Times New Roman"/>
      <charset val="134"/>
    </font>
    <font>
      <b/>
      <sz val="12"/>
      <name val="宋体"/>
      <charset val="134"/>
    </font>
    <font>
      <sz val="12"/>
      <name val="Times New Roman"/>
      <charset val="134"/>
    </font>
    <font>
      <sz val="11"/>
      <name val="Times New Roman"/>
      <charset val="134"/>
    </font>
    <font>
      <b/>
      <sz val="12"/>
      <color rgb="FF000000"/>
      <name val="华文楷体"/>
      <charset val="134"/>
    </font>
    <font>
      <b/>
      <sz val="12"/>
      <color rgb="FF000000"/>
      <name val="Times New Roman"/>
      <charset val="134"/>
    </font>
    <font>
      <b/>
      <sz val="12"/>
      <name val="Times New Roman"/>
      <charset val="134"/>
    </font>
    <font>
      <sz val="12"/>
      <color rgb="FFFF0000"/>
      <name val="Times New Roman"/>
      <charset val="134"/>
    </font>
    <font>
      <b/>
      <sz val="10"/>
      <color theme="0"/>
      <name val="Times New Roman"/>
      <charset val="134"/>
    </font>
    <font>
      <sz val="9"/>
      <color theme="0"/>
      <name val="Times New Roman"/>
      <charset val="134"/>
    </font>
    <font>
      <b/>
      <sz val="10"/>
      <color theme="0"/>
      <name val="华文楷体"/>
      <charset val="134"/>
    </font>
    <font>
      <i/>
      <sz val="10"/>
      <color rgb="FFFF0000"/>
      <name val="Arial"/>
      <charset val="134"/>
    </font>
    <font>
      <sz val="10"/>
      <color rgb="FFFF0000"/>
      <name val="宋体"/>
      <charset val="134"/>
    </font>
    <font>
      <sz val="12"/>
      <name val="华文楷体"/>
      <charset val="134"/>
    </font>
    <font>
      <sz val="10"/>
      <name val="华文楷体"/>
      <charset val="134"/>
    </font>
    <font>
      <b/>
      <sz val="12"/>
      <name val="华文楷体"/>
      <charset val="134"/>
    </font>
    <font>
      <sz val="10"/>
      <color rgb="FFFF0000"/>
      <name val="华文楷体"/>
      <charset val="134"/>
    </font>
    <font>
      <sz val="11"/>
      <color rgb="FFFF0000"/>
      <name val="Times New Roman"/>
      <charset val="134"/>
    </font>
    <font>
      <b/>
      <sz val="11"/>
      <name val="Times New Roman"/>
      <charset val="134"/>
    </font>
    <font>
      <sz val="11"/>
      <color rgb="FFFF0000"/>
      <name val="华文楷体"/>
      <charset val="134"/>
    </font>
    <font>
      <b/>
      <sz val="11"/>
      <color theme="0"/>
      <name val="Times New Roman"/>
      <charset val="134"/>
    </font>
    <font>
      <sz val="11"/>
      <color theme="0"/>
      <name val="Times New Roman"/>
      <charset val="134"/>
    </font>
    <font>
      <sz val="11"/>
      <color indexed="8"/>
      <name val="Times New Roman"/>
      <charset val="134"/>
    </font>
    <font>
      <sz val="11"/>
      <color indexed="9"/>
      <name val="Times New Roman"/>
      <charset val="134"/>
    </font>
    <font>
      <b/>
      <sz val="10"/>
      <color rgb="FF000000"/>
      <name val="华文楷体"/>
      <charset val="134"/>
    </font>
    <font>
      <b/>
      <sz val="10"/>
      <name val="华文楷体"/>
      <charset val="134"/>
    </font>
    <font>
      <sz val="10"/>
      <color rgb="FFFF0000"/>
      <name val="Times New Roman"/>
      <charset val="134"/>
    </font>
    <font>
      <sz val="9"/>
      <name val="Arial"/>
      <charset val="134"/>
    </font>
    <font>
      <sz val="9"/>
      <name val="华文楷体"/>
      <charset val="134"/>
    </font>
    <font>
      <b/>
      <sz val="11"/>
      <color rgb="FF000000"/>
      <name val="华文楷体"/>
      <charset val="134"/>
    </font>
    <font>
      <b/>
      <sz val="11"/>
      <color rgb="FFFFFFFF"/>
      <name val="Times New Roman"/>
      <charset val="134"/>
    </font>
    <font>
      <sz val="11"/>
      <color theme="1"/>
      <name val="Times New Roman"/>
      <charset val="134"/>
    </font>
    <font>
      <sz val="11"/>
      <name val="华文楷体"/>
      <charset val="134"/>
    </font>
    <font>
      <sz val="11"/>
      <color rgb="FF000000"/>
      <name val="Times New Roman"/>
      <charset val="134"/>
    </font>
    <font>
      <sz val="11"/>
      <color theme="1"/>
      <name val="华文楷体"/>
      <charset val="134"/>
    </font>
    <font>
      <sz val="11"/>
      <color rgb="FFFF0000"/>
      <name val="宋体"/>
      <charset val="134"/>
    </font>
    <font>
      <b/>
      <sz val="11"/>
      <color theme="1"/>
      <name val="Times New Roman"/>
      <charset val="134"/>
    </font>
    <font>
      <b/>
      <sz val="11"/>
      <color rgb="FF000000"/>
      <name val="Times New Roman"/>
      <charset val="134"/>
    </font>
    <font>
      <b/>
      <sz val="12"/>
      <color theme="1"/>
      <name val="Times New Roman"/>
      <charset val="134"/>
    </font>
    <font>
      <b/>
      <sz val="11"/>
      <color theme="1"/>
      <name val="华文楷体"/>
      <charset val="134"/>
    </font>
    <font>
      <sz val="12"/>
      <color rgb="FFFF0000"/>
      <name val="宋体"/>
      <charset val="134"/>
    </font>
    <font>
      <b/>
      <sz val="11"/>
      <color indexed="9"/>
      <name val="Times New Roman"/>
      <charset val="134"/>
    </font>
    <font>
      <sz val="11"/>
      <color indexed="8"/>
      <name val="华文楷体"/>
      <charset val="134"/>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name val="Times New Roman"/>
      <charset val="134"/>
    </font>
    <font>
      <sz val="11"/>
      <color theme="1"/>
      <name val="宋体"/>
      <charset val="134"/>
      <scheme val="minor"/>
    </font>
    <font>
      <sz val="11"/>
      <color indexed="8"/>
      <name val="Calibri"/>
      <charset val="134"/>
    </font>
    <font>
      <sz val="11"/>
      <color rgb="FF000000"/>
      <name val="微软雅黑"/>
      <charset val="134"/>
    </font>
    <font>
      <b/>
      <sz val="10"/>
      <color theme="0"/>
      <name val="宋体"/>
      <charset val="134"/>
    </font>
    <font>
      <b/>
      <sz val="11"/>
      <color theme="0"/>
      <name val="华文楷体"/>
      <charset val="134"/>
    </font>
    <font>
      <b/>
      <sz val="11"/>
      <color indexed="8"/>
      <name val="华文楷体"/>
      <charset val="134"/>
    </font>
    <font>
      <b/>
      <sz val="11"/>
      <color theme="0"/>
      <name val="宋体"/>
      <charset val="134"/>
    </font>
    <font>
      <b/>
      <sz val="11"/>
      <color indexed="9"/>
      <name val="华文楷体"/>
      <charset val="134"/>
    </font>
    <font>
      <b/>
      <sz val="11"/>
      <color rgb="FFFFFFFF"/>
      <name val="微软雅黑"/>
      <charset val="134"/>
    </font>
    <font>
      <sz val="12"/>
      <color rgb="FFFF0000"/>
      <name val="华文楷体"/>
      <charset val="134"/>
    </font>
    <font>
      <b/>
      <sz val="11"/>
      <name val="华文楷体"/>
      <charset val="134"/>
    </font>
  </fonts>
  <fills count="45">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06918546098"/>
        <bgColor indexed="64"/>
      </patternFill>
    </fill>
    <fill>
      <patternFill patternType="solid">
        <fgColor rgb="FF002060"/>
        <bgColor indexed="64"/>
      </patternFill>
    </fill>
    <fill>
      <patternFill patternType="solid">
        <fgColor theme="0" tint="-0.149937437055574"/>
        <bgColor indexed="64"/>
      </patternFill>
    </fill>
    <fill>
      <patternFill patternType="solid">
        <fgColor theme="9" tint="0.799920651875362"/>
        <bgColor indexed="64"/>
      </patternFill>
    </fill>
    <fill>
      <patternFill patternType="solid">
        <fgColor theme="0" tint="-0.149906918546098"/>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top style="thin">
        <color auto="1"/>
      </top>
      <bottom style="double">
        <color auto="1"/>
      </bottom>
      <diagonal/>
    </border>
    <border>
      <left style="thin">
        <color auto="1"/>
      </left>
      <right style="thin">
        <color auto="1"/>
      </right>
      <top style="double">
        <color auto="1"/>
      </top>
      <bottom style="thin">
        <color auto="1"/>
      </bottom>
      <diagonal/>
    </border>
    <border>
      <left style="medium">
        <color auto="1"/>
      </left>
      <right style="thin">
        <color auto="1"/>
      </right>
      <top/>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176" fontId="75" fillId="0" borderId="0" applyFont="0" applyFill="0" applyBorder="0" applyAlignment="0" applyProtection="0"/>
    <xf numFmtId="44" fontId="76" fillId="0" borderId="0" applyFont="0" applyFill="0" applyBorder="0" applyAlignment="0" applyProtection="0">
      <alignment vertical="center"/>
    </xf>
    <xf numFmtId="9" fontId="75"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6" fillId="14" borderId="40"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41" applyNumberFormat="0" applyFill="0" applyAlignment="0" applyProtection="0">
      <alignment vertical="center"/>
    </xf>
    <xf numFmtId="0" fontId="83" fillId="0" borderId="41" applyNumberFormat="0" applyFill="0" applyAlignment="0" applyProtection="0">
      <alignment vertical="center"/>
    </xf>
    <xf numFmtId="0" fontId="84" fillId="0" borderId="42" applyNumberFormat="0" applyFill="0" applyAlignment="0" applyProtection="0">
      <alignment vertical="center"/>
    </xf>
    <xf numFmtId="0" fontId="84" fillId="0" borderId="0" applyNumberFormat="0" applyFill="0" applyBorder="0" applyAlignment="0" applyProtection="0">
      <alignment vertical="center"/>
    </xf>
    <xf numFmtId="0" fontId="85" fillId="15" borderId="43" applyNumberFormat="0" applyAlignment="0" applyProtection="0">
      <alignment vertical="center"/>
    </xf>
    <xf numFmtId="0" fontId="86" fillId="16" borderId="44" applyNumberFormat="0" applyAlignment="0" applyProtection="0">
      <alignment vertical="center"/>
    </xf>
    <xf numFmtId="0" fontId="87" fillId="16" borderId="43" applyNumberFormat="0" applyAlignment="0" applyProtection="0">
      <alignment vertical="center"/>
    </xf>
    <xf numFmtId="0" fontId="88" fillId="17" borderId="45" applyNumberFormat="0" applyAlignment="0" applyProtection="0">
      <alignment vertical="center"/>
    </xf>
    <xf numFmtId="0" fontId="89" fillId="0" borderId="46" applyNumberFormat="0" applyFill="0" applyAlignment="0" applyProtection="0">
      <alignment vertical="center"/>
    </xf>
    <xf numFmtId="0" fontId="90" fillId="0" borderId="47" applyNumberFormat="0" applyFill="0" applyAlignment="0" applyProtection="0">
      <alignment vertical="center"/>
    </xf>
    <xf numFmtId="0" fontId="91" fillId="18" borderId="0" applyNumberFormat="0" applyBorder="0" applyAlignment="0" applyProtection="0">
      <alignment vertical="center"/>
    </xf>
    <xf numFmtId="0" fontId="92" fillId="19" borderId="0" applyNumberFormat="0" applyBorder="0" applyAlignment="0" applyProtection="0">
      <alignment vertical="center"/>
    </xf>
    <xf numFmtId="0" fontId="93" fillId="20" borderId="0" applyNumberFormat="0" applyBorder="0" applyAlignment="0" applyProtection="0">
      <alignment vertical="center"/>
    </xf>
    <xf numFmtId="0" fontId="94" fillId="21" borderId="0" applyNumberFormat="0" applyBorder="0" applyAlignment="0" applyProtection="0">
      <alignment vertical="center"/>
    </xf>
    <xf numFmtId="0" fontId="95" fillId="22" borderId="0" applyNumberFormat="0" applyBorder="0" applyAlignment="0" applyProtection="0">
      <alignment vertical="center"/>
    </xf>
    <xf numFmtId="0" fontId="95" fillId="23" borderId="0" applyNumberFormat="0" applyBorder="0" applyAlignment="0" applyProtection="0">
      <alignment vertical="center"/>
    </xf>
    <xf numFmtId="0" fontId="94" fillId="24" borderId="0" applyNumberFormat="0" applyBorder="0" applyAlignment="0" applyProtection="0">
      <alignment vertical="center"/>
    </xf>
    <xf numFmtId="0" fontId="94" fillId="25" borderId="0" applyNumberFormat="0" applyBorder="0" applyAlignment="0" applyProtection="0">
      <alignment vertical="center"/>
    </xf>
    <xf numFmtId="0" fontId="95" fillId="26" borderId="0" applyNumberFormat="0" applyBorder="0" applyAlignment="0" applyProtection="0">
      <alignment vertical="center"/>
    </xf>
    <xf numFmtId="0" fontId="95" fillId="27" borderId="0" applyNumberFormat="0" applyBorder="0" applyAlignment="0" applyProtection="0">
      <alignment vertical="center"/>
    </xf>
    <xf numFmtId="0" fontId="94" fillId="28" borderId="0" applyNumberFormat="0" applyBorder="0" applyAlignment="0" applyProtection="0">
      <alignment vertical="center"/>
    </xf>
    <xf numFmtId="0" fontId="94" fillId="29" borderId="0" applyNumberFormat="0" applyBorder="0" applyAlignment="0" applyProtection="0">
      <alignment vertical="center"/>
    </xf>
    <xf numFmtId="0" fontId="95" fillId="30" borderId="0" applyNumberFormat="0" applyBorder="0" applyAlignment="0" applyProtection="0">
      <alignment vertical="center"/>
    </xf>
    <xf numFmtId="0" fontId="95" fillId="31" borderId="0" applyNumberFormat="0" applyBorder="0" applyAlignment="0" applyProtection="0">
      <alignment vertical="center"/>
    </xf>
    <xf numFmtId="0" fontId="94" fillId="32" borderId="0" applyNumberFormat="0" applyBorder="0" applyAlignment="0" applyProtection="0">
      <alignment vertical="center"/>
    </xf>
    <xf numFmtId="0" fontId="94" fillId="33" borderId="0" applyNumberFormat="0" applyBorder="0" applyAlignment="0" applyProtection="0">
      <alignment vertical="center"/>
    </xf>
    <xf numFmtId="0" fontId="95" fillId="34" borderId="0" applyNumberFormat="0" applyBorder="0" applyAlignment="0" applyProtection="0">
      <alignment vertical="center"/>
    </xf>
    <xf numFmtId="0" fontId="95" fillId="35" borderId="0" applyNumberFormat="0" applyBorder="0" applyAlignment="0" applyProtection="0">
      <alignment vertical="center"/>
    </xf>
    <xf numFmtId="0" fontId="94" fillId="36" borderId="0" applyNumberFormat="0" applyBorder="0" applyAlignment="0" applyProtection="0">
      <alignment vertical="center"/>
    </xf>
    <xf numFmtId="0" fontId="94" fillId="37" borderId="0" applyNumberFormat="0" applyBorder="0" applyAlignment="0" applyProtection="0">
      <alignment vertical="center"/>
    </xf>
    <xf numFmtId="0" fontId="95" fillId="38" borderId="0" applyNumberFormat="0" applyBorder="0" applyAlignment="0" applyProtection="0">
      <alignment vertical="center"/>
    </xf>
    <xf numFmtId="0" fontId="95" fillId="39" borderId="0" applyNumberFormat="0" applyBorder="0" applyAlignment="0" applyProtection="0">
      <alignment vertical="center"/>
    </xf>
    <xf numFmtId="0" fontId="94" fillId="40" borderId="0" applyNumberFormat="0" applyBorder="0" applyAlignment="0" applyProtection="0">
      <alignment vertical="center"/>
    </xf>
    <xf numFmtId="0" fontId="94" fillId="41" borderId="0" applyNumberFormat="0" applyBorder="0" applyAlignment="0" applyProtection="0">
      <alignment vertical="center"/>
    </xf>
    <xf numFmtId="0" fontId="95" fillId="42" borderId="0" applyNumberFormat="0" applyBorder="0" applyAlignment="0" applyProtection="0">
      <alignment vertical="center"/>
    </xf>
    <xf numFmtId="0" fontId="95" fillId="43" borderId="0" applyNumberFormat="0" applyBorder="0" applyAlignment="0" applyProtection="0">
      <alignment vertical="center"/>
    </xf>
    <xf numFmtId="0" fontId="94" fillId="44" borderId="0" applyNumberFormat="0" applyBorder="0" applyAlignment="0" applyProtection="0">
      <alignment vertical="center"/>
    </xf>
    <xf numFmtId="43" fontId="96" fillId="0" borderId="0" applyFont="0" applyFill="0" applyBorder="0" applyAlignment="0" applyProtection="0">
      <alignment vertical="center"/>
    </xf>
    <xf numFmtId="177" fontId="97" fillId="0" borderId="0" applyFont="0" applyFill="0" applyBorder="0" applyAlignment="0" applyProtection="0">
      <alignment vertical="center"/>
    </xf>
    <xf numFmtId="0" fontId="96" fillId="0" borderId="0"/>
    <xf numFmtId="0" fontId="97" fillId="0" borderId="0">
      <alignment vertical="center"/>
    </xf>
    <xf numFmtId="0" fontId="75" fillId="0" borderId="0">
      <alignment vertical="center"/>
    </xf>
    <xf numFmtId="0" fontId="96" fillId="0" borderId="0"/>
    <xf numFmtId="0" fontId="98" fillId="0" borderId="0"/>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6" fillId="0" borderId="0"/>
    <xf numFmtId="9" fontId="98" fillId="0" borderId="0" applyFont="0" applyFill="0" applyBorder="0" applyAlignment="0" applyProtection="0">
      <alignment vertical="center"/>
    </xf>
    <xf numFmtId="9" fontId="99" fillId="0" borderId="0" applyFont="0" applyFill="0" applyBorder="0" applyAlignment="0" applyProtection="0"/>
    <xf numFmtId="176" fontId="75" fillId="0" borderId="0" applyFont="0" applyFill="0" applyBorder="0" applyAlignment="0" applyProtection="0"/>
    <xf numFmtId="43" fontId="75" fillId="0" borderId="0" applyFont="0" applyFill="0" applyBorder="0" applyAlignment="0" applyProtection="0"/>
    <xf numFmtId="0" fontId="96" fillId="0" borderId="0"/>
    <xf numFmtId="0" fontId="98" fillId="0" borderId="0">
      <alignment vertical="center"/>
    </xf>
    <xf numFmtId="0" fontId="75" fillId="0" borderId="0">
      <alignment vertical="center"/>
    </xf>
  </cellStyleXfs>
  <cellXfs count="362">
    <xf numFmtId="0" fontId="0" fillId="0" borderId="0" xfId="0">
      <alignment vertical="center"/>
    </xf>
    <xf numFmtId="0" fontId="1" fillId="0" borderId="0" xfId="51" applyFont="1" applyAlignment="1">
      <alignment vertical="center"/>
    </xf>
    <xf numFmtId="0" fontId="2" fillId="2" borderId="1" xfId="51" applyFont="1" applyFill="1" applyBorder="1" applyAlignment="1">
      <alignment horizontal="center" vertical="center" wrapText="1"/>
    </xf>
    <xf numFmtId="0" fontId="2" fillId="2" borderId="2" xfId="51" applyFont="1" applyFill="1" applyBorder="1" applyAlignment="1">
      <alignment horizontal="center" vertical="center" wrapText="1"/>
    </xf>
    <xf numFmtId="0" fontId="3" fillId="2" borderId="3" xfId="51" applyFont="1" applyFill="1" applyBorder="1" applyAlignment="1">
      <alignment horizontal="center" vertical="center" wrapText="1"/>
    </xf>
    <xf numFmtId="0" fontId="2" fillId="2" borderId="3" xfId="51" applyFont="1" applyFill="1" applyBorder="1" applyAlignment="1">
      <alignment horizontal="center" vertical="center" wrapText="1"/>
    </xf>
    <xf numFmtId="0" fontId="2" fillId="2" borderId="4" xfId="51" applyFont="1" applyFill="1" applyBorder="1" applyAlignment="1">
      <alignment horizontal="center" vertical="center" wrapText="1"/>
    </xf>
    <xf numFmtId="0" fontId="2" fillId="2" borderId="5" xfId="51" applyFont="1" applyFill="1" applyBorder="1" applyAlignment="1">
      <alignment horizontal="center" vertical="center" wrapText="1"/>
    </xf>
    <xf numFmtId="0" fontId="2" fillId="3" borderId="3" xfId="51" applyFont="1" applyFill="1" applyBorder="1" applyAlignment="1">
      <alignment horizontal="center" vertical="center" wrapText="1"/>
    </xf>
    <xf numFmtId="0" fontId="2" fillId="3" borderId="4" xfId="51" applyFont="1" applyFill="1" applyBorder="1" applyAlignment="1">
      <alignment horizontal="center" vertical="center" wrapText="1"/>
    </xf>
    <xf numFmtId="0" fontId="2" fillId="3" borderId="5" xfId="51" applyFont="1" applyFill="1" applyBorder="1" applyAlignment="1">
      <alignment horizontal="center" vertical="center" wrapText="1"/>
    </xf>
    <xf numFmtId="0" fontId="2" fillId="4" borderId="2" xfId="51" applyFont="1" applyFill="1" applyBorder="1" applyAlignment="1">
      <alignment horizontal="center" vertical="center" wrapText="1"/>
    </xf>
    <xf numFmtId="0" fontId="2" fillId="4" borderId="6" xfId="51" applyFont="1" applyFill="1" applyBorder="1" applyAlignment="1">
      <alignment horizontal="center" vertical="center" wrapText="1"/>
    </xf>
    <xf numFmtId="0" fontId="2" fillId="2" borderId="7" xfId="51" applyFont="1" applyFill="1" applyBorder="1" applyAlignment="1">
      <alignment horizontal="center" vertical="center" wrapText="1"/>
    </xf>
    <xf numFmtId="0" fontId="2" fillId="2" borderId="8" xfId="51" applyFont="1" applyFill="1" applyBorder="1" applyAlignment="1">
      <alignment horizontal="center" vertical="center" wrapText="1"/>
    </xf>
    <xf numFmtId="0" fontId="2" fillId="4" borderId="8" xfId="51" applyFont="1" applyFill="1" applyBorder="1" applyAlignment="1">
      <alignment horizontal="center" vertical="center" wrapText="1"/>
    </xf>
    <xf numFmtId="0" fontId="2" fillId="4" borderId="9" xfId="51" applyFont="1" applyFill="1" applyBorder="1" applyAlignment="1">
      <alignment horizontal="center" vertical="center" wrapText="1"/>
    </xf>
    <xf numFmtId="0" fontId="4" fillId="0" borderId="7" xfId="51" applyFont="1" applyBorder="1" applyAlignment="1">
      <alignment vertical="center" wrapText="1"/>
    </xf>
    <xf numFmtId="0" fontId="4" fillId="0" borderId="8" xfId="51" applyFont="1" applyBorder="1" applyAlignment="1">
      <alignment horizontal="center" vertical="center" wrapText="1"/>
    </xf>
    <xf numFmtId="43" fontId="4" fillId="0" borderId="8" xfId="51" applyNumberFormat="1" applyFont="1" applyBorder="1" applyAlignment="1">
      <alignment horizontal="center" vertical="center" wrapText="1"/>
    </xf>
    <xf numFmtId="43" fontId="4" fillId="0" borderId="8" xfId="51" applyNumberFormat="1" applyFont="1" applyBorder="1" applyAlignment="1">
      <alignment horizontal="right" vertical="center" wrapText="1"/>
    </xf>
    <xf numFmtId="10" fontId="1" fillId="0" borderId="9" xfId="62" applyNumberFormat="1" applyFont="1" applyBorder="1">
      <alignment vertical="center"/>
    </xf>
    <xf numFmtId="0" fontId="5" fillId="0" borderId="7" xfId="51" applyFont="1" applyBorder="1" applyAlignment="1">
      <alignment vertical="center" wrapText="1"/>
    </xf>
    <xf numFmtId="0" fontId="4" fillId="0" borderId="7" xfId="51" applyFont="1" applyBorder="1" applyAlignment="1">
      <alignment horizontal="left" vertical="center" wrapText="1" indent="2"/>
    </xf>
    <xf numFmtId="0" fontId="1" fillId="0" borderId="9" xfId="62" applyNumberFormat="1" applyFont="1" applyBorder="1">
      <alignment vertical="center"/>
    </xf>
    <xf numFmtId="0" fontId="5" fillId="0" borderId="8" xfId="51" applyFont="1" applyBorder="1" applyAlignment="1">
      <alignment horizontal="center" vertical="center" wrapText="1"/>
    </xf>
    <xf numFmtId="43" fontId="5" fillId="0" borderId="8" xfId="51" applyNumberFormat="1" applyFont="1" applyBorder="1" applyAlignment="1">
      <alignment horizontal="center" vertical="center" wrapText="1"/>
    </xf>
    <xf numFmtId="0" fontId="5" fillId="0" borderId="10" xfId="51" applyFont="1" applyBorder="1" applyAlignment="1">
      <alignment vertical="center" wrapText="1"/>
    </xf>
    <xf numFmtId="0" fontId="5" fillId="0" borderId="11" xfId="51" applyFont="1" applyBorder="1" applyAlignment="1">
      <alignment horizontal="center" vertical="center" wrapText="1"/>
    </xf>
    <xf numFmtId="10" fontId="5" fillId="0" borderId="11" xfId="3" applyNumberFormat="1" applyFont="1" applyFill="1" applyBorder="1" applyAlignment="1" applyProtection="1">
      <alignment horizontal="right" vertical="center" wrapText="1"/>
    </xf>
    <xf numFmtId="10" fontId="4" fillId="0" borderId="11" xfId="62" applyNumberFormat="1" applyFont="1" applyBorder="1" applyAlignment="1">
      <alignment horizontal="right" vertical="center" wrapText="1"/>
    </xf>
    <xf numFmtId="10" fontId="5" fillId="0" borderId="11" xfId="62" applyNumberFormat="1" applyFont="1" applyBorder="1" applyAlignment="1">
      <alignment horizontal="right" vertical="center" wrapText="1"/>
    </xf>
    <xf numFmtId="10" fontId="6" fillId="0" borderId="11" xfId="62" applyNumberFormat="1" applyFont="1" applyBorder="1" applyAlignment="1">
      <alignment horizontal="right" vertical="center" wrapText="1"/>
    </xf>
    <xf numFmtId="10" fontId="1" fillId="0" borderId="12" xfId="62" applyNumberFormat="1" applyFont="1" applyBorder="1">
      <alignment vertical="center"/>
    </xf>
    <xf numFmtId="0" fontId="1" fillId="0" borderId="0" xfId="51" applyFont="1" applyAlignment="1">
      <alignment horizontal="center" vertical="center"/>
    </xf>
    <xf numFmtId="10" fontId="1" fillId="0" borderId="0" xfId="62" applyNumberFormat="1" applyFont="1">
      <alignment vertical="center"/>
    </xf>
    <xf numFmtId="0" fontId="7" fillId="0" borderId="0" xfId="51" applyFont="1" applyAlignment="1">
      <alignment vertical="center"/>
    </xf>
    <xf numFmtId="10" fontId="6" fillId="0" borderId="0" xfId="62" applyNumberFormat="1" applyFont="1">
      <alignment vertical="center"/>
    </xf>
    <xf numFmtId="0" fontId="8" fillId="5" borderId="13" xfId="59" applyFont="1" applyFill="1" applyBorder="1" applyAlignment="1">
      <alignment horizontal="center" vertical="center" wrapText="1"/>
    </xf>
    <xf numFmtId="0" fontId="8" fillId="5" borderId="8" xfId="59" applyFont="1" applyFill="1" applyBorder="1" applyAlignment="1">
      <alignment horizontal="center" vertical="center"/>
    </xf>
    <xf numFmtId="0" fontId="8" fillId="0" borderId="14" xfId="59" applyFont="1" applyBorder="1">
      <alignment vertical="center"/>
    </xf>
    <xf numFmtId="0" fontId="9" fillId="0" borderId="8" xfId="60" applyFont="1" applyBorder="1" applyAlignment="1">
      <alignment vertical="center" wrapText="1"/>
    </xf>
    <xf numFmtId="176" fontId="8" fillId="0" borderId="8" xfId="1" applyFont="1" applyFill="1" applyBorder="1" applyAlignment="1">
      <alignment vertical="center"/>
    </xf>
    <xf numFmtId="0" fontId="8" fillId="5" borderId="15" xfId="59" applyFont="1" applyFill="1" applyBorder="1" applyAlignment="1">
      <alignment horizontal="center" vertical="center" wrapText="1"/>
    </xf>
    <xf numFmtId="176" fontId="8" fillId="5" borderId="8" xfId="1" applyFont="1" applyFill="1" applyBorder="1" applyAlignment="1">
      <alignment vertical="center"/>
    </xf>
    <xf numFmtId="0" fontId="8" fillId="5" borderId="14" xfId="59" applyFont="1" applyFill="1" applyBorder="1">
      <alignment vertical="center"/>
    </xf>
    <xf numFmtId="0" fontId="8" fillId="5" borderId="8" xfId="60" applyFont="1" applyFill="1" applyBorder="1" applyAlignment="1">
      <alignment vertical="center" wrapText="1"/>
    </xf>
    <xf numFmtId="0" fontId="8" fillId="5" borderId="8" xfId="59" applyFont="1" applyFill="1" applyBorder="1">
      <alignment vertical="center"/>
    </xf>
    <xf numFmtId="0" fontId="8" fillId="5" borderId="16" xfId="59" applyFont="1" applyFill="1" applyBorder="1" applyAlignment="1">
      <alignment horizontal="center" vertical="center" wrapText="1"/>
    </xf>
    <xf numFmtId="0" fontId="8" fillId="6" borderId="8" xfId="59" applyFont="1" applyFill="1" applyBorder="1">
      <alignment vertical="center"/>
    </xf>
    <xf numFmtId="0" fontId="8" fillId="6" borderId="14" xfId="59" applyFont="1" applyFill="1" applyBorder="1">
      <alignment vertical="center"/>
    </xf>
    <xf numFmtId="0" fontId="8" fillId="6" borderId="8" xfId="60" applyFont="1" applyFill="1" applyBorder="1" applyAlignment="1">
      <alignment vertical="center" wrapText="1"/>
    </xf>
    <xf numFmtId="176" fontId="8" fillId="6" borderId="8" xfId="1" applyFont="1" applyFill="1" applyBorder="1" applyAlignment="1">
      <alignment vertical="center"/>
    </xf>
    <xf numFmtId="0" fontId="10" fillId="6" borderId="8" xfId="59" applyFont="1" applyFill="1" applyBorder="1">
      <alignment vertical="center"/>
    </xf>
    <xf numFmtId="0" fontId="10" fillId="6" borderId="14" xfId="59" applyFont="1" applyFill="1" applyBorder="1">
      <alignment vertical="center"/>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1" fillId="7" borderId="19" xfId="0" applyFont="1" applyFill="1" applyBorder="1" applyAlignment="1">
      <alignment horizontal="center" vertical="center" wrapText="1"/>
    </xf>
    <xf numFmtId="0" fontId="12" fillId="7" borderId="20" xfId="0" applyFont="1" applyFill="1" applyBorder="1" applyAlignment="1">
      <alignment horizontal="center" vertical="center" wrapText="1"/>
    </xf>
    <xf numFmtId="0" fontId="12" fillId="7" borderId="21" xfId="0" applyFont="1" applyFill="1" applyBorder="1" applyAlignment="1">
      <alignment horizontal="center" vertical="center" wrapText="1"/>
    </xf>
    <xf numFmtId="0" fontId="13" fillId="0" borderId="22" xfId="0" applyFont="1" applyBorder="1" applyAlignment="1">
      <alignment horizontal="center" vertical="center" wrapText="1"/>
    </xf>
    <xf numFmtId="4" fontId="14" fillId="0" borderId="22" xfId="0" applyNumberFormat="1" applyFont="1" applyBorder="1" applyAlignment="1">
      <alignment horizontal="right" vertical="center" wrapText="1"/>
    </xf>
    <xf numFmtId="0" fontId="14" fillId="0" borderId="22" xfId="0" applyFont="1" applyBorder="1" applyAlignment="1">
      <alignment horizontal="right" vertical="center" wrapText="1"/>
    </xf>
    <xf numFmtId="0" fontId="15" fillId="0" borderId="22" xfId="0" applyFont="1" applyBorder="1" applyAlignment="1">
      <alignment horizontal="center" vertical="center" wrapText="1"/>
    </xf>
    <xf numFmtId="4" fontId="16" fillId="0" borderId="22" xfId="0" applyNumberFormat="1" applyFont="1" applyBorder="1" applyAlignment="1">
      <alignment horizontal="right" vertical="center" wrapText="1"/>
    </xf>
    <xf numFmtId="43" fontId="1" fillId="0" borderId="0" xfId="51" applyNumberFormat="1" applyFont="1" applyAlignment="1">
      <alignment vertical="center"/>
    </xf>
    <xf numFmtId="0" fontId="11" fillId="7" borderId="8"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justify" vertical="center" wrapText="1"/>
    </xf>
    <xf numFmtId="4" fontId="18" fillId="0" borderId="8" xfId="0" applyNumberFormat="1" applyFont="1" applyBorder="1" applyAlignment="1">
      <alignment horizontal="right" vertical="center" wrapText="1"/>
    </xf>
    <xf numFmtId="10" fontId="18" fillId="0" borderId="8" xfId="0" applyNumberFormat="1" applyFont="1" applyBorder="1" applyAlignment="1">
      <alignment horizontal="right" vertical="center" wrapText="1"/>
    </xf>
    <xf numFmtId="0" fontId="19" fillId="0" borderId="8" xfId="0" applyFont="1" applyBorder="1" applyAlignment="1">
      <alignment horizontal="justify" vertical="center" wrapText="1"/>
    </xf>
    <xf numFmtId="4" fontId="20" fillId="0" borderId="8" xfId="0" applyNumberFormat="1" applyFont="1" applyBorder="1" applyAlignment="1">
      <alignment horizontal="right" vertical="center" wrapText="1"/>
    </xf>
    <xf numFmtId="0" fontId="0" fillId="0" borderId="8" xfId="0" applyBorder="1">
      <alignment vertical="center"/>
    </xf>
    <xf numFmtId="0" fontId="17" fillId="0" borderId="8" xfId="0" applyFont="1" applyBorder="1" applyAlignment="1">
      <alignment horizontal="justify" vertical="center" wrapText="1"/>
    </xf>
    <xf numFmtId="4" fontId="18" fillId="0" borderId="8" xfId="0" applyNumberFormat="1" applyFont="1" applyBorder="1" applyAlignment="1">
      <alignment horizontal="right" vertical="center"/>
    </xf>
    <xf numFmtId="0" fontId="19" fillId="0" borderId="8" xfId="0" applyFont="1" applyBorder="1" applyAlignment="1">
      <alignment vertical="center" wrapText="1"/>
    </xf>
    <xf numFmtId="0" fontId="21" fillId="0" borderId="0" xfId="67" applyFont="1" applyProtection="1">
      <alignment vertical="center"/>
      <protection locked="0"/>
    </xf>
    <xf numFmtId="0" fontId="0" fillId="0" borderId="0" xfId="67" applyFont="1" applyProtection="1">
      <alignment vertical="center"/>
      <protection locked="0"/>
    </xf>
    <xf numFmtId="0" fontId="22" fillId="5" borderId="0" xfId="0" applyFont="1" applyFill="1">
      <alignment vertical="center"/>
    </xf>
    <xf numFmtId="0" fontId="22" fillId="5" borderId="0" xfId="67" applyFont="1" applyFill="1" applyAlignment="1">
      <alignment horizontal="left" vertical="center"/>
    </xf>
    <xf numFmtId="0" fontId="23" fillId="5" borderId="0" xfId="57" applyFont="1" applyFill="1">
      <alignment vertical="center"/>
    </xf>
    <xf numFmtId="0" fontId="22" fillId="5" borderId="0" xfId="67" applyFont="1" applyFill="1">
      <alignment vertical="center"/>
    </xf>
    <xf numFmtId="0" fontId="24" fillId="5" borderId="0" xfId="67" applyFont="1" applyFill="1" applyAlignment="1">
      <alignment horizontal="left" vertical="center"/>
    </xf>
    <xf numFmtId="0" fontId="25" fillId="5" borderId="0" xfId="57" applyFont="1" applyFill="1" applyAlignment="1">
      <alignment horizontal="left" vertical="center"/>
    </xf>
    <xf numFmtId="0" fontId="26" fillId="5" borderId="0" xfId="57" applyFont="1" applyFill="1" applyAlignment="1">
      <alignment horizontal="left" vertical="center"/>
    </xf>
    <xf numFmtId="0" fontId="23" fillId="5" borderId="0" xfId="57" applyFont="1" applyFill="1" applyAlignment="1">
      <alignment horizontal="left" vertical="center"/>
    </xf>
    <xf numFmtId="0" fontId="23" fillId="5" borderId="0" xfId="57" applyFont="1" applyFill="1" applyAlignment="1">
      <alignment horizontal="left" vertical="center" wrapText="1"/>
    </xf>
    <xf numFmtId="0" fontId="27" fillId="4" borderId="8" xfId="67" applyFont="1" applyFill="1" applyBorder="1" applyAlignment="1" applyProtection="1">
      <alignment horizontal="center" vertical="center"/>
      <protection locked="0"/>
    </xf>
    <xf numFmtId="0" fontId="27" fillId="4" borderId="8" xfId="67" applyFont="1" applyFill="1" applyBorder="1" applyAlignment="1" applyProtection="1">
      <alignment horizontal="center" vertical="center" wrapText="1"/>
      <protection locked="0"/>
    </xf>
    <xf numFmtId="0" fontId="28" fillId="4" borderId="8" xfId="67" applyFont="1" applyFill="1" applyBorder="1" applyAlignment="1" applyProtection="1">
      <alignment horizontal="center" vertical="center"/>
      <protection locked="0"/>
    </xf>
    <xf numFmtId="0" fontId="29" fillId="0" borderId="8" xfId="67" applyFont="1" applyBorder="1" applyAlignment="1" applyProtection="1">
      <alignment horizontal="center" vertical="center"/>
      <protection locked="0"/>
    </xf>
    <xf numFmtId="0" fontId="29" fillId="0" borderId="23" xfId="67" applyFont="1" applyBorder="1" applyAlignment="1" applyProtection="1">
      <alignment horizontal="center" vertical="center" wrapText="1"/>
      <protection locked="0"/>
    </xf>
    <xf numFmtId="0" fontId="30" fillId="0" borderId="8" xfId="67" applyFont="1" applyBorder="1" applyAlignment="1" applyProtection="1">
      <alignment horizontal="center" vertical="center" wrapText="1"/>
      <protection locked="0"/>
    </xf>
    <xf numFmtId="10" fontId="30" fillId="5" borderId="8" xfId="3" applyNumberFormat="1" applyFont="1" applyFill="1" applyBorder="1" applyAlignment="1" applyProtection="1">
      <alignment horizontal="center" vertical="center" wrapText="1"/>
    </xf>
    <xf numFmtId="0" fontId="0" fillId="0" borderId="8" xfId="67" applyFont="1" applyBorder="1" applyProtection="1">
      <alignment vertical="center"/>
      <protection locked="0"/>
    </xf>
    <xf numFmtId="0" fontId="29" fillId="0" borderId="24" xfId="67" applyFont="1" applyBorder="1" applyAlignment="1" applyProtection="1">
      <alignment horizontal="center" vertical="center" wrapText="1"/>
      <protection locked="0"/>
    </xf>
    <xf numFmtId="0" fontId="29" fillId="0" borderId="8" xfId="67" applyFont="1" applyBorder="1" applyAlignment="1" applyProtection="1">
      <alignment horizontal="center" vertical="center" wrapText="1"/>
      <protection locked="0"/>
    </xf>
    <xf numFmtId="0" fontId="29" fillId="8" borderId="8" xfId="67" applyFont="1" applyFill="1" applyBorder="1" applyAlignment="1" applyProtection="1">
      <alignment horizontal="center" vertical="center"/>
      <protection locked="0"/>
    </xf>
    <xf numFmtId="0" fontId="31" fillId="8" borderId="8" xfId="67" applyFont="1" applyFill="1" applyBorder="1" applyAlignment="1" applyProtection="1">
      <alignment horizontal="center" vertical="center" wrapText="1"/>
      <protection locked="0"/>
    </xf>
    <xf numFmtId="0" fontId="30" fillId="8" borderId="8" xfId="67" applyFont="1" applyFill="1" applyBorder="1" applyAlignment="1">
      <alignment horizontal="center" vertical="center" wrapText="1"/>
    </xf>
    <xf numFmtId="10" fontId="30" fillId="8" borderId="8" xfId="3" applyNumberFormat="1" applyFont="1" applyFill="1" applyBorder="1" applyAlignment="1" applyProtection="1">
      <alignment horizontal="center" vertical="center" wrapText="1"/>
    </xf>
    <xf numFmtId="0" fontId="0" fillId="8" borderId="8" xfId="67" applyFont="1" applyFill="1" applyBorder="1" applyProtection="1">
      <alignment vertical="center"/>
      <protection locked="0"/>
    </xf>
    <xf numFmtId="0" fontId="29" fillId="0" borderId="25" xfId="67" applyFont="1" applyBorder="1" applyAlignment="1" applyProtection="1">
      <alignment horizontal="center" vertical="center" wrapText="1"/>
      <protection locked="0"/>
    </xf>
    <xf numFmtId="0" fontId="0" fillId="0" borderId="0" xfId="67" applyFont="1">
      <alignment vertical="center"/>
    </xf>
    <xf numFmtId="0" fontId="30" fillId="0" borderId="25" xfId="67" applyFont="1" applyBorder="1" applyAlignment="1" applyProtection="1">
      <alignment horizontal="center" vertical="center" wrapText="1"/>
      <protection locked="0"/>
    </xf>
    <xf numFmtId="0" fontId="29" fillId="8" borderId="8" xfId="67" applyFont="1" applyFill="1" applyBorder="1" applyAlignment="1" applyProtection="1">
      <alignment horizontal="center" vertical="center" wrapText="1"/>
      <protection locked="0"/>
    </xf>
    <xf numFmtId="0" fontId="30" fillId="8" borderId="8" xfId="67" applyFont="1" applyFill="1" applyBorder="1" applyAlignment="1" applyProtection="1">
      <alignment horizontal="center" vertical="center" wrapText="1"/>
      <protection locked="0"/>
    </xf>
    <xf numFmtId="9" fontId="30" fillId="8" borderId="8" xfId="67" applyNumberFormat="1" applyFont="1" applyFill="1" applyBorder="1" applyAlignment="1" applyProtection="1">
      <alignment horizontal="center" vertical="center"/>
      <protection locked="0"/>
    </xf>
    <xf numFmtId="0" fontId="31" fillId="8" borderId="8" xfId="67" applyFont="1" applyFill="1" applyBorder="1" applyAlignment="1" applyProtection="1">
      <alignment horizontal="center" vertical="center"/>
      <protection locked="0"/>
    </xf>
    <xf numFmtId="0" fontId="32" fillId="8" borderId="8" xfId="67" applyFont="1" applyFill="1" applyBorder="1" applyAlignment="1">
      <alignment horizontal="center" vertical="center" wrapText="1"/>
    </xf>
    <xf numFmtId="10" fontId="32" fillId="8" borderId="8" xfId="3" applyNumberFormat="1" applyFont="1" applyFill="1" applyBorder="1" applyAlignment="1" applyProtection="1">
      <alignment horizontal="center" vertical="center" wrapText="1"/>
    </xf>
    <xf numFmtId="0" fontId="33" fillId="8" borderId="8" xfId="67" applyFont="1" applyFill="1" applyBorder="1" applyProtection="1">
      <alignment vertical="center"/>
      <protection locked="0"/>
    </xf>
    <xf numFmtId="0" fontId="29" fillId="9" borderId="8" xfId="67" applyFont="1" applyFill="1" applyBorder="1" applyAlignment="1" applyProtection="1">
      <alignment horizontal="center" vertical="center"/>
      <protection locked="0"/>
    </xf>
    <xf numFmtId="0" fontId="29" fillId="8" borderId="26" xfId="67" applyFont="1" applyFill="1" applyBorder="1" applyAlignment="1" applyProtection="1">
      <alignment horizontal="center" vertical="center" wrapText="1"/>
      <protection locked="0"/>
    </xf>
    <xf numFmtId="0" fontId="29" fillId="8" borderId="27" xfId="67" applyFont="1" applyFill="1" applyBorder="1" applyAlignment="1" applyProtection="1">
      <alignment horizontal="center" vertical="center" wrapText="1"/>
      <protection locked="0"/>
    </xf>
    <xf numFmtId="0" fontId="29" fillId="8" borderId="14" xfId="67" applyFont="1" applyFill="1" applyBorder="1" applyAlignment="1" applyProtection="1">
      <alignment horizontal="center" vertical="center" wrapText="1"/>
      <protection locked="0"/>
    </xf>
    <xf numFmtId="0" fontId="34" fillId="5" borderId="0" xfId="60" applyFont="1" applyFill="1">
      <alignment vertical="center"/>
    </xf>
    <xf numFmtId="0" fontId="35" fillId="5" borderId="0" xfId="60" applyFont="1" applyFill="1">
      <alignment vertical="center"/>
    </xf>
    <xf numFmtId="0" fontId="10" fillId="5" borderId="0" xfId="60" applyFont="1" applyFill="1" applyAlignment="1">
      <alignment horizontal="center" vertical="center" wrapText="1"/>
    </xf>
    <xf numFmtId="0" fontId="8" fillId="5" borderId="0" xfId="60" applyFont="1" applyFill="1" applyAlignment="1">
      <alignment horizontal="center" vertical="center"/>
    </xf>
    <xf numFmtId="0" fontId="8" fillId="5" borderId="0" xfId="60" applyFont="1" applyFill="1">
      <alignment vertical="center"/>
    </xf>
    <xf numFmtId="176" fontId="8" fillId="5" borderId="0" xfId="1" applyFont="1" applyFill="1" applyAlignment="1">
      <alignment vertical="center"/>
    </xf>
    <xf numFmtId="0" fontId="36" fillId="5" borderId="0" xfId="0" applyFont="1" applyFill="1">
      <alignment vertical="center"/>
    </xf>
    <xf numFmtId="0" fontId="37" fillId="5" borderId="0" xfId="0" applyFont="1" applyFill="1">
      <alignment vertical="center"/>
    </xf>
    <xf numFmtId="0" fontId="38" fillId="5" borderId="0" xfId="60" applyFont="1" applyFill="1" applyAlignment="1">
      <alignment horizontal="left" vertical="center"/>
    </xf>
    <xf numFmtId="176" fontId="34" fillId="5" borderId="0" xfId="1" applyFont="1" applyFill="1" applyAlignment="1">
      <alignment vertical="center"/>
    </xf>
    <xf numFmtId="0" fontId="38" fillId="5" borderId="0" xfId="0" applyFont="1" applyFill="1" applyAlignment="1">
      <alignment horizontal="left" vertical="center"/>
    </xf>
    <xf numFmtId="0" fontId="34" fillId="5" borderId="0" xfId="60" applyFont="1" applyFill="1" applyAlignment="1">
      <alignment horizontal="left" vertical="center"/>
    </xf>
    <xf numFmtId="49" fontId="39" fillId="5" borderId="0" xfId="60" applyNumberFormat="1" applyFont="1" applyFill="1" applyAlignment="1">
      <alignment horizontal="left" vertical="center" wrapText="1"/>
    </xf>
    <xf numFmtId="0" fontId="40" fillId="7" borderId="26" xfId="59" applyFont="1" applyFill="1" applyBorder="1" applyAlignment="1">
      <alignment horizontal="center" vertical="center" wrapText="1"/>
    </xf>
    <xf numFmtId="0" fontId="40" fillId="7" borderId="7" xfId="60" applyFont="1" applyFill="1" applyBorder="1" applyAlignment="1">
      <alignment horizontal="center" vertical="center" wrapText="1"/>
    </xf>
    <xf numFmtId="0" fontId="40" fillId="7" borderId="8" xfId="60" applyFont="1" applyFill="1" applyBorder="1" applyAlignment="1">
      <alignment horizontal="center" vertical="center" wrapText="1"/>
    </xf>
    <xf numFmtId="0" fontId="40" fillId="7" borderId="23" xfId="60" applyFont="1" applyFill="1" applyBorder="1" applyAlignment="1">
      <alignment horizontal="center" vertical="center" wrapText="1"/>
    </xf>
    <xf numFmtId="0" fontId="41" fillId="7" borderId="26" xfId="59" applyFont="1" applyFill="1" applyBorder="1" applyAlignment="1">
      <alignment horizontal="center" vertical="center"/>
    </xf>
    <xf numFmtId="0" fontId="41" fillId="7" borderId="7" xfId="60" applyFont="1" applyFill="1" applyBorder="1" applyAlignment="1">
      <alignment horizontal="center" vertical="center"/>
    </xf>
    <xf numFmtId="0" fontId="41" fillId="7" borderId="8" xfId="60" applyFont="1" applyFill="1" applyBorder="1">
      <alignment vertical="center"/>
    </xf>
    <xf numFmtId="176" fontId="42" fillId="7" borderId="8" xfId="1" applyFont="1" applyFill="1" applyBorder="1" applyAlignment="1">
      <alignment horizontal="center" vertical="center" wrapText="1"/>
    </xf>
    <xf numFmtId="0" fontId="41" fillId="7" borderId="25" xfId="60" applyFont="1" applyFill="1" applyBorder="1" applyAlignment="1">
      <alignment vertical="center" wrapText="1"/>
    </xf>
    <xf numFmtId="0" fontId="10" fillId="10" borderId="8" xfId="60" applyFont="1" applyFill="1" applyBorder="1" applyAlignment="1">
      <alignment horizontal="left" vertical="center" wrapText="1"/>
    </xf>
    <xf numFmtId="0" fontId="10" fillId="10" borderId="14" xfId="60" applyFont="1" applyFill="1" applyBorder="1" applyAlignment="1">
      <alignment horizontal="left" vertical="center" wrapText="1"/>
    </xf>
    <xf numFmtId="0" fontId="10" fillId="10" borderId="26" xfId="60" applyFont="1" applyFill="1" applyBorder="1" applyAlignment="1">
      <alignment horizontal="left" vertical="center" wrapText="1"/>
    </xf>
    <xf numFmtId="0" fontId="8" fillId="11" borderId="14" xfId="59" applyFont="1" applyFill="1" applyBorder="1">
      <alignment vertical="center"/>
    </xf>
    <xf numFmtId="0" fontId="9" fillId="11" borderId="8" xfId="60" applyFont="1" applyFill="1" applyBorder="1" applyAlignment="1">
      <alignment vertical="center" wrapText="1"/>
    </xf>
    <xf numFmtId="176" fontId="8" fillId="11" borderId="8" xfId="1" applyFont="1" applyFill="1" applyBorder="1" applyAlignment="1">
      <alignment vertical="center"/>
    </xf>
    <xf numFmtId="178" fontId="8" fillId="5" borderId="8" xfId="3" applyNumberFormat="1" applyFont="1" applyFill="1" applyBorder="1">
      <alignment vertical="center"/>
    </xf>
    <xf numFmtId="0" fontId="8" fillId="5" borderId="8" xfId="60" applyFont="1" applyFill="1" applyBorder="1">
      <alignment vertical="center"/>
    </xf>
    <xf numFmtId="0" fontId="8" fillId="5" borderId="26" xfId="60" applyFont="1" applyFill="1" applyBorder="1">
      <alignment vertical="center"/>
    </xf>
    <xf numFmtId="43" fontId="8" fillId="5" borderId="0" xfId="60" applyNumberFormat="1" applyFont="1" applyFill="1">
      <alignment vertical="center"/>
    </xf>
    <xf numFmtId="178" fontId="8" fillId="6" borderId="8" xfId="3" applyNumberFormat="1" applyFont="1" applyFill="1" applyBorder="1">
      <alignment vertical="center"/>
    </xf>
    <xf numFmtId="0" fontId="8" fillId="6" borderId="8" xfId="60" applyFont="1" applyFill="1" applyBorder="1">
      <alignment vertical="center"/>
    </xf>
    <xf numFmtId="0" fontId="8" fillId="6" borderId="26" xfId="60" applyFont="1" applyFill="1" applyBorder="1">
      <alignment vertical="center"/>
    </xf>
    <xf numFmtId="0" fontId="10" fillId="6" borderId="28" xfId="59" applyFont="1" applyFill="1" applyBorder="1" applyAlignment="1">
      <alignment horizontal="left" vertical="center"/>
    </xf>
    <xf numFmtId="0" fontId="8" fillId="6" borderId="29" xfId="59" applyFont="1" applyFill="1" applyBorder="1" applyAlignment="1">
      <alignment horizontal="left" vertical="center"/>
    </xf>
    <xf numFmtId="0" fontId="8" fillId="6" borderId="28" xfId="59" applyFont="1" applyFill="1" applyBorder="1">
      <alignment vertical="center"/>
    </xf>
    <xf numFmtId="176" fontId="8" fillId="6" borderId="28" xfId="1" applyFont="1" applyFill="1" applyBorder="1" applyAlignment="1">
      <alignment vertical="center"/>
    </xf>
    <xf numFmtId="178" fontId="8" fillId="6" borderId="28" xfId="3" applyNumberFormat="1" applyFont="1" applyFill="1" applyBorder="1">
      <alignment vertical="center"/>
    </xf>
    <xf numFmtId="0" fontId="10" fillId="10" borderId="25" xfId="60" applyFont="1" applyFill="1" applyBorder="1" applyAlignment="1">
      <alignment horizontal="left" vertical="center" wrapText="1"/>
    </xf>
    <xf numFmtId="0" fontId="10" fillId="10" borderId="30" xfId="60" applyFont="1" applyFill="1" applyBorder="1" applyAlignment="1">
      <alignment horizontal="left" vertical="center" wrapText="1"/>
    </xf>
    <xf numFmtId="0" fontId="10" fillId="10" borderId="16" xfId="60" applyFont="1" applyFill="1" applyBorder="1" applyAlignment="1">
      <alignment horizontal="left" vertical="center" wrapText="1"/>
    </xf>
    <xf numFmtId="178" fontId="8" fillId="5" borderId="8" xfId="3" applyNumberFormat="1" applyFont="1" applyFill="1" applyBorder="1" applyAlignment="1">
      <alignment vertical="center"/>
    </xf>
    <xf numFmtId="178" fontId="8" fillId="6" borderId="8" xfId="3" applyNumberFormat="1" applyFont="1" applyFill="1" applyBorder="1" applyAlignment="1">
      <alignment vertical="center"/>
    </xf>
    <xf numFmtId="0" fontId="10" fillId="6" borderId="23" xfId="59" applyFont="1" applyFill="1" applyBorder="1" applyAlignment="1">
      <alignment horizontal="left" vertical="center"/>
    </xf>
    <xf numFmtId="0" fontId="10" fillId="6" borderId="29" xfId="59" applyFont="1" applyFill="1" applyBorder="1">
      <alignment vertical="center"/>
    </xf>
    <xf numFmtId="0" fontId="8" fillId="6" borderId="28" xfId="60" applyFont="1" applyFill="1" applyBorder="1" applyAlignment="1">
      <alignment vertical="center" wrapText="1"/>
    </xf>
    <xf numFmtId="178" fontId="8" fillId="6" borderId="28" xfId="3" applyNumberFormat="1" applyFont="1" applyFill="1" applyBorder="1" applyAlignment="1">
      <alignment vertical="center"/>
    </xf>
    <xf numFmtId="0" fontId="8" fillId="6" borderId="28" xfId="60" applyFont="1" applyFill="1" applyBorder="1">
      <alignment vertical="center"/>
    </xf>
    <xf numFmtId="0" fontId="8" fillId="6" borderId="31" xfId="60" applyFont="1" applyFill="1" applyBorder="1">
      <alignment vertical="center"/>
    </xf>
    <xf numFmtId="0" fontId="10" fillId="6" borderId="8" xfId="60" applyFont="1" applyFill="1" applyBorder="1" applyAlignment="1">
      <alignment horizontal="left" vertical="center"/>
    </xf>
    <xf numFmtId="0" fontId="10" fillId="6" borderId="30" xfId="60" applyFont="1" applyFill="1" applyBorder="1" applyAlignment="1">
      <alignment horizontal="left" vertical="center"/>
    </xf>
    <xf numFmtId="0" fontId="8" fillId="6" borderId="25" xfId="60" applyFont="1" applyFill="1" applyBorder="1" applyAlignment="1">
      <alignment horizontal="left" vertical="center"/>
    </xf>
    <xf numFmtId="0" fontId="8" fillId="6" borderId="25" xfId="60" applyFont="1" applyFill="1" applyBorder="1" applyAlignment="1">
      <alignment vertical="center" wrapText="1"/>
    </xf>
    <xf numFmtId="176" fontId="8" fillId="6" borderId="32" xfId="1" applyFont="1" applyFill="1" applyBorder="1" applyAlignment="1">
      <alignment vertical="center"/>
    </xf>
    <xf numFmtId="178" fontId="8" fillId="6" borderId="32" xfId="3" applyNumberFormat="1" applyFont="1" applyFill="1" applyBorder="1" applyAlignment="1">
      <alignment vertical="center"/>
    </xf>
    <xf numFmtId="178" fontId="8" fillId="6" borderId="25" xfId="3" applyNumberFormat="1" applyFont="1" applyFill="1" applyBorder="1" applyAlignment="1">
      <alignment vertical="center"/>
    </xf>
    <xf numFmtId="0" fontId="8" fillId="6" borderId="25" xfId="60" applyFont="1" applyFill="1" applyBorder="1">
      <alignment vertical="center"/>
    </xf>
    <xf numFmtId="0" fontId="8" fillId="6" borderId="16" xfId="60" applyFont="1" applyFill="1" applyBorder="1">
      <alignment vertical="center"/>
    </xf>
    <xf numFmtId="0" fontId="8" fillId="5" borderId="0" xfId="60" applyFont="1" applyFill="1" applyAlignment="1">
      <alignment vertical="center" wrapText="1"/>
    </xf>
    <xf numFmtId="0" fontId="43" fillId="5" borderId="0" xfId="60" applyFont="1" applyFill="1" applyAlignment="1">
      <alignment horizontal="left" vertical="center"/>
    </xf>
    <xf numFmtId="0" fontId="44" fillId="5" borderId="0" xfId="60" applyFont="1" applyFill="1" applyAlignment="1">
      <alignment horizontal="left" vertical="center"/>
    </xf>
    <xf numFmtId="0" fontId="45" fillId="5" borderId="0" xfId="59" applyFont="1" applyFill="1">
      <alignment vertical="center"/>
    </xf>
    <xf numFmtId="0" fontId="35" fillId="5" borderId="0" xfId="59" applyFont="1" applyFill="1">
      <alignment vertical="center"/>
    </xf>
    <xf numFmtId="0" fontId="8" fillId="5" borderId="0" xfId="59" applyFont="1" applyFill="1">
      <alignment vertical="center"/>
    </xf>
    <xf numFmtId="0" fontId="10" fillId="5" borderId="0" xfId="59" applyFont="1" applyFill="1" applyAlignment="1">
      <alignment horizontal="center" vertical="center" wrapText="1"/>
    </xf>
    <xf numFmtId="0" fontId="10" fillId="5" borderId="0" xfId="59" applyFont="1" applyFill="1">
      <alignment vertical="center"/>
    </xf>
    <xf numFmtId="0" fontId="46" fillId="5" borderId="0" xfId="59" applyFont="1" applyFill="1" applyAlignment="1">
      <alignment horizontal="center" vertical="center"/>
    </xf>
    <xf numFmtId="0" fontId="46" fillId="5" borderId="0" xfId="59" applyFont="1" applyFill="1">
      <alignment vertical="center"/>
    </xf>
    <xf numFmtId="0" fontId="47" fillId="5" borderId="0" xfId="59" applyFont="1" applyFill="1" applyAlignment="1">
      <alignment horizontal="left" vertical="center"/>
    </xf>
    <xf numFmtId="0" fontId="47" fillId="5" borderId="0" xfId="0" applyFont="1" applyFill="1" applyAlignment="1">
      <alignment horizontal="left" vertical="center"/>
    </xf>
    <xf numFmtId="0" fontId="45" fillId="5" borderId="0" xfId="59" applyFont="1" applyFill="1" applyAlignment="1">
      <alignment horizontal="left" vertical="center"/>
    </xf>
    <xf numFmtId="49" fontId="39" fillId="5" borderId="0" xfId="59" applyNumberFormat="1" applyFont="1" applyFill="1" applyAlignment="1">
      <alignment horizontal="left" vertical="center" wrapText="1"/>
    </xf>
    <xf numFmtId="0" fontId="40" fillId="7" borderId="8" xfId="59" applyFont="1" applyFill="1" applyBorder="1" applyAlignment="1">
      <alignment horizontal="center" vertical="center" wrapText="1"/>
    </xf>
    <xf numFmtId="0" fontId="41" fillId="7" borderId="8" xfId="59" applyFont="1" applyFill="1" applyBorder="1" applyAlignment="1">
      <alignment horizontal="center" vertical="center"/>
    </xf>
    <xf numFmtId="0" fontId="41" fillId="7" borderId="8" xfId="59" applyFont="1" applyFill="1" applyBorder="1">
      <alignment vertical="center"/>
    </xf>
    <xf numFmtId="0" fontId="41" fillId="7" borderId="8" xfId="59" applyFont="1" applyFill="1" applyBorder="1" applyAlignment="1">
      <alignment vertical="center" wrapText="1"/>
    </xf>
    <xf numFmtId="0" fontId="10" fillId="6" borderId="25" xfId="59" applyFont="1" applyFill="1" applyBorder="1" applyAlignment="1">
      <alignment horizontal="left" vertical="center" wrapText="1"/>
    </xf>
    <xf numFmtId="0" fontId="10" fillId="6" borderId="30" xfId="59" applyFont="1" applyFill="1" applyBorder="1" applyAlignment="1">
      <alignment horizontal="left" vertical="center" wrapText="1"/>
    </xf>
    <xf numFmtId="0" fontId="10" fillId="6" borderId="16" xfId="59" applyFont="1" applyFill="1" applyBorder="1" applyAlignment="1">
      <alignment horizontal="left" vertical="center" wrapText="1"/>
    </xf>
    <xf numFmtId="0" fontId="8" fillId="5" borderId="8" xfId="59" applyFont="1" applyFill="1" applyBorder="1" applyAlignment="1">
      <alignment vertical="center" wrapText="1"/>
    </xf>
    <xf numFmtId="40" fontId="8" fillId="5" borderId="8" xfId="1" applyNumberFormat="1" applyFont="1" applyFill="1" applyBorder="1" applyAlignment="1">
      <alignment vertical="center" wrapText="1"/>
    </xf>
    <xf numFmtId="0" fontId="8" fillId="5" borderId="26" xfId="59" applyFont="1" applyFill="1" applyBorder="1">
      <alignment vertical="center"/>
    </xf>
    <xf numFmtId="40" fontId="8" fillId="5" borderId="8" xfId="1" applyNumberFormat="1" applyFont="1" applyFill="1" applyBorder="1" applyAlignment="1">
      <alignment vertical="center"/>
    </xf>
    <xf numFmtId="0" fontId="8" fillId="6" borderId="8" xfId="59" applyFont="1" applyFill="1" applyBorder="1" applyAlignment="1">
      <alignment vertical="center" wrapText="1"/>
    </xf>
    <xf numFmtId="40" fontId="8" fillId="6" borderId="8" xfId="1" applyNumberFormat="1" applyFont="1" applyFill="1" applyBorder="1" applyAlignment="1">
      <alignment vertical="center"/>
    </xf>
    <xf numFmtId="0" fontId="8" fillId="6" borderId="26" xfId="59" applyFont="1" applyFill="1" applyBorder="1">
      <alignment vertical="center"/>
    </xf>
    <xf numFmtId="10" fontId="8" fillId="5" borderId="8" xfId="3" applyNumberFormat="1" applyFont="1" applyFill="1" applyBorder="1">
      <alignment vertical="center"/>
    </xf>
    <xf numFmtId="0" fontId="10" fillId="6" borderId="8" xfId="59" applyFont="1" applyFill="1" applyBorder="1" applyAlignment="1">
      <alignment vertical="center" wrapText="1"/>
    </xf>
    <xf numFmtId="0" fontId="10" fillId="6" borderId="26" xfId="59" applyFont="1" applyFill="1" applyBorder="1">
      <alignment vertical="center"/>
    </xf>
    <xf numFmtId="0" fontId="8" fillId="6" borderId="28" xfId="59" applyFont="1" applyFill="1" applyBorder="1" applyAlignment="1">
      <alignment vertical="center" wrapText="1"/>
    </xf>
    <xf numFmtId="40" fontId="8" fillId="6" borderId="28" xfId="1" applyNumberFormat="1" applyFont="1" applyFill="1" applyBorder="1" applyAlignment="1">
      <alignment vertical="center"/>
    </xf>
    <xf numFmtId="0" fontId="8" fillId="6" borderId="31" xfId="59" applyFont="1" applyFill="1" applyBorder="1">
      <alignment vertical="center"/>
    </xf>
    <xf numFmtId="40" fontId="8" fillId="5" borderId="8" xfId="59" applyNumberFormat="1" applyFont="1" applyFill="1" applyBorder="1">
      <alignment vertical="center"/>
    </xf>
    <xf numFmtId="10" fontId="8" fillId="5" borderId="8" xfId="3" applyNumberFormat="1" applyFont="1" applyFill="1" applyBorder="1" applyAlignment="1">
      <alignment horizontal="center" vertical="center"/>
    </xf>
    <xf numFmtId="176" fontId="8" fillId="6" borderId="8" xfId="1" applyFont="1" applyFill="1" applyBorder="1" applyAlignment="1">
      <alignment horizontal="center" vertical="center"/>
    </xf>
    <xf numFmtId="0" fontId="8" fillId="6" borderId="28" xfId="59" applyFont="1" applyFill="1" applyBorder="1" applyAlignment="1">
      <alignment horizontal="left" vertical="center"/>
    </xf>
    <xf numFmtId="179" fontId="8" fillId="6" borderId="28" xfId="59" applyNumberFormat="1" applyFont="1" applyFill="1" applyBorder="1" applyAlignment="1">
      <alignment horizontal="center" vertical="center"/>
    </xf>
    <xf numFmtId="0" fontId="10" fillId="6" borderId="25" xfId="59" applyFont="1" applyFill="1" applyBorder="1" applyAlignment="1">
      <alignment horizontal="left" vertical="center"/>
    </xf>
    <xf numFmtId="0" fontId="8" fillId="6" borderId="30" xfId="59" applyFont="1" applyFill="1" applyBorder="1" applyAlignment="1">
      <alignment horizontal="left" vertical="center"/>
    </xf>
    <xf numFmtId="0" fontId="8" fillId="6" borderId="25" xfId="59" applyFont="1" applyFill="1" applyBorder="1" applyAlignment="1">
      <alignment horizontal="left" vertical="center"/>
    </xf>
    <xf numFmtId="0" fontId="8" fillId="6" borderId="25" xfId="59" applyFont="1" applyFill="1" applyBorder="1" applyAlignment="1">
      <alignment vertical="center" wrapText="1"/>
    </xf>
    <xf numFmtId="40" fontId="8" fillId="6" borderId="25" xfId="59" applyNumberFormat="1" applyFont="1" applyFill="1" applyBorder="1">
      <alignment vertical="center"/>
    </xf>
    <xf numFmtId="178" fontId="8" fillId="6" borderId="25" xfId="3" applyNumberFormat="1" applyFont="1" applyFill="1" applyBorder="1">
      <alignment vertical="center"/>
    </xf>
    <xf numFmtId="179" fontId="8" fillId="6" borderId="25" xfId="59" applyNumberFormat="1" applyFont="1" applyFill="1" applyBorder="1" applyAlignment="1">
      <alignment horizontal="center" vertical="center"/>
    </xf>
    <xf numFmtId="0" fontId="8" fillId="6" borderId="25" xfId="59" applyFont="1" applyFill="1" applyBorder="1">
      <alignment vertical="center"/>
    </xf>
    <xf numFmtId="0" fontId="8" fillId="6" borderId="16" xfId="59" applyFont="1" applyFill="1" applyBorder="1">
      <alignment vertical="center"/>
    </xf>
    <xf numFmtId="0" fontId="46" fillId="5" borderId="0" xfId="59" applyFont="1" applyFill="1" applyAlignment="1">
      <alignment vertical="center" wrapText="1"/>
    </xf>
    <xf numFmtId="0" fontId="48" fillId="5" borderId="0" xfId="59" applyFont="1" applyFill="1" applyAlignment="1">
      <alignment horizontal="center" vertical="center"/>
    </xf>
    <xf numFmtId="40" fontId="46" fillId="5" borderId="0" xfId="59" applyNumberFormat="1" applyFont="1" applyFill="1">
      <alignment vertical="center"/>
    </xf>
    <xf numFmtId="0" fontId="46" fillId="5" borderId="0" xfId="59" applyFont="1" applyFill="1" applyAlignment="1">
      <alignment horizontal="left" vertical="center"/>
    </xf>
    <xf numFmtId="0" fontId="34" fillId="5" borderId="0" xfId="57" applyFont="1" applyFill="1">
      <alignment vertical="center"/>
    </xf>
    <xf numFmtId="0" fontId="35" fillId="5" borderId="0" xfId="57" applyFont="1" applyFill="1" applyAlignment="1">
      <alignment horizontal="center" vertical="center"/>
    </xf>
    <xf numFmtId="0" fontId="35" fillId="5" borderId="0" xfId="57" applyFont="1" applyFill="1">
      <alignment vertical="center"/>
    </xf>
    <xf numFmtId="0" fontId="49" fillId="5" borderId="0" xfId="57" applyFont="1" applyFill="1">
      <alignment vertical="center"/>
    </xf>
    <xf numFmtId="0" fontId="37" fillId="5" borderId="0" xfId="0" applyFont="1" applyFill="1" applyAlignment="1">
      <alignment horizontal="left" vertical="center"/>
    </xf>
    <xf numFmtId="0" fontId="39" fillId="5" borderId="0" xfId="57" applyFont="1" applyFill="1">
      <alignment vertical="center"/>
    </xf>
    <xf numFmtId="0" fontId="50" fillId="5" borderId="0" xfId="0" applyFont="1" applyFill="1" applyAlignment="1">
      <alignment horizontal="left" vertical="center"/>
    </xf>
    <xf numFmtId="0" fontId="35" fillId="5" borderId="0" xfId="57" applyFont="1" applyFill="1" applyAlignment="1">
      <alignment horizontal="left" vertical="center"/>
    </xf>
    <xf numFmtId="0" fontId="51" fillId="5" borderId="0" xfId="57" applyFont="1" applyFill="1" applyAlignment="1">
      <alignment horizontal="left" vertical="center" wrapText="1"/>
    </xf>
    <xf numFmtId="0" fontId="49" fillId="5" borderId="0" xfId="57" applyFont="1" applyFill="1" applyAlignment="1">
      <alignment horizontal="left" vertical="center" wrapText="1"/>
    </xf>
    <xf numFmtId="0" fontId="50" fillId="5" borderId="0" xfId="57" applyFont="1" applyFill="1" applyAlignment="1">
      <alignment horizontal="right" vertical="center"/>
    </xf>
    <xf numFmtId="0" fontId="52" fillId="7" borderId="1" xfId="61" applyFont="1" applyFill="1" applyBorder="1" applyAlignment="1">
      <alignment horizontal="center" vertical="center" wrapText="1"/>
    </xf>
    <xf numFmtId="0" fontId="52" fillId="7" borderId="2" xfId="61" applyFont="1" applyFill="1" applyBorder="1" applyAlignment="1">
      <alignment horizontal="center" vertical="center" wrapText="1"/>
    </xf>
    <xf numFmtId="0" fontId="52" fillId="7" borderId="2" xfId="61" applyFont="1" applyFill="1" applyBorder="1" applyAlignment="1">
      <alignment horizontal="center" vertical="center"/>
    </xf>
    <xf numFmtId="0" fontId="52" fillId="7" borderId="6" xfId="61" applyFont="1" applyFill="1" applyBorder="1" applyAlignment="1">
      <alignment horizontal="center" vertical="center" wrapText="1"/>
    </xf>
    <xf numFmtId="0" fontId="53" fillId="7" borderId="7" xfId="58" applyFont="1" applyFill="1" applyBorder="1" applyAlignment="1">
      <alignment horizontal="center" vertical="center"/>
    </xf>
    <xf numFmtId="0" fontId="52" fillId="7" borderId="8" xfId="61" applyFont="1" applyFill="1" applyBorder="1" applyAlignment="1">
      <alignment horizontal="center" vertical="center" wrapText="1"/>
    </xf>
    <xf numFmtId="0" fontId="52" fillId="7" borderId="9" xfId="61" applyFont="1" applyFill="1" applyBorder="1" applyAlignment="1">
      <alignment horizontal="center" vertical="center" wrapText="1"/>
    </xf>
    <xf numFmtId="0" fontId="35" fillId="5" borderId="33" xfId="61" applyFont="1" applyFill="1" applyBorder="1" applyAlignment="1">
      <alignment vertical="center"/>
    </xf>
    <xf numFmtId="180" fontId="35" fillId="5" borderId="33" xfId="50" applyNumberFormat="1" applyFont="1" applyFill="1" applyBorder="1" applyAlignment="1">
      <alignment vertical="center"/>
    </xf>
    <xf numFmtId="177" fontId="35" fillId="5" borderId="24" xfId="50" applyFont="1" applyFill="1" applyBorder="1" applyAlignment="1">
      <alignment vertical="center"/>
    </xf>
    <xf numFmtId="181" fontId="35" fillId="5" borderId="33" xfId="50" applyNumberFormat="1" applyFont="1" applyFill="1" applyBorder="1" applyAlignment="1">
      <alignment vertical="center"/>
    </xf>
    <xf numFmtId="181" fontId="35" fillId="5" borderId="24" xfId="50" applyNumberFormat="1" applyFont="1" applyFill="1" applyBorder="1" applyAlignment="1">
      <alignment vertical="center"/>
    </xf>
    <xf numFmtId="180" fontId="35" fillId="5" borderId="34" xfId="57" applyNumberFormat="1" applyFont="1" applyFill="1" applyBorder="1">
      <alignment vertical="center"/>
    </xf>
    <xf numFmtId="0" fontId="54" fillId="5" borderId="35" xfId="0" applyFont="1" applyFill="1" applyBorder="1" applyAlignment="1">
      <alignment horizontal="left" vertical="center"/>
    </xf>
    <xf numFmtId="0" fontId="54" fillId="5" borderId="0" xfId="0" applyFont="1" applyFill="1" applyAlignment="1">
      <alignment horizontal="left" vertical="center"/>
    </xf>
    <xf numFmtId="40" fontId="35" fillId="5" borderId="33" xfId="50" applyNumberFormat="1" applyFont="1" applyFill="1" applyBorder="1" applyAlignment="1">
      <alignment vertical="center"/>
    </xf>
    <xf numFmtId="40" fontId="35" fillId="5" borderId="24" xfId="50" applyNumberFormat="1" applyFont="1" applyFill="1" applyBorder="1" applyAlignment="1">
      <alignment horizontal="right" vertical="center"/>
    </xf>
    <xf numFmtId="40" fontId="35" fillId="5" borderId="24" xfId="1" applyNumberFormat="1" applyFont="1" applyFill="1" applyBorder="1" applyAlignment="1">
      <alignment horizontal="right" vertical="center"/>
    </xf>
    <xf numFmtId="40" fontId="35" fillId="5" borderId="33" xfId="50" applyNumberFormat="1" applyFont="1" applyFill="1" applyBorder="1" applyAlignment="1">
      <alignment horizontal="right" vertical="center"/>
    </xf>
    <xf numFmtId="40" fontId="35" fillId="5" borderId="35" xfId="50" applyNumberFormat="1" applyFont="1" applyFill="1" applyBorder="1" applyAlignment="1">
      <alignment vertical="center"/>
    </xf>
    <xf numFmtId="0" fontId="54" fillId="5" borderId="0" xfId="0" applyFont="1" applyFill="1" applyAlignment="1">
      <alignment horizontal="left" vertical="center" wrapText="1"/>
    </xf>
    <xf numFmtId="40" fontId="35" fillId="5" borderId="24" xfId="50" applyNumberFormat="1" applyFont="1" applyFill="1" applyBorder="1" applyAlignment="1">
      <alignment vertical="center"/>
    </xf>
    <xf numFmtId="40" fontId="35" fillId="5" borderId="35" xfId="1" applyNumberFormat="1" applyFont="1" applyFill="1" applyBorder="1" applyAlignment="1">
      <alignment vertical="center"/>
    </xf>
    <xf numFmtId="0" fontId="35" fillId="5" borderId="35" xfId="0" applyFont="1" applyFill="1" applyBorder="1" applyAlignment="1">
      <alignment horizontal="left" vertical="center"/>
    </xf>
    <xf numFmtId="40" fontId="35" fillId="5" borderId="33" xfId="61" applyNumberFormat="1" applyFont="1" applyFill="1" applyBorder="1" applyAlignment="1">
      <alignment vertical="center"/>
    </xf>
    <xf numFmtId="40" fontId="35" fillId="5" borderId="24" xfId="3" applyNumberFormat="1" applyFont="1" applyFill="1" applyBorder="1" applyAlignment="1">
      <alignment vertical="center"/>
    </xf>
    <xf numFmtId="178" fontId="35" fillId="5" borderId="33" xfId="3" applyNumberFormat="1" applyFont="1" applyFill="1" applyBorder="1" applyAlignment="1">
      <alignment vertical="center"/>
    </xf>
    <xf numFmtId="178" fontId="35" fillId="5" borderId="24" xfId="3" applyNumberFormat="1" applyFont="1" applyFill="1" applyBorder="1" applyAlignment="1">
      <alignment vertical="center"/>
    </xf>
    <xf numFmtId="177" fontId="35" fillId="5" borderId="33" xfId="50" applyFont="1" applyFill="1" applyBorder="1" applyAlignment="1">
      <alignment vertical="center"/>
    </xf>
    <xf numFmtId="178" fontId="35" fillId="5" borderId="35" xfId="3" applyNumberFormat="1" applyFont="1" applyFill="1" applyBorder="1" applyAlignment="1">
      <alignment vertical="center"/>
    </xf>
    <xf numFmtId="0" fontId="35" fillId="5" borderId="36" xfId="61" applyFont="1" applyFill="1" applyBorder="1" applyAlignment="1">
      <alignment vertical="center"/>
    </xf>
    <xf numFmtId="180" fontId="55" fillId="5" borderId="36" xfId="50" applyNumberFormat="1" applyFont="1" applyFill="1" applyBorder="1" applyAlignment="1">
      <alignment vertical="center"/>
    </xf>
    <xf numFmtId="0" fontId="55" fillId="5" borderId="37" xfId="61" applyFont="1" applyFill="1" applyBorder="1" applyAlignment="1">
      <alignment vertical="center"/>
    </xf>
    <xf numFmtId="177" fontId="55" fillId="5" borderId="36" xfId="50" applyFont="1" applyFill="1" applyBorder="1" applyAlignment="1">
      <alignment vertical="center"/>
    </xf>
    <xf numFmtId="0" fontId="35" fillId="5" borderId="22" xfId="57" applyFont="1" applyFill="1" applyBorder="1">
      <alignment vertical="center"/>
    </xf>
    <xf numFmtId="0" fontId="35" fillId="5" borderId="0" xfId="0" applyFont="1" applyFill="1">
      <alignment vertical="center"/>
    </xf>
    <xf numFmtId="40" fontId="49" fillId="5" borderId="0" xfId="57" applyNumberFormat="1" applyFont="1" applyFill="1" applyAlignment="1">
      <alignment horizontal="right" vertical="center"/>
    </xf>
    <xf numFmtId="9" fontId="35" fillId="5" borderId="0" xfId="3" applyFont="1" applyFill="1" applyBorder="1" applyAlignment="1">
      <alignment vertical="center"/>
    </xf>
    <xf numFmtId="14" fontId="0" fillId="0" borderId="0" xfId="0" applyNumberFormat="1">
      <alignment vertical="center"/>
    </xf>
    <xf numFmtId="0" fontId="8" fillId="5" borderId="0" xfId="56" applyFont="1" applyFill="1">
      <alignment vertical="center"/>
    </xf>
    <xf numFmtId="0" fontId="8" fillId="0" borderId="0" xfId="0" applyFont="1" applyAlignment="1"/>
    <xf numFmtId="0" fontId="46" fillId="0" borderId="0" xfId="0" applyFont="1" applyAlignment="1"/>
    <xf numFmtId="0" fontId="46" fillId="5" borderId="0" xfId="56" applyFont="1" applyFill="1" applyAlignment="1">
      <alignment horizontal="center" vertical="center"/>
    </xf>
    <xf numFmtId="0" fontId="46" fillId="5" borderId="0" xfId="56" applyFont="1" applyFill="1">
      <alignment vertical="center"/>
    </xf>
    <xf numFmtId="0" fontId="56" fillId="5" borderId="0" xfId="0" applyFont="1" applyFill="1">
      <alignment vertical="center"/>
    </xf>
    <xf numFmtId="0" fontId="57" fillId="5" borderId="0" xfId="0" applyFont="1" applyFill="1" applyAlignment="1">
      <alignment horizontal="left" vertical="center"/>
    </xf>
    <xf numFmtId="0" fontId="34" fillId="5" borderId="0" xfId="56" applyFont="1" applyFill="1" applyAlignment="1">
      <alignment vertical="center" wrapText="1"/>
    </xf>
    <xf numFmtId="0" fontId="58" fillId="5" borderId="0" xfId="56" applyFont="1" applyFill="1" applyAlignment="1">
      <alignment horizontal="left" vertical="center" wrapText="1"/>
    </xf>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12" borderId="8" xfId="0" applyFont="1" applyFill="1" applyBorder="1" applyAlignment="1">
      <alignment horizontal="center" vertical="center" wrapText="1"/>
    </xf>
    <xf numFmtId="0" fontId="42" fillId="7" borderId="8" xfId="0" applyFont="1" applyFill="1" applyBorder="1" applyAlignment="1">
      <alignment horizontal="center" vertical="center"/>
    </xf>
    <xf numFmtId="0" fontId="8" fillId="0" borderId="8" xfId="0" applyFont="1" applyBorder="1" applyAlignment="1">
      <alignment horizontal="center" vertical="center" wrapText="1"/>
    </xf>
    <xf numFmtId="0" fontId="8" fillId="0" borderId="8" xfId="0" applyFont="1" applyBorder="1" applyAlignment="1">
      <alignment horizontal="left" vertical="center"/>
    </xf>
    <xf numFmtId="0" fontId="8" fillId="0" borderId="8" xfId="0" applyFont="1" applyBorder="1" applyAlignment="1">
      <alignment horizontal="center" vertical="center"/>
    </xf>
    <xf numFmtId="0" fontId="8" fillId="5" borderId="8" xfId="56" applyFont="1" applyFill="1" applyBorder="1">
      <alignment vertical="center"/>
    </xf>
    <xf numFmtId="0" fontId="8" fillId="0" borderId="25" xfId="0" applyFont="1" applyBorder="1" applyAlignment="1">
      <alignment horizontal="center" vertical="center" wrapText="1"/>
    </xf>
    <xf numFmtId="10" fontId="59" fillId="0" borderId="38" xfId="0" applyNumberFormat="1" applyFont="1" applyBorder="1" applyAlignment="1">
      <alignment horizontal="center" vertical="center" wrapText="1"/>
    </xf>
    <xf numFmtId="10" fontId="59" fillId="0" borderId="39" xfId="0" applyNumberFormat="1" applyFont="1" applyBorder="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0" fontId="8" fillId="0" borderId="0" xfId="0" applyFont="1" applyAlignment="1">
      <alignment horizontal="center" vertical="center"/>
    </xf>
    <xf numFmtId="0" fontId="35" fillId="0" borderId="0" xfId="0" applyFont="1" applyAlignment="1">
      <alignment horizontal="center" vertical="center"/>
    </xf>
    <xf numFmtId="14" fontId="8" fillId="0" borderId="8" xfId="0" applyNumberFormat="1" applyFont="1" applyBorder="1" applyAlignment="1">
      <alignment horizontal="center" vertical="center"/>
    </xf>
    <xf numFmtId="10" fontId="8" fillId="0" borderId="8" xfId="3" applyNumberFormat="1" applyFont="1" applyBorder="1" applyAlignment="1">
      <alignment horizontal="center" vertical="center"/>
    </xf>
    <xf numFmtId="0" fontId="8" fillId="0" borderId="8" xfId="0" applyFont="1" applyBorder="1" applyAlignment="1"/>
    <xf numFmtId="9" fontId="8" fillId="0" borderId="8" xfId="0" applyNumberFormat="1" applyFont="1" applyBorder="1" applyAlignment="1">
      <alignment horizontal="center" vertical="center"/>
    </xf>
    <xf numFmtId="0" fontId="60" fillId="0" borderId="0" xfId="0" applyFont="1" applyAlignment="1">
      <alignment horizontal="right" vertical="center"/>
    </xf>
    <xf numFmtId="0" fontId="60" fillId="0" borderId="0" xfId="0" applyFont="1" applyAlignment="1"/>
    <xf numFmtId="0" fontId="60" fillId="0" borderId="0" xfId="0" applyFont="1" applyAlignment="1">
      <alignment horizontal="left" vertical="top" wrapText="1"/>
    </xf>
    <xf numFmtId="0" fontId="35" fillId="5" borderId="0" xfId="51" applyFont="1" applyFill="1" applyAlignment="1">
      <alignment horizontal="center"/>
    </xf>
    <xf numFmtId="0" fontId="35" fillId="5" borderId="0" xfId="51" applyFont="1" applyFill="1"/>
    <xf numFmtId="0" fontId="49" fillId="5" borderId="0" xfId="51" applyFont="1" applyFill="1"/>
    <xf numFmtId="0" fontId="61" fillId="5" borderId="0" xfId="0" applyFont="1" applyFill="1">
      <alignment vertical="center"/>
    </xf>
    <xf numFmtId="0" fontId="35" fillId="5" borderId="0" xfId="60" applyFont="1" applyFill="1" applyAlignment="1">
      <alignment horizontal="left" vertical="center"/>
    </xf>
    <xf numFmtId="0" fontId="49" fillId="5" borderId="0" xfId="56" applyFont="1" applyFill="1" applyAlignment="1">
      <alignment horizontal="left" vertical="center" wrapText="1"/>
    </xf>
    <xf numFmtId="0" fontId="52" fillId="7" borderId="23" xfId="0" applyFont="1" applyFill="1" applyBorder="1" applyAlignment="1">
      <alignment horizontal="center" vertical="center" wrapText="1"/>
    </xf>
    <xf numFmtId="0" fontId="52" fillId="7" borderId="26"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49" fillId="5" borderId="0" xfId="51" applyFont="1" applyFill="1" applyAlignment="1">
      <alignment horizontal="center"/>
    </xf>
    <xf numFmtId="0" fontId="62" fillId="0" borderId="0" xfId="0" applyFont="1" applyAlignment="1">
      <alignment horizontal="center" vertical="center" wrapText="1"/>
    </xf>
    <xf numFmtId="0" fontId="52" fillId="7" borderId="25" xfId="0" applyFont="1" applyFill="1" applyBorder="1" applyAlignment="1">
      <alignment horizontal="center" vertical="center" wrapText="1"/>
    </xf>
    <xf numFmtId="0" fontId="52" fillId="7" borderId="8" xfId="0" applyFont="1" applyFill="1" applyBorder="1" applyAlignment="1">
      <alignment horizontal="center" vertical="center" wrapText="1"/>
    </xf>
    <xf numFmtId="0" fontId="63" fillId="0" borderId="8" xfId="67" applyFont="1" applyBorder="1" applyAlignment="1">
      <alignment horizontal="center" vertical="center"/>
    </xf>
    <xf numFmtId="0" fontId="64" fillId="5" borderId="8" xfId="0" applyFont="1" applyFill="1" applyBorder="1" applyAlignment="1">
      <alignment vertical="center" wrapText="1"/>
    </xf>
    <xf numFmtId="0" fontId="35" fillId="5" borderId="8" xfId="0" applyFont="1" applyFill="1" applyBorder="1" applyAlignment="1">
      <alignment horizontal="center" vertical="center" wrapText="1"/>
    </xf>
    <xf numFmtId="0" fontId="64" fillId="5" borderId="8" xfId="0" applyFont="1" applyFill="1" applyBorder="1" applyAlignment="1">
      <alignment horizontal="center" vertical="center" wrapText="1"/>
    </xf>
    <xf numFmtId="0" fontId="65" fillId="0" borderId="0" xfId="0" applyFont="1" applyAlignment="1">
      <alignment vertical="center" wrapText="1"/>
    </xf>
    <xf numFmtId="0" fontId="65" fillId="0" borderId="0" xfId="0" applyFont="1" applyAlignment="1">
      <alignment horizontal="center" vertical="center" wrapText="1"/>
    </xf>
    <xf numFmtId="0" fontId="66" fillId="11" borderId="8" xfId="67" applyFont="1" applyFill="1" applyBorder="1" applyAlignment="1">
      <alignment horizontal="center" vertical="center"/>
    </xf>
    <xf numFmtId="0" fontId="63" fillId="11" borderId="8" xfId="67" applyFont="1" applyFill="1" applyBorder="1" applyAlignment="1">
      <alignment horizontal="center" vertical="center"/>
    </xf>
    <xf numFmtId="0" fontId="64" fillId="11" borderId="8" xfId="0" applyFont="1" applyFill="1" applyBorder="1" applyAlignment="1">
      <alignment vertical="center" wrapText="1"/>
    </xf>
    <xf numFmtId="0" fontId="35" fillId="11" borderId="8" xfId="0" applyFont="1" applyFill="1" applyBorder="1" applyAlignment="1">
      <alignment horizontal="center" vertical="center" wrapText="1"/>
    </xf>
    <xf numFmtId="0" fontId="64" fillId="11" borderId="8" xfId="0" applyFont="1" applyFill="1" applyBorder="1" applyAlignment="1">
      <alignment horizontal="center" vertical="center" wrapText="1"/>
    </xf>
    <xf numFmtId="0" fontId="67" fillId="5" borderId="0" xfId="51" applyFont="1" applyFill="1"/>
    <xf numFmtId="0" fontId="66" fillId="0" borderId="8" xfId="67" applyFont="1" applyBorder="1" applyAlignment="1">
      <alignment horizontal="center" vertical="center"/>
    </xf>
    <xf numFmtId="0" fontId="68" fillId="0" borderId="8" xfId="67" applyFont="1" applyBorder="1" applyAlignment="1">
      <alignment horizontal="center" vertical="center"/>
    </xf>
    <xf numFmtId="0" fontId="50" fillId="5" borderId="8" xfId="60" applyFont="1" applyFill="1" applyBorder="1" applyAlignment="1">
      <alignment horizontal="center" vertical="center"/>
    </xf>
    <xf numFmtId="0" fontId="35" fillId="5" borderId="8" xfId="60" applyFont="1" applyFill="1" applyBorder="1" applyAlignment="1">
      <alignment horizontal="center" vertical="center"/>
    </xf>
    <xf numFmtId="0" fontId="69" fillId="0" borderId="0" xfId="0" applyFont="1" applyAlignment="1">
      <alignment horizontal="center" vertical="center" wrapText="1"/>
    </xf>
    <xf numFmtId="0" fontId="35" fillId="5" borderId="0" xfId="60" applyFont="1" applyFill="1" applyAlignment="1">
      <alignment horizontal="center" vertical="center"/>
    </xf>
    <xf numFmtId="0" fontId="49" fillId="5" borderId="0" xfId="60" applyFont="1" applyFill="1" applyAlignment="1">
      <alignment horizontal="left" vertical="center"/>
    </xf>
    <xf numFmtId="0" fontId="63" fillId="0" borderId="0" xfId="55" applyFont="1" applyAlignment="1">
      <alignment vertical="center"/>
    </xf>
    <xf numFmtId="0" fontId="70" fillId="0" borderId="0" xfId="55" applyFont="1" applyAlignment="1">
      <alignment horizontal="center" vertical="center"/>
    </xf>
    <xf numFmtId="0" fontId="68" fillId="0" borderId="0" xfId="55" applyFont="1" applyAlignment="1">
      <alignment vertical="center"/>
    </xf>
    <xf numFmtId="0" fontId="68" fillId="0" borderId="0" xfId="55" applyFont="1" applyAlignment="1">
      <alignment horizontal="center" vertical="center"/>
    </xf>
    <xf numFmtId="0" fontId="71" fillId="0" borderId="0" xfId="55" applyFont="1" applyAlignment="1">
      <alignment horizontal="left" vertical="center"/>
    </xf>
    <xf numFmtId="0" fontId="68" fillId="0" borderId="0" xfId="55" applyFont="1" applyAlignment="1">
      <alignment horizontal="left" vertical="center"/>
    </xf>
    <xf numFmtId="0" fontId="63" fillId="0" borderId="0" xfId="55" applyFont="1" applyAlignment="1">
      <alignment horizontal="left" vertical="center" wrapText="1"/>
    </xf>
    <xf numFmtId="0" fontId="7" fillId="0" borderId="0" xfId="55" applyFont="1" applyAlignment="1">
      <alignment horizontal="left" vertical="center" wrapText="1"/>
    </xf>
    <xf numFmtId="0" fontId="72" fillId="0" borderId="0" xfId="0" applyFont="1">
      <alignment vertical="center"/>
    </xf>
    <xf numFmtId="0" fontId="73" fillId="7" borderId="8" xfId="55" applyFont="1" applyFill="1" applyBorder="1" applyAlignment="1">
      <alignment horizontal="center" vertical="center" wrapText="1"/>
    </xf>
    <xf numFmtId="0" fontId="68" fillId="13" borderId="8" xfId="55" applyFont="1" applyFill="1" applyBorder="1" applyAlignment="1">
      <alignment horizontal="left" vertical="center" wrapText="1"/>
    </xf>
    <xf numFmtId="0" fontId="63" fillId="0" borderId="8" xfId="55" applyFont="1" applyBorder="1" applyAlignment="1">
      <alignment horizontal="left" vertical="center" wrapText="1"/>
    </xf>
    <xf numFmtId="0" fontId="54" fillId="0" borderId="23" xfId="55" applyFont="1" applyBorder="1" applyAlignment="1">
      <alignment horizontal="center" vertical="center" wrapText="1"/>
    </xf>
    <xf numFmtId="0" fontId="63" fillId="0" borderId="23" xfId="55" applyFont="1" applyBorder="1" applyAlignment="1">
      <alignment horizontal="center" vertical="center" wrapText="1"/>
    </xf>
    <xf numFmtId="0" fontId="63" fillId="0" borderId="25" xfId="55" applyFont="1" applyBorder="1" applyAlignment="1">
      <alignment horizontal="center" vertical="center" wrapText="1"/>
    </xf>
    <xf numFmtId="0" fontId="74" fillId="0" borderId="23" xfId="55" applyFont="1" applyBorder="1" applyAlignment="1">
      <alignment horizontal="center" vertical="center" wrapText="1"/>
    </xf>
    <xf numFmtId="0" fontId="63" fillId="0" borderId="8" xfId="55" applyFont="1" applyBorder="1" applyAlignment="1">
      <alignment horizontal="center" vertical="center" wrapText="1"/>
    </xf>
    <xf numFmtId="0" fontId="63" fillId="0" borderId="8" xfId="55" applyFont="1" applyBorder="1" applyAlignment="1">
      <alignment vertical="center"/>
    </xf>
    <xf numFmtId="0" fontId="66" fillId="0" borderId="8" xfId="55" applyFont="1" applyBorder="1" applyAlignment="1">
      <alignment horizontal="center" vertical="center" wrapText="1"/>
    </xf>
    <xf numFmtId="0" fontId="75" fillId="0" borderId="0" xfId="0" applyFont="1">
      <alignmen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5" xfId="49"/>
    <cellStyle name="Comma_Appendix 4 - Segmented Financials" xfId="50"/>
    <cellStyle name="Normal 2" xfId="51"/>
    <cellStyle name="Normal 2 2" xfId="52"/>
    <cellStyle name="Normal 2 3" xfId="53"/>
    <cellStyle name="Normal 3" xfId="54"/>
    <cellStyle name="Normal 4" xfId="55"/>
    <cellStyle name="Normal_Appendix 3 - Related Party and Controlled Transaction List" xfId="56"/>
    <cellStyle name="Normal_Appendix 4 - Segmented Financials" xfId="57"/>
    <cellStyle name="Normal_Appendix 6 - Segmented Breakdown of SG&amp;A Expenses" xfId="58"/>
    <cellStyle name="Normal_Appendix 7 - Supplier List" xfId="59"/>
    <cellStyle name="Normal_Appendix 8 - Client List" xfId="60"/>
    <cellStyle name="Normal_FinData" xfId="61"/>
    <cellStyle name="Percent 2" xfId="62"/>
    <cellStyle name="Percent 3" xfId="63"/>
    <cellStyle name="千位分隔 2" xfId="64"/>
    <cellStyle name="千位分隔 3" xfId="65"/>
    <cellStyle name="常规 2" xfId="66"/>
    <cellStyle name="常规 3" xfId="67"/>
    <cellStyle name="常规 4" xfId="68"/>
  </cellStyles>
  <tableStyles count="0" defaultTableStyle="TableStyleMedium9" defaultPivotStyle="PivotStyleLight16"/>
  <colors>
    <mruColors>
      <color rgb="0000A7E1"/>
      <color rgb="0050B848"/>
      <color rgb="00CCFFFF"/>
      <color rgb="007F7F7F"/>
      <color rgb="00046A38"/>
      <color rgb="0086BC2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8" Type="http://schemas.openxmlformats.org/officeDocument/2006/relationships/styles" Target="styles.xml"/><Relationship Id="rId57" Type="http://schemas.openxmlformats.org/officeDocument/2006/relationships/sheetMetadata" Target="metadata.xml"/><Relationship Id="rId56" Type="http://schemas.openxmlformats.org/officeDocument/2006/relationships/sharedStrings" Target="sharedStrings.xml"/><Relationship Id="rId55" Type="http://schemas.openxmlformats.org/officeDocument/2006/relationships/theme" Target="theme/theme1.xml"/><Relationship Id="rId54" Type="http://schemas.openxmlformats.org/officeDocument/2006/relationships/externalLink" Target="externalLinks/externalLink31.xml"/><Relationship Id="rId53" Type="http://schemas.openxmlformats.org/officeDocument/2006/relationships/externalLink" Target="externalLinks/externalLink30.xml"/><Relationship Id="rId52" Type="http://schemas.openxmlformats.org/officeDocument/2006/relationships/externalLink" Target="externalLinks/externalLink29.xml"/><Relationship Id="rId51" Type="http://schemas.openxmlformats.org/officeDocument/2006/relationships/externalLink" Target="externalLinks/externalLink28.xml"/><Relationship Id="rId50" Type="http://schemas.openxmlformats.org/officeDocument/2006/relationships/externalLink" Target="externalLinks/externalLink27.xml"/><Relationship Id="rId5" Type="http://schemas.openxmlformats.org/officeDocument/2006/relationships/worksheet" Target="worksheets/sheet5.xml"/><Relationship Id="rId49" Type="http://schemas.openxmlformats.org/officeDocument/2006/relationships/externalLink" Target="externalLinks/externalLink26.xml"/><Relationship Id="rId48" Type="http://schemas.openxmlformats.org/officeDocument/2006/relationships/externalLink" Target="externalLinks/externalLink25.xml"/><Relationship Id="rId47" Type="http://schemas.openxmlformats.org/officeDocument/2006/relationships/externalLink" Target="externalLinks/externalLink24.xml"/><Relationship Id="rId46" Type="http://schemas.openxmlformats.org/officeDocument/2006/relationships/externalLink" Target="externalLinks/externalLink23.xml"/><Relationship Id="rId45" Type="http://schemas.openxmlformats.org/officeDocument/2006/relationships/externalLink" Target="externalLinks/externalLink22.xml"/><Relationship Id="rId44" Type="http://schemas.openxmlformats.org/officeDocument/2006/relationships/externalLink" Target="externalLinks/externalLink21.xml"/><Relationship Id="rId43" Type="http://schemas.openxmlformats.org/officeDocument/2006/relationships/externalLink" Target="externalLinks/externalLink20.xml"/><Relationship Id="rId42" Type="http://schemas.openxmlformats.org/officeDocument/2006/relationships/externalLink" Target="externalLinks/externalLink19.xml"/><Relationship Id="rId41" Type="http://schemas.openxmlformats.org/officeDocument/2006/relationships/externalLink" Target="externalLinks/externalLink18.xml"/><Relationship Id="rId40" Type="http://schemas.openxmlformats.org/officeDocument/2006/relationships/externalLink" Target="externalLinks/externalLink17.xml"/><Relationship Id="rId4" Type="http://schemas.openxmlformats.org/officeDocument/2006/relationships/worksheet" Target="worksheets/sheet4.xml"/><Relationship Id="rId39" Type="http://schemas.openxmlformats.org/officeDocument/2006/relationships/externalLink" Target="externalLinks/externalLink16.xml"/><Relationship Id="rId38" Type="http://schemas.openxmlformats.org/officeDocument/2006/relationships/externalLink" Target="externalLinks/externalLink15.xml"/><Relationship Id="rId37" Type="http://schemas.openxmlformats.org/officeDocument/2006/relationships/externalLink" Target="externalLinks/externalLink14.xml"/><Relationship Id="rId36" Type="http://schemas.openxmlformats.org/officeDocument/2006/relationships/externalLink" Target="externalLinks/externalLink13.xml"/><Relationship Id="rId35" Type="http://schemas.openxmlformats.org/officeDocument/2006/relationships/externalLink" Target="externalLinks/externalLink12.xml"/><Relationship Id="rId34" Type="http://schemas.openxmlformats.org/officeDocument/2006/relationships/externalLink" Target="externalLinks/externalLink11.xml"/><Relationship Id="rId33" Type="http://schemas.openxmlformats.org/officeDocument/2006/relationships/externalLink" Target="externalLinks/externalLink10.xml"/><Relationship Id="rId32" Type="http://schemas.openxmlformats.org/officeDocument/2006/relationships/externalLink" Target="externalLinks/externalLink9.xml"/><Relationship Id="rId31" Type="http://schemas.openxmlformats.org/officeDocument/2006/relationships/externalLink" Target="externalLinks/externalLink8.xml"/><Relationship Id="rId30" Type="http://schemas.openxmlformats.org/officeDocument/2006/relationships/externalLink" Target="externalLinks/externalLink7.xml"/><Relationship Id="rId3" Type="http://schemas.openxmlformats.org/officeDocument/2006/relationships/worksheet" Target="worksheets/sheet3.xml"/><Relationship Id="rId29" Type="http://schemas.openxmlformats.org/officeDocument/2006/relationships/externalLink" Target="externalLinks/externalLink6.xml"/><Relationship Id="rId28" Type="http://schemas.openxmlformats.org/officeDocument/2006/relationships/externalLink" Target="externalLinks/externalLink5.xml"/><Relationship Id="rId27" Type="http://schemas.openxmlformats.org/officeDocument/2006/relationships/externalLink" Target="externalLinks/externalLink4.xml"/><Relationship Id="rId26" Type="http://schemas.openxmlformats.org/officeDocument/2006/relationships/externalLink" Target="externalLinks/externalLink3.xml"/><Relationship Id="rId25" Type="http://schemas.openxmlformats.org/officeDocument/2006/relationships/externalLink" Target="externalLinks/externalLink2.xml"/><Relationship Id="rId24" Type="http://schemas.openxmlformats.org/officeDocument/2006/relationships/externalLink" Target="externalLinks/externalLink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xdr:colOff>
      <xdr:row>8</xdr:row>
      <xdr:rowOff>0</xdr:rowOff>
    </xdr:from>
    <xdr:to>
      <xdr:col>2</xdr:col>
      <xdr:colOff>723901</xdr:colOff>
      <xdr:row>11</xdr:row>
      <xdr:rowOff>203200</xdr:rowOff>
    </xdr:to>
    <xdr:pic>
      <xdr:nvPicPr>
        <xdr:cNvPr id="2" name="图片 7"/>
        <xdr:cNvPicPr/>
      </xdr:nvPicPr>
      <xdr:blipFill>
        <a:blip r:embed="rId1" cstate="print">
          <a:extLst>
            <a:ext uri="{28A0092B-C50C-407E-A947-70E740481C1C}">
              <a14:useLocalDpi xmlns:a14="http://schemas.microsoft.com/office/drawing/2010/main" val="0"/>
            </a:ext>
          </a:extLst>
        </a:blip>
        <a:srcRect/>
        <a:stretch>
          <a:fillRect/>
        </a:stretch>
      </xdr:blipFill>
      <xdr:spPr>
        <a:xfrm>
          <a:off x="457200" y="2015490"/>
          <a:ext cx="3219450" cy="1346200"/>
        </a:xfrm>
        <a:prstGeom prst="rect">
          <a:avLst/>
        </a:prstGeom>
        <a:noFill/>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657225</xdr:colOff>
      <xdr:row>25</xdr:row>
      <xdr:rowOff>0</xdr:rowOff>
    </xdr:from>
    <xdr:to>
      <xdr:col>0</xdr:col>
      <xdr:colOff>657225</xdr:colOff>
      <xdr:row>25</xdr:row>
      <xdr:rowOff>0</xdr:rowOff>
    </xdr:to>
    <xdr:sp>
      <xdr:nvSpPr>
        <xdr:cNvPr id="2167" name="Line 1"/>
        <xdr:cNvSpPr>
          <a:spLocks noChangeShapeType="1"/>
        </xdr:cNvSpPr>
      </xdr:nvSpPr>
      <xdr:spPr>
        <a:xfrm>
          <a:off x="657225" y="5248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B5" sqref="B5"/>
    </sheetView>
  </sheetViews>
  <sheetFormatPr defaultColWidth="9" defaultRowHeight="14.25" outlineLevelCol="6"/>
  <cols>
    <col min="1" max="1" width="17.4166666666667" customWidth="1"/>
    <col min="2" max="2" width="44.8333333333333" customWidth="1"/>
  </cols>
  <sheetData>
    <row r="1" spans="1:7">
      <c r="A1" s="361" t="s">
        <v>0</v>
      </c>
      <c r="B1" t="str">
        <f>'1 组织结构及管理架构'!A1</f>
        <v>斯必克（上海）流体技术有限公司</v>
      </c>
    </row>
    <row r="2" spans="1:7">
      <c r="A2" s="361" t="s">
        <v>1</v>
      </c>
      <c r="B2" t="str" cm="1">
        <f t="array" ref="B2:G2">RIGHT(LEFT('3 分部财务数据'!A5:F5,8),2)</f>
        <v>24</v>
      </c>
      <c r="C2" t="str">
        <v/>
      </c>
      <c r="D2" t="str">
        <v/>
      </c>
      <c r="E2" t="str">
        <v/>
      </c>
      <c r="F2" t="str">
        <v/>
      </c>
      <c r="G2" t="str">
        <v/>
      </c>
    </row>
    <row r="3" spans="1:7">
      <c r="A3" s="361" t="s">
        <v>2</v>
      </c>
      <c r="B3" t="str">
        <f>资料清单!A5</f>
        <v>立信税务师事务所有限公司</v>
      </c>
    </row>
    <row r="4" spans="1:7">
      <c r="A4" s="361" t="s">
        <v>3</v>
      </c>
      <c r="B4" t="str">
        <f>资料清单!A6</f>
        <v>立信税务</v>
      </c>
    </row>
    <row r="5" spans="1:7">
      <c r="A5" s="361" t="s">
        <v>4</v>
      </c>
      <c r="B5" t="str">
        <f>资料清单!A7</f>
        <v>斯必克流体技术</v>
      </c>
    </row>
    <row r="6" spans="1:7">
      <c r="A6" s="361" t="s">
        <v>5</v>
      </c>
      <c r="B6" t="str">
        <f>资料清单!A8</f>
        <v>斯必克投资</v>
      </c>
    </row>
    <row r="7" spans="1:7">
      <c r="A7" s="361" t="s">
        <v>6</v>
      </c>
      <c r="B7" t="str">
        <f>集团背景情况!A1</f>
        <v>使用kimi生成约500字的集团介绍</v>
      </c>
    </row>
    <row r="8" spans="1:7">
      <c r="A8" s="361" t="s">
        <v>7</v>
      </c>
      <c r="B8" t="str">
        <f>公司经营背景资料!A1</f>
        <v>根据企业访谈进行整理。</v>
      </c>
    </row>
    <row r="9" spans="1:7">
      <c r="A9" s="361"/>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30" sqref="I30"/>
    </sheetView>
  </sheetViews>
  <sheetFormatPr defaultColWidth="9" defaultRowHeight="14.25"/>
  <sheetData>
    <row r="1" spans="1:1">
      <c r="A1" s="361" t="s">
        <v>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s="361" t="s">
        <v>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B10" sqref="B10"/>
    </sheetView>
  </sheetViews>
  <sheetFormatPr defaultColWidth="9" defaultRowHeight="14.25" outlineLevelRow="3" outlineLevelCol="2"/>
  <cols>
    <col min="2" max="2" width="15.3333333333333" customWidth="1"/>
  </cols>
  <sheetData>
    <row r="1" spans="1:3">
      <c r="A1" t="s">
        <v>10</v>
      </c>
      <c r="B1" t="s">
        <v>11</v>
      </c>
      <c r="C1" t="s">
        <v>12</v>
      </c>
    </row>
    <row r="2" spans="1:3">
      <c r="A2" t="s">
        <v>13</v>
      </c>
    </row>
    <row r="3" spans="1:3">
      <c r="A3" t="s">
        <v>14</v>
      </c>
    </row>
    <row r="4" spans="1:3">
      <c r="A4" t="s">
        <v>15</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C10" sqref="C10"/>
    </sheetView>
  </sheetViews>
  <sheetFormatPr defaultColWidth="9" defaultRowHeight="14.25" outlineLevelRow="4" outlineLevelCol="1"/>
  <cols>
    <col min="1" max="1" width="29" customWidth="1"/>
  </cols>
  <sheetData>
    <row r="1" spans="1:2">
      <c r="A1" s="361" t="s">
        <v>16</v>
      </c>
      <c r="B1" s="361" t="s">
        <v>17</v>
      </c>
    </row>
    <row r="2" spans="1:2">
      <c r="A2" s="361" t="s">
        <v>18</v>
      </c>
      <c r="B2" s="361" t="s">
        <v>17</v>
      </c>
    </row>
    <row r="3" spans="1:2">
      <c r="A3" s="361" t="s">
        <v>19</v>
      </c>
      <c r="B3" s="361" t="s">
        <v>17</v>
      </c>
    </row>
    <row r="4" spans="1:2">
      <c r="A4" s="361" t="s">
        <v>20</v>
      </c>
      <c r="B4" s="361" t="s">
        <v>17</v>
      </c>
    </row>
    <row r="5" spans="1:2">
      <c r="A5" s="361" t="s">
        <v>21</v>
      </c>
      <c r="B5" s="361" t="s">
        <v>22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1" sqref="B1"/>
    </sheetView>
  </sheetViews>
  <sheetFormatPr defaultColWidth="9" defaultRowHeight="14.25"/>
  <cols>
    <col min="1" max="1" width="21.5833333333333" customWidth="1"/>
  </cols>
  <sheetData>
    <row r="1" spans="1:1">
      <c r="A1" s="361" t="s">
        <v>23</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pageSetUpPr fitToPage="1"/>
  </sheetPr>
  <dimension ref="A1:C22"/>
  <sheetViews>
    <sheetView showGridLines="0" tabSelected="1" view="pageBreakPreview" zoomScaleNormal="100" topLeftCell="A5" workbookViewId="0">
      <selection activeCell="A7" sqref="A7"/>
    </sheetView>
  </sheetViews>
  <sheetFormatPr defaultColWidth="9" defaultRowHeight="15" outlineLevelCol="2"/>
  <cols>
    <col min="1" max="1" width="109.583333333333" style="342" customWidth="1"/>
    <col min="2" max="2" width="26.5833333333333" style="342" customWidth="1"/>
    <col min="3" max="254" width="9" style="342"/>
    <col min="255" max="255" width="67.75" style="342" customWidth="1"/>
    <col min="256" max="256" width="17.0833333333333" style="342" customWidth="1"/>
    <col min="257" max="257" width="31.0833333333333" style="342" customWidth="1"/>
    <col min="258" max="510" width="9" style="342"/>
    <col min="511" max="511" width="67.75" style="342" customWidth="1"/>
    <col min="512" max="512" width="17.0833333333333" style="342" customWidth="1"/>
    <col min="513" max="513" width="31.0833333333333" style="342" customWidth="1"/>
    <col min="514" max="766" width="9" style="342"/>
    <col min="767" max="767" width="67.75" style="342" customWidth="1"/>
    <col min="768" max="768" width="17.0833333333333" style="342" customWidth="1"/>
    <col min="769" max="769" width="31.0833333333333" style="342" customWidth="1"/>
    <col min="770" max="1022" width="9" style="342"/>
    <col min="1023" max="1023" width="67.75" style="342" customWidth="1"/>
    <col min="1024" max="1024" width="17.0833333333333" style="342" customWidth="1"/>
    <col min="1025" max="1025" width="31.0833333333333" style="342" customWidth="1"/>
    <col min="1026" max="1278" width="9" style="342"/>
    <col min="1279" max="1279" width="67.75" style="342" customWidth="1"/>
    <col min="1280" max="1280" width="17.0833333333333" style="342" customWidth="1"/>
    <col min="1281" max="1281" width="31.0833333333333" style="342" customWidth="1"/>
    <col min="1282" max="1534" width="9" style="342"/>
    <col min="1535" max="1535" width="67.75" style="342" customWidth="1"/>
    <col min="1536" max="1536" width="17.0833333333333" style="342" customWidth="1"/>
    <col min="1537" max="1537" width="31.0833333333333" style="342" customWidth="1"/>
    <col min="1538" max="1790" width="9" style="342"/>
    <col min="1791" max="1791" width="67.75" style="342" customWidth="1"/>
    <col min="1792" max="1792" width="17.0833333333333" style="342" customWidth="1"/>
    <col min="1793" max="1793" width="31.0833333333333" style="342" customWidth="1"/>
    <col min="1794" max="2046" width="9" style="342"/>
    <col min="2047" max="2047" width="67.75" style="342" customWidth="1"/>
    <col min="2048" max="2048" width="17.0833333333333" style="342" customWidth="1"/>
    <col min="2049" max="2049" width="31.0833333333333" style="342" customWidth="1"/>
    <col min="2050" max="2302" width="9" style="342"/>
    <col min="2303" max="2303" width="67.75" style="342" customWidth="1"/>
    <col min="2304" max="2304" width="17.0833333333333" style="342" customWidth="1"/>
    <col min="2305" max="2305" width="31.0833333333333" style="342" customWidth="1"/>
    <col min="2306" max="2558" width="9" style="342"/>
    <col min="2559" max="2559" width="67.75" style="342" customWidth="1"/>
    <col min="2560" max="2560" width="17.0833333333333" style="342" customWidth="1"/>
    <col min="2561" max="2561" width="31.0833333333333" style="342" customWidth="1"/>
    <col min="2562" max="2814" width="9" style="342"/>
    <col min="2815" max="2815" width="67.75" style="342" customWidth="1"/>
    <col min="2816" max="2816" width="17.0833333333333" style="342" customWidth="1"/>
    <col min="2817" max="2817" width="31.0833333333333" style="342" customWidth="1"/>
    <col min="2818" max="3070" width="9" style="342"/>
    <col min="3071" max="3071" width="67.75" style="342" customWidth="1"/>
    <col min="3072" max="3072" width="17.0833333333333" style="342" customWidth="1"/>
    <col min="3073" max="3073" width="31.0833333333333" style="342" customWidth="1"/>
    <col min="3074" max="3326" width="9" style="342"/>
    <col min="3327" max="3327" width="67.75" style="342" customWidth="1"/>
    <col min="3328" max="3328" width="17.0833333333333" style="342" customWidth="1"/>
    <col min="3329" max="3329" width="31.0833333333333" style="342" customWidth="1"/>
    <col min="3330" max="3582" width="9" style="342"/>
    <col min="3583" max="3583" width="67.75" style="342" customWidth="1"/>
    <col min="3584" max="3584" width="17.0833333333333" style="342" customWidth="1"/>
    <col min="3585" max="3585" width="31.0833333333333" style="342" customWidth="1"/>
    <col min="3586" max="3838" width="9" style="342"/>
    <col min="3839" max="3839" width="67.75" style="342" customWidth="1"/>
    <col min="3840" max="3840" width="17.0833333333333" style="342" customWidth="1"/>
    <col min="3841" max="3841" width="31.0833333333333" style="342" customWidth="1"/>
    <col min="3842" max="4094" width="9" style="342"/>
    <col min="4095" max="4095" width="67.75" style="342" customWidth="1"/>
    <col min="4096" max="4096" width="17.0833333333333" style="342" customWidth="1"/>
    <col min="4097" max="4097" width="31.0833333333333" style="342" customWidth="1"/>
    <col min="4098" max="4350" width="9" style="342"/>
    <col min="4351" max="4351" width="67.75" style="342" customWidth="1"/>
    <col min="4352" max="4352" width="17.0833333333333" style="342" customWidth="1"/>
    <col min="4353" max="4353" width="31.0833333333333" style="342" customWidth="1"/>
    <col min="4354" max="4606" width="9" style="342"/>
    <col min="4607" max="4607" width="67.75" style="342" customWidth="1"/>
    <col min="4608" max="4608" width="17.0833333333333" style="342" customWidth="1"/>
    <col min="4609" max="4609" width="31.0833333333333" style="342" customWidth="1"/>
    <col min="4610" max="4862" width="9" style="342"/>
    <col min="4863" max="4863" width="67.75" style="342" customWidth="1"/>
    <col min="4864" max="4864" width="17.0833333333333" style="342" customWidth="1"/>
    <col min="4865" max="4865" width="31.0833333333333" style="342" customWidth="1"/>
    <col min="4866" max="5118" width="9" style="342"/>
    <col min="5119" max="5119" width="67.75" style="342" customWidth="1"/>
    <col min="5120" max="5120" width="17.0833333333333" style="342" customWidth="1"/>
    <col min="5121" max="5121" width="31.0833333333333" style="342" customWidth="1"/>
    <col min="5122" max="5374" width="9" style="342"/>
    <col min="5375" max="5375" width="67.75" style="342" customWidth="1"/>
    <col min="5376" max="5376" width="17.0833333333333" style="342" customWidth="1"/>
    <col min="5377" max="5377" width="31.0833333333333" style="342" customWidth="1"/>
    <col min="5378" max="5630" width="9" style="342"/>
    <col min="5631" max="5631" width="67.75" style="342" customWidth="1"/>
    <col min="5632" max="5632" width="17.0833333333333" style="342" customWidth="1"/>
    <col min="5633" max="5633" width="31.0833333333333" style="342" customWidth="1"/>
    <col min="5634" max="5886" width="9" style="342"/>
    <col min="5887" max="5887" width="67.75" style="342" customWidth="1"/>
    <col min="5888" max="5888" width="17.0833333333333" style="342" customWidth="1"/>
    <col min="5889" max="5889" width="31.0833333333333" style="342" customWidth="1"/>
    <col min="5890" max="6142" width="9" style="342"/>
    <col min="6143" max="6143" width="67.75" style="342" customWidth="1"/>
    <col min="6144" max="6144" width="17.0833333333333" style="342" customWidth="1"/>
    <col min="6145" max="6145" width="31.0833333333333" style="342" customWidth="1"/>
    <col min="6146" max="6398" width="9" style="342"/>
    <col min="6399" max="6399" width="67.75" style="342" customWidth="1"/>
    <col min="6400" max="6400" width="17.0833333333333" style="342" customWidth="1"/>
    <col min="6401" max="6401" width="31.0833333333333" style="342" customWidth="1"/>
    <col min="6402" max="6654" width="9" style="342"/>
    <col min="6655" max="6655" width="67.75" style="342" customWidth="1"/>
    <col min="6656" max="6656" width="17.0833333333333" style="342" customWidth="1"/>
    <col min="6657" max="6657" width="31.0833333333333" style="342" customWidth="1"/>
    <col min="6658" max="6910" width="9" style="342"/>
    <col min="6911" max="6911" width="67.75" style="342" customWidth="1"/>
    <col min="6912" max="6912" width="17.0833333333333" style="342" customWidth="1"/>
    <col min="6913" max="6913" width="31.0833333333333" style="342" customWidth="1"/>
    <col min="6914" max="7166" width="9" style="342"/>
    <col min="7167" max="7167" width="67.75" style="342" customWidth="1"/>
    <col min="7168" max="7168" width="17.0833333333333" style="342" customWidth="1"/>
    <col min="7169" max="7169" width="31.0833333333333" style="342" customWidth="1"/>
    <col min="7170" max="7422" width="9" style="342"/>
    <col min="7423" max="7423" width="67.75" style="342" customWidth="1"/>
    <col min="7424" max="7424" width="17.0833333333333" style="342" customWidth="1"/>
    <col min="7425" max="7425" width="31.0833333333333" style="342" customWidth="1"/>
    <col min="7426" max="7678" width="9" style="342"/>
    <col min="7679" max="7679" width="67.75" style="342" customWidth="1"/>
    <col min="7680" max="7680" width="17.0833333333333" style="342" customWidth="1"/>
    <col min="7681" max="7681" width="31.0833333333333" style="342" customWidth="1"/>
    <col min="7682" max="7934" width="9" style="342"/>
    <col min="7935" max="7935" width="67.75" style="342" customWidth="1"/>
    <col min="7936" max="7936" width="17.0833333333333" style="342" customWidth="1"/>
    <col min="7937" max="7937" width="31.0833333333333" style="342" customWidth="1"/>
    <col min="7938" max="8190" width="9" style="342"/>
    <col min="8191" max="8191" width="67.75" style="342" customWidth="1"/>
    <col min="8192" max="8192" width="17.0833333333333" style="342" customWidth="1"/>
    <col min="8193" max="8193" width="31.0833333333333" style="342" customWidth="1"/>
    <col min="8194" max="8446" width="9" style="342"/>
    <col min="8447" max="8447" width="67.75" style="342" customWidth="1"/>
    <col min="8448" max="8448" width="17.0833333333333" style="342" customWidth="1"/>
    <col min="8449" max="8449" width="31.0833333333333" style="342" customWidth="1"/>
    <col min="8450" max="8702" width="9" style="342"/>
    <col min="8703" max="8703" width="67.75" style="342" customWidth="1"/>
    <col min="8704" max="8704" width="17.0833333333333" style="342" customWidth="1"/>
    <col min="8705" max="8705" width="31.0833333333333" style="342" customWidth="1"/>
    <col min="8706" max="8958" width="9" style="342"/>
    <col min="8959" max="8959" width="67.75" style="342" customWidth="1"/>
    <col min="8960" max="8960" width="17.0833333333333" style="342" customWidth="1"/>
    <col min="8961" max="8961" width="31.0833333333333" style="342" customWidth="1"/>
    <col min="8962" max="9214" width="9" style="342"/>
    <col min="9215" max="9215" width="67.75" style="342" customWidth="1"/>
    <col min="9216" max="9216" width="17.0833333333333" style="342" customWidth="1"/>
    <col min="9217" max="9217" width="31.0833333333333" style="342" customWidth="1"/>
    <col min="9218" max="9470" width="9" style="342"/>
    <col min="9471" max="9471" width="67.75" style="342" customWidth="1"/>
    <col min="9472" max="9472" width="17.0833333333333" style="342" customWidth="1"/>
    <col min="9473" max="9473" width="31.0833333333333" style="342" customWidth="1"/>
    <col min="9474" max="9726" width="9" style="342"/>
    <col min="9727" max="9727" width="67.75" style="342" customWidth="1"/>
    <col min="9728" max="9728" width="17.0833333333333" style="342" customWidth="1"/>
    <col min="9729" max="9729" width="31.0833333333333" style="342" customWidth="1"/>
    <col min="9730" max="9982" width="9" style="342"/>
    <col min="9983" max="9983" width="67.75" style="342" customWidth="1"/>
    <col min="9984" max="9984" width="17.0833333333333" style="342" customWidth="1"/>
    <col min="9985" max="9985" width="31.0833333333333" style="342" customWidth="1"/>
    <col min="9986" max="10238" width="9" style="342"/>
    <col min="10239" max="10239" width="67.75" style="342" customWidth="1"/>
    <col min="10240" max="10240" width="17.0833333333333" style="342" customWidth="1"/>
    <col min="10241" max="10241" width="31.0833333333333" style="342" customWidth="1"/>
    <col min="10242" max="10494" width="9" style="342"/>
    <col min="10495" max="10495" width="67.75" style="342" customWidth="1"/>
    <col min="10496" max="10496" width="17.0833333333333" style="342" customWidth="1"/>
    <col min="10497" max="10497" width="31.0833333333333" style="342" customWidth="1"/>
    <col min="10498" max="10750" width="9" style="342"/>
    <col min="10751" max="10751" width="67.75" style="342" customWidth="1"/>
    <col min="10752" max="10752" width="17.0833333333333" style="342" customWidth="1"/>
    <col min="10753" max="10753" width="31.0833333333333" style="342" customWidth="1"/>
    <col min="10754" max="11006" width="9" style="342"/>
    <col min="11007" max="11007" width="67.75" style="342" customWidth="1"/>
    <col min="11008" max="11008" width="17.0833333333333" style="342" customWidth="1"/>
    <col min="11009" max="11009" width="31.0833333333333" style="342" customWidth="1"/>
    <col min="11010" max="11262" width="9" style="342"/>
    <col min="11263" max="11263" width="67.75" style="342" customWidth="1"/>
    <col min="11264" max="11264" width="17.0833333333333" style="342" customWidth="1"/>
    <col min="11265" max="11265" width="31.0833333333333" style="342" customWidth="1"/>
    <col min="11266" max="11518" width="9" style="342"/>
    <col min="11519" max="11519" width="67.75" style="342" customWidth="1"/>
    <col min="11520" max="11520" width="17.0833333333333" style="342" customWidth="1"/>
    <col min="11521" max="11521" width="31.0833333333333" style="342" customWidth="1"/>
    <col min="11522" max="11774" width="9" style="342"/>
    <col min="11775" max="11775" width="67.75" style="342" customWidth="1"/>
    <col min="11776" max="11776" width="17.0833333333333" style="342" customWidth="1"/>
    <col min="11777" max="11777" width="31.0833333333333" style="342" customWidth="1"/>
    <col min="11778" max="12030" width="9" style="342"/>
    <col min="12031" max="12031" width="67.75" style="342" customWidth="1"/>
    <col min="12032" max="12032" width="17.0833333333333" style="342" customWidth="1"/>
    <col min="12033" max="12033" width="31.0833333333333" style="342" customWidth="1"/>
    <col min="12034" max="12286" width="9" style="342"/>
    <col min="12287" max="12287" width="67.75" style="342" customWidth="1"/>
    <col min="12288" max="12288" width="17.0833333333333" style="342" customWidth="1"/>
    <col min="12289" max="12289" width="31.0833333333333" style="342" customWidth="1"/>
    <col min="12290" max="12542" width="9" style="342"/>
    <col min="12543" max="12543" width="67.75" style="342" customWidth="1"/>
    <col min="12544" max="12544" width="17.0833333333333" style="342" customWidth="1"/>
    <col min="12545" max="12545" width="31.0833333333333" style="342" customWidth="1"/>
    <col min="12546" max="12798" width="9" style="342"/>
    <col min="12799" max="12799" width="67.75" style="342" customWidth="1"/>
    <col min="12800" max="12800" width="17.0833333333333" style="342" customWidth="1"/>
    <col min="12801" max="12801" width="31.0833333333333" style="342" customWidth="1"/>
    <col min="12802" max="13054" width="9" style="342"/>
    <col min="13055" max="13055" width="67.75" style="342" customWidth="1"/>
    <col min="13056" max="13056" width="17.0833333333333" style="342" customWidth="1"/>
    <col min="13057" max="13057" width="31.0833333333333" style="342" customWidth="1"/>
    <col min="13058" max="13310" width="9" style="342"/>
    <col min="13311" max="13311" width="67.75" style="342" customWidth="1"/>
    <col min="13312" max="13312" width="17.0833333333333" style="342" customWidth="1"/>
    <col min="13313" max="13313" width="31.0833333333333" style="342" customWidth="1"/>
    <col min="13314" max="13566" width="9" style="342"/>
    <col min="13567" max="13567" width="67.75" style="342" customWidth="1"/>
    <col min="13568" max="13568" width="17.0833333333333" style="342" customWidth="1"/>
    <col min="13569" max="13569" width="31.0833333333333" style="342" customWidth="1"/>
    <col min="13570" max="13822" width="9" style="342"/>
    <col min="13823" max="13823" width="67.75" style="342" customWidth="1"/>
    <col min="13824" max="13824" width="17.0833333333333" style="342" customWidth="1"/>
    <col min="13825" max="13825" width="31.0833333333333" style="342" customWidth="1"/>
    <col min="13826" max="14078" width="9" style="342"/>
    <col min="14079" max="14079" width="67.75" style="342" customWidth="1"/>
    <col min="14080" max="14080" width="17.0833333333333" style="342" customWidth="1"/>
    <col min="14081" max="14081" width="31.0833333333333" style="342" customWidth="1"/>
    <col min="14082" max="14334" width="9" style="342"/>
    <col min="14335" max="14335" width="67.75" style="342" customWidth="1"/>
    <col min="14336" max="14336" width="17.0833333333333" style="342" customWidth="1"/>
    <col min="14337" max="14337" width="31.0833333333333" style="342" customWidth="1"/>
    <col min="14338" max="14590" width="9" style="342"/>
    <col min="14591" max="14591" width="67.75" style="342" customWidth="1"/>
    <col min="14592" max="14592" width="17.0833333333333" style="342" customWidth="1"/>
    <col min="14593" max="14593" width="31.0833333333333" style="342" customWidth="1"/>
    <col min="14594" max="14846" width="9" style="342"/>
    <col min="14847" max="14847" width="67.75" style="342" customWidth="1"/>
    <col min="14848" max="14848" width="17.0833333333333" style="342" customWidth="1"/>
    <col min="14849" max="14849" width="31.0833333333333" style="342" customWidth="1"/>
    <col min="14850" max="15102" width="9" style="342"/>
    <col min="15103" max="15103" width="67.75" style="342" customWidth="1"/>
    <col min="15104" max="15104" width="17.0833333333333" style="342" customWidth="1"/>
    <col min="15105" max="15105" width="31.0833333333333" style="342" customWidth="1"/>
    <col min="15106" max="15358" width="9" style="342"/>
    <col min="15359" max="15359" width="67.75" style="342" customWidth="1"/>
    <col min="15360" max="15360" width="17.0833333333333" style="342" customWidth="1"/>
    <col min="15361" max="15361" width="31.0833333333333" style="342" customWidth="1"/>
    <col min="15362" max="15614" width="9" style="342"/>
    <col min="15615" max="15615" width="67.75" style="342" customWidth="1"/>
    <col min="15616" max="15616" width="17.0833333333333" style="342" customWidth="1"/>
    <col min="15617" max="15617" width="31.0833333333333" style="342" customWidth="1"/>
    <col min="15618" max="15870" width="9" style="342"/>
    <col min="15871" max="15871" width="67.75" style="342" customWidth="1"/>
    <col min="15872" max="15872" width="17.0833333333333" style="342" customWidth="1"/>
    <col min="15873" max="15873" width="31.0833333333333" style="342" customWidth="1"/>
    <col min="15874" max="16126" width="9" style="342"/>
    <col min="16127" max="16127" width="67.75" style="342" customWidth="1"/>
    <col min="16128" max="16128" width="17.0833333333333" style="342" customWidth="1"/>
    <col min="16129" max="16129" width="31.0833333333333" style="342" customWidth="1"/>
    <col min="16130" max="16384" width="9" style="342"/>
  </cols>
  <sheetData>
    <row r="1" ht="15.75" spans="1:3">
      <c r="A1" s="343" t="s">
        <v>24</v>
      </c>
      <c r="B1" s="343"/>
      <c r="C1" s="344"/>
    </row>
    <row r="2" spans="1:3">
      <c r="A2" s="345"/>
      <c r="B2" s="345"/>
      <c r="C2" s="344"/>
    </row>
    <row r="3" ht="13.5" customHeight="1" spans="1:3">
      <c r="A3" s="346"/>
      <c r="B3" s="347"/>
      <c r="C3" s="344"/>
    </row>
    <row r="4" ht="137.25" customHeight="1" spans="1:3">
      <c r="A4" s="348" t="s">
        <v>25</v>
      </c>
      <c r="B4" s="348"/>
    </row>
    <row r="5" ht="57.4" customHeight="1" spans="1:3">
      <c r="A5" s="349" t="s">
        <v>26</v>
      </c>
      <c r="B5" s="348"/>
    </row>
    <row r="6" ht="57.4" customHeight="1" spans="1:3">
      <c r="A6" s="349" t="s">
        <v>27</v>
      </c>
      <c r="B6" s="348"/>
    </row>
    <row r="7" ht="57.4" customHeight="1" spans="1:3">
      <c r="A7" s="349" t="s">
        <v>28</v>
      </c>
      <c r="B7" s="348"/>
    </row>
    <row r="8" ht="57.4" customHeight="1" spans="1:3">
      <c r="A8" s="350" t="s">
        <v>29</v>
      </c>
      <c r="B8" s="348"/>
    </row>
    <row r="9" ht="24.75" customHeight="1" spans="1:3">
      <c r="A9" s="351" t="s">
        <v>30</v>
      </c>
      <c r="B9" s="351" t="s">
        <v>31</v>
      </c>
    </row>
    <row r="10" ht="20.25" customHeight="1" spans="1:3">
      <c r="A10" s="352" t="s">
        <v>32</v>
      </c>
      <c r="B10" s="352"/>
    </row>
    <row r="11" ht="24" customHeight="1" spans="1:3">
      <c r="A11" s="353" t="s">
        <v>33</v>
      </c>
      <c r="B11" s="354" t="s">
        <v>34</v>
      </c>
    </row>
    <row r="12" ht="24" customHeight="1" spans="1:3">
      <c r="A12" s="353" t="s">
        <v>35</v>
      </c>
      <c r="B12" s="355" t="s">
        <v>36</v>
      </c>
    </row>
    <row r="13" ht="24" customHeight="1" spans="1:3">
      <c r="A13" s="353" t="s">
        <v>37</v>
      </c>
      <c r="B13" s="356"/>
    </row>
    <row r="14" ht="22.9" customHeight="1" spans="1:3">
      <c r="A14" s="353" t="s">
        <v>38</v>
      </c>
      <c r="B14" s="354" t="s">
        <v>39</v>
      </c>
    </row>
    <row r="15" ht="22.5" customHeight="1" spans="1:3">
      <c r="A15" s="352" t="s">
        <v>40</v>
      </c>
      <c r="B15" s="352"/>
    </row>
    <row r="16" ht="24" customHeight="1" spans="1:3">
      <c r="A16" s="353" t="s">
        <v>41</v>
      </c>
      <c r="B16" s="354" t="s">
        <v>42</v>
      </c>
    </row>
    <row r="17" ht="24" customHeight="1" spans="1:2">
      <c r="A17" s="353" t="s">
        <v>43</v>
      </c>
      <c r="B17" s="355" t="s">
        <v>44</v>
      </c>
    </row>
    <row r="18" ht="24" customHeight="1" spans="1:2">
      <c r="A18" s="353" t="s">
        <v>45</v>
      </c>
      <c r="B18" s="357" t="s">
        <v>46</v>
      </c>
    </row>
    <row r="19" ht="24" customHeight="1" spans="1:2">
      <c r="A19" s="353" t="s">
        <v>47</v>
      </c>
      <c r="B19" s="355" t="s">
        <v>48</v>
      </c>
    </row>
    <row r="20" ht="24" customHeight="1" spans="1:2">
      <c r="A20" s="353" t="s">
        <v>49</v>
      </c>
      <c r="B20" s="358" t="s">
        <v>50</v>
      </c>
    </row>
    <row r="21" ht="24" customHeight="1" spans="1:2">
      <c r="A21" s="359" t="s">
        <v>51</v>
      </c>
      <c r="B21" s="360" t="s">
        <v>52</v>
      </c>
    </row>
    <row r="22" ht="43.5" customHeight="1"/>
  </sheetData>
  <mergeCells count="5">
    <mergeCell ref="A1:B1"/>
    <mergeCell ref="A4:B4"/>
    <mergeCell ref="A10:B10"/>
    <mergeCell ref="A15:B15"/>
    <mergeCell ref="B12:B13"/>
  </mergeCells>
  <printOptions horizontalCentered="1"/>
  <pageMargins left="0.708661417322835" right="0.708661417322835" top="0.748031496062992" bottom="0.748031496062992" header="0.31496062992126" footer="0.31496062992126"/>
  <pageSetup paperSize="9" scale="90" fitToHeight="0" orientation="landscape"/>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K25"/>
  <sheetViews>
    <sheetView showGridLines="0" zoomScaleSheetLayoutView="80" workbookViewId="0">
      <selection activeCell="C14" sqref="C14"/>
    </sheetView>
  </sheetViews>
  <sheetFormatPr defaultColWidth="9" defaultRowHeight="15"/>
  <cols>
    <col min="1" max="1" width="14.0833333333333" style="311" customWidth="1"/>
    <col min="2" max="2" width="21.3333333333333" style="311" customWidth="1"/>
    <col min="3" max="3" width="58.0833333333333" style="311" customWidth="1"/>
    <col min="4" max="4" width="16.75" style="311" customWidth="1"/>
    <col min="5" max="5" width="23.75" style="311" customWidth="1"/>
    <col min="6" max="6" width="9" style="312"/>
    <col min="7" max="16384" width="9" style="311"/>
  </cols>
  <sheetData>
    <row r="1" spans="1:11">
      <c r="A1" s="313" t="s">
        <v>53</v>
      </c>
    </row>
    <row r="2" spans="1:11">
      <c r="A2" s="235"/>
    </row>
    <row r="3" spans="1:11">
      <c r="A3" s="314" t="s">
        <v>54</v>
      </c>
    </row>
    <row r="4" spans="1:11">
      <c r="A4" s="314"/>
    </row>
    <row r="5" spans="1:11">
      <c r="A5" s="315" t="s">
        <v>55</v>
      </c>
      <c r="B5" s="315"/>
      <c r="C5" s="315"/>
      <c r="D5" s="315"/>
      <c r="E5" s="315"/>
      <c r="F5" s="315"/>
      <c r="G5" s="315"/>
      <c r="H5" s="315"/>
    </row>
    <row r="6" s="310" customFormat="1" ht="19.9" customHeight="1" spans="1:11">
      <c r="A6" s="316" t="s">
        <v>56</v>
      </c>
      <c r="B6" s="316" t="s">
        <v>57</v>
      </c>
      <c r="C6" s="316" t="s">
        <v>58</v>
      </c>
      <c r="D6" s="317" t="s">
        <v>59</v>
      </c>
      <c r="E6" s="318"/>
      <c r="F6" s="319"/>
      <c r="G6" s="320"/>
      <c r="H6" s="320"/>
      <c r="I6" s="320"/>
      <c r="J6" s="320"/>
      <c r="K6" s="320"/>
    </row>
    <row r="7" ht="19.9" customHeight="1" spans="1:11">
      <c r="A7" s="321"/>
      <c r="B7" s="321"/>
      <c r="C7" s="321"/>
      <c r="D7" s="322" t="s">
        <v>60</v>
      </c>
      <c r="E7" s="322" t="s">
        <v>61</v>
      </c>
      <c r="G7" s="320"/>
      <c r="H7" s="320"/>
      <c r="I7" s="320"/>
      <c r="J7" s="320"/>
      <c r="K7" s="320"/>
    </row>
    <row r="8" ht="19.9" customHeight="1" spans="1:11">
      <c r="A8" s="323" t="s">
        <v>62</v>
      </c>
      <c r="B8" s="323">
        <v>15</v>
      </c>
      <c r="C8" s="324" t="s">
        <v>62</v>
      </c>
      <c r="D8" s="325" t="s">
        <v>63</v>
      </c>
      <c r="E8" s="326" t="s">
        <v>64</v>
      </c>
      <c r="G8" s="327"/>
      <c r="H8" s="328"/>
      <c r="I8" s="327"/>
      <c r="J8" s="328"/>
      <c r="K8" s="328"/>
    </row>
    <row r="9" ht="19.9" customHeight="1" spans="1:11">
      <c r="A9" s="329" t="s">
        <v>65</v>
      </c>
      <c r="B9" s="330">
        <v>16</v>
      </c>
      <c r="C9" s="331" t="s">
        <v>65</v>
      </c>
      <c r="D9" s="332" t="s">
        <v>66</v>
      </c>
      <c r="E9" s="333" t="s">
        <v>67</v>
      </c>
      <c r="F9" s="334" t="s">
        <v>68</v>
      </c>
      <c r="G9" s="327"/>
      <c r="H9" s="328"/>
      <c r="I9" s="327"/>
      <c r="J9" s="328"/>
      <c r="K9" s="328"/>
    </row>
    <row r="10" ht="19.9" customHeight="1" spans="1:11">
      <c r="A10" s="323"/>
      <c r="B10" s="323"/>
      <c r="C10" s="324"/>
      <c r="D10" s="325"/>
      <c r="E10" s="326"/>
      <c r="G10" s="327"/>
      <c r="H10" s="328"/>
      <c r="I10" s="327"/>
      <c r="J10" s="328"/>
      <c r="K10" s="328"/>
    </row>
    <row r="11" ht="19.9" customHeight="1" spans="1:11">
      <c r="A11" s="323"/>
      <c r="B11" s="325"/>
      <c r="C11" s="324"/>
      <c r="D11" s="325"/>
      <c r="E11" s="326"/>
      <c r="G11" s="327"/>
      <c r="H11" s="328"/>
      <c r="I11" s="327"/>
      <c r="J11" s="328"/>
      <c r="K11" s="328"/>
    </row>
    <row r="12" ht="19.9" customHeight="1" spans="1:11">
      <c r="A12" s="335"/>
      <c r="B12" s="323"/>
      <c r="C12" s="324"/>
      <c r="D12" s="325"/>
      <c r="E12" s="326"/>
      <c r="G12" s="327"/>
      <c r="H12" s="328"/>
      <c r="I12" s="327"/>
      <c r="J12" s="328"/>
      <c r="K12" s="328"/>
    </row>
    <row r="13" ht="19.9" customHeight="1" spans="1:11">
      <c r="A13" s="335"/>
      <c r="B13" s="323"/>
      <c r="C13" s="324"/>
      <c r="D13" s="325"/>
      <c r="E13" s="326"/>
      <c r="G13" s="327"/>
      <c r="H13" s="328"/>
      <c r="I13" s="327"/>
      <c r="J13" s="328"/>
      <c r="K13" s="328"/>
    </row>
    <row r="14" ht="19.9" customHeight="1" spans="1:11">
      <c r="A14" s="329"/>
      <c r="B14" s="330"/>
      <c r="C14" s="331"/>
      <c r="D14" s="332"/>
      <c r="E14" s="333"/>
      <c r="F14" s="334"/>
      <c r="G14" s="327"/>
      <c r="H14" s="328"/>
      <c r="I14" s="327"/>
      <c r="J14" s="328"/>
      <c r="K14" s="328"/>
    </row>
    <row r="15" ht="19.9" customHeight="1" spans="1:11">
      <c r="A15" s="335"/>
      <c r="B15" s="323"/>
      <c r="C15" s="324"/>
      <c r="D15" s="325"/>
      <c r="E15" s="326"/>
      <c r="G15" s="327"/>
      <c r="H15" s="328"/>
      <c r="I15" s="327"/>
      <c r="J15" s="328"/>
      <c r="K15" s="328"/>
    </row>
    <row r="16" ht="19.9" customHeight="1" spans="1:11">
      <c r="A16" s="329"/>
      <c r="B16" s="330"/>
      <c r="C16" s="331"/>
      <c r="D16" s="332"/>
      <c r="E16" s="333"/>
      <c r="F16" s="334"/>
      <c r="G16" s="327"/>
      <c r="H16" s="328"/>
      <c r="I16" s="327"/>
      <c r="J16" s="328"/>
      <c r="K16" s="328"/>
    </row>
    <row r="17" ht="19.9" customHeight="1" spans="1:11">
      <c r="A17" s="335"/>
      <c r="B17" s="323"/>
      <c r="C17" s="324"/>
      <c r="D17" s="325"/>
      <c r="E17" s="326"/>
      <c r="G17" s="327"/>
      <c r="H17" s="328"/>
      <c r="I17" s="327"/>
      <c r="J17" s="328"/>
      <c r="K17" s="328"/>
    </row>
    <row r="18" ht="19.9" customHeight="1" spans="1:11">
      <c r="A18" s="329"/>
      <c r="B18" s="330"/>
      <c r="C18" s="331"/>
      <c r="D18" s="332"/>
      <c r="E18" s="333"/>
      <c r="F18" s="334"/>
      <c r="G18" s="327"/>
      <c r="H18" s="328"/>
      <c r="I18" s="327"/>
      <c r="J18" s="328"/>
      <c r="K18" s="328"/>
    </row>
    <row r="19" ht="19.9" customHeight="1" spans="1:11">
      <c r="A19" s="335"/>
      <c r="B19" s="323"/>
      <c r="C19" s="324"/>
      <c r="D19" s="325"/>
      <c r="E19" s="326"/>
      <c r="G19" s="327"/>
      <c r="H19" s="328"/>
      <c r="I19" s="327"/>
      <c r="J19" s="328"/>
      <c r="K19" s="328"/>
    </row>
    <row r="20" ht="19.9" customHeight="1" spans="1:11">
      <c r="A20" s="329"/>
      <c r="B20" s="330"/>
      <c r="C20" s="331"/>
      <c r="D20" s="332"/>
      <c r="E20" s="333"/>
      <c r="F20" s="334"/>
      <c r="G20" s="327"/>
      <c r="H20" s="328"/>
      <c r="I20" s="327"/>
      <c r="J20" s="328"/>
      <c r="K20" s="328"/>
    </row>
    <row r="21" ht="19.9" customHeight="1" spans="1:11">
      <c r="A21" s="335"/>
      <c r="B21" s="323"/>
      <c r="C21" s="324"/>
      <c r="D21" s="325"/>
      <c r="E21" s="326"/>
      <c r="G21" s="327"/>
      <c r="H21" s="328"/>
      <c r="I21" s="327"/>
      <c r="J21" s="328"/>
      <c r="K21" s="328"/>
    </row>
    <row r="22" ht="19.9" customHeight="1" spans="1:11">
      <c r="A22" s="335"/>
      <c r="B22" s="323"/>
      <c r="C22" s="324"/>
      <c r="D22" s="325"/>
      <c r="E22" s="326"/>
      <c r="G22" s="327"/>
      <c r="H22" s="328"/>
      <c r="I22" s="327"/>
      <c r="J22" s="328"/>
      <c r="K22" s="328"/>
    </row>
    <row r="23" ht="19.9" customHeight="1" spans="1:11">
      <c r="A23" s="336" t="s">
        <v>69</v>
      </c>
      <c r="B23" s="336">
        <f>SUM(B8:B22)</f>
        <v>31</v>
      </c>
      <c r="C23" s="337"/>
      <c r="D23" s="338"/>
      <c r="E23" s="338"/>
      <c r="F23" s="334"/>
      <c r="G23" s="339"/>
      <c r="H23" s="328"/>
      <c r="I23" s="327"/>
      <c r="J23" s="327"/>
      <c r="K23" s="327"/>
    </row>
    <row r="24" spans="1:11">
      <c r="A24" s="340"/>
      <c r="B24" s="340"/>
      <c r="C24" s="340"/>
      <c r="D24" s="340"/>
      <c r="E24" s="340"/>
      <c r="G24" s="339"/>
      <c r="H24" s="328"/>
      <c r="I24" s="327"/>
      <c r="J24" s="327"/>
      <c r="K24" s="327"/>
    </row>
    <row r="25" spans="1:11">
      <c r="A25" s="341" t="s">
        <v>70</v>
      </c>
    </row>
  </sheetData>
  <mergeCells count="9">
    <mergeCell ref="A5:H5"/>
    <mergeCell ref="D6:E6"/>
    <mergeCell ref="J6:K6"/>
    <mergeCell ref="A6:A7"/>
    <mergeCell ref="B6:B7"/>
    <mergeCell ref="C6:C7"/>
    <mergeCell ref="G6:G7"/>
    <mergeCell ref="H6:H7"/>
    <mergeCell ref="I6:I7"/>
  </mergeCells>
  <pageMargins left="0.748031496062992" right="0.748031496062992" top="0.984251968503937" bottom="0.984251968503937" header="0.511811023622047" footer="0.511811023622047"/>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8"/>
  <sheetViews>
    <sheetView zoomScaleSheetLayoutView="80" workbookViewId="0">
      <selection activeCell="C8" sqref="C8:C16"/>
    </sheetView>
  </sheetViews>
  <sheetFormatPr defaultColWidth="7" defaultRowHeight="12"/>
  <cols>
    <col min="1" max="1" width="6" style="282" customWidth="1"/>
    <col min="2" max="2" width="32.75" style="283" customWidth="1"/>
    <col min="3" max="3" width="12.25" style="283" customWidth="1"/>
    <col min="4" max="4" width="16.75" style="283" customWidth="1"/>
    <col min="5" max="6" width="13.8333333333333" style="283" customWidth="1"/>
    <col min="7" max="7" width="26.3333333333333" style="283" customWidth="1"/>
    <col min="8" max="8" width="12" style="283" customWidth="1"/>
    <col min="9" max="9" width="15.5" style="283" customWidth="1"/>
    <col min="10" max="10" width="11.5" style="283" customWidth="1"/>
    <col min="11" max="11" width="15.3333333333333" style="283" customWidth="1"/>
    <col min="12" max="16384" width="7" style="283"/>
  </cols>
  <sheetData>
    <row r="1" ht="19.15" customHeight="1" spans="1:11">
      <c r="A1" s="284" t="str">
        <f>'1 组织结构及管理架构'!A1</f>
        <v>斯必克（上海）流体技术有限公司</v>
      </c>
    </row>
    <row r="2" spans="1:11">
      <c r="A2" s="285"/>
    </row>
    <row r="3" s="279" customFormat="1" ht="15" customHeight="1" spans="1:11">
      <c r="A3" s="279" t="s">
        <v>71</v>
      </c>
      <c r="B3" s="286"/>
      <c r="C3" s="286"/>
      <c r="D3" s="286"/>
      <c r="E3" s="286"/>
      <c r="F3" s="286"/>
      <c r="G3" s="286"/>
      <c r="H3" s="286"/>
      <c r="I3" s="286"/>
      <c r="J3" s="286"/>
    </row>
    <row r="4" s="279" customFormat="1" ht="12.75" customHeight="1" spans="1:11">
      <c r="A4" s="287" t="s">
        <v>72</v>
      </c>
      <c r="B4" s="287"/>
      <c r="C4" s="287"/>
      <c r="D4" s="287"/>
      <c r="E4" s="287"/>
      <c r="F4" s="287"/>
      <c r="G4" s="287"/>
      <c r="H4" s="287"/>
      <c r="I4" s="287"/>
      <c r="J4" s="287"/>
    </row>
    <row r="5" s="280" customFormat="1" ht="19.9" customHeight="1" spans="1:11">
      <c r="A5" s="288" t="s">
        <v>73</v>
      </c>
      <c r="B5" s="289" t="s">
        <v>74</v>
      </c>
      <c r="C5" s="289" t="s">
        <v>75</v>
      </c>
      <c r="D5" s="289" t="s">
        <v>76</v>
      </c>
      <c r="E5" s="290" t="s">
        <v>77</v>
      </c>
      <c r="F5" s="290" t="s">
        <v>78</v>
      </c>
      <c r="G5" s="289" t="s">
        <v>79</v>
      </c>
      <c r="H5" s="288" t="s">
        <v>80</v>
      </c>
      <c r="I5" s="288" t="s">
        <v>81</v>
      </c>
      <c r="J5" s="288" t="s">
        <v>82</v>
      </c>
      <c r="K5" s="291" t="s">
        <v>83</v>
      </c>
    </row>
    <row r="6" s="280" customFormat="1" ht="19.9" customHeight="1" spans="1:11">
      <c r="A6" s="288"/>
      <c r="B6" s="289">
        <v>1</v>
      </c>
      <c r="C6" s="289">
        <v>2</v>
      </c>
      <c r="D6" s="289">
        <v>3</v>
      </c>
      <c r="E6" s="290">
        <v>4</v>
      </c>
      <c r="F6" s="290">
        <v>5</v>
      </c>
      <c r="G6" s="289">
        <v>6</v>
      </c>
      <c r="H6" s="289">
        <v>7</v>
      </c>
      <c r="I6" s="289">
        <v>8</v>
      </c>
      <c r="J6" s="289">
        <v>9</v>
      </c>
      <c r="K6" s="289">
        <v>10</v>
      </c>
    </row>
    <row r="7" s="279" customFormat="1" ht="30" customHeight="1" spans="1:11">
      <c r="A7" s="292">
        <v>1</v>
      </c>
      <c r="B7" s="293" t="s">
        <v>84</v>
      </c>
      <c r="C7" s="294" t="s">
        <v>85</v>
      </c>
      <c r="D7" s="294" t="s">
        <v>86</v>
      </c>
      <c r="E7" s="293" t="s">
        <v>84</v>
      </c>
      <c r="F7" s="294" t="s">
        <v>85</v>
      </c>
      <c r="G7" s="294" t="s">
        <v>86</v>
      </c>
      <c r="H7" s="293" t="s">
        <v>84</v>
      </c>
      <c r="I7" s="294" t="s">
        <v>85</v>
      </c>
      <c r="J7" s="294" t="s">
        <v>86</v>
      </c>
      <c r="K7" s="295" t="s">
        <v>87</v>
      </c>
    </row>
    <row r="8" s="279" customFormat="1" ht="30" customHeight="1" spans="1:11">
      <c r="A8" s="296"/>
      <c r="B8" s="293"/>
      <c r="C8" s="297">
        <v>0.0435</v>
      </c>
      <c r="D8" s="298">
        <v>0.005</v>
      </c>
      <c r="E8" s="299"/>
      <c r="F8" s="300"/>
      <c r="G8" s="300"/>
      <c r="H8" s="293"/>
      <c r="I8" s="294"/>
      <c r="J8" s="294"/>
      <c r="K8" s="295"/>
    </row>
    <row r="9" s="279" customFormat="1" ht="30" customHeight="1" spans="1:11">
      <c r="A9" s="296"/>
      <c r="B9" s="293"/>
      <c r="C9" s="297">
        <v>0.0435</v>
      </c>
      <c r="D9" s="298">
        <v>0.005</v>
      </c>
      <c r="E9" s="299"/>
      <c r="F9" s="300"/>
      <c r="G9" s="300"/>
      <c r="H9" s="293"/>
      <c r="I9" s="294"/>
      <c r="J9" s="294"/>
      <c r="K9" s="295"/>
    </row>
    <row r="10" s="279" customFormat="1" ht="30" customHeight="1" spans="1:11">
      <c r="A10" s="296"/>
      <c r="B10" s="293"/>
      <c r="C10" s="297">
        <v>0.0435</v>
      </c>
      <c r="D10" s="298">
        <v>0.005</v>
      </c>
      <c r="E10" s="299"/>
      <c r="F10" s="300"/>
      <c r="G10" s="300"/>
      <c r="H10" s="293"/>
      <c r="I10" s="294"/>
      <c r="J10" s="294"/>
      <c r="K10" s="295"/>
    </row>
    <row r="11" s="279" customFormat="1" ht="30" customHeight="1" spans="1:11">
      <c r="A11" s="296"/>
      <c r="B11" s="293"/>
      <c r="C11" s="297">
        <v>0.0435</v>
      </c>
      <c r="D11" s="298">
        <v>0.005</v>
      </c>
      <c r="E11" s="299"/>
      <c r="F11" s="300"/>
      <c r="G11" s="300"/>
      <c r="H11" s="293"/>
      <c r="I11" s="294"/>
      <c r="J11" s="294"/>
      <c r="K11" s="295"/>
    </row>
    <row r="12" s="279" customFormat="1" ht="30" customHeight="1" spans="1:11">
      <c r="A12" s="296"/>
      <c r="B12" s="293"/>
      <c r="C12" s="297">
        <v>0.0435</v>
      </c>
      <c r="D12" s="298">
        <v>0.005</v>
      </c>
      <c r="E12" s="299"/>
      <c r="F12" s="300"/>
      <c r="G12" s="300"/>
      <c r="H12" s="293"/>
      <c r="I12" s="294"/>
      <c r="J12" s="294"/>
      <c r="K12" s="295"/>
    </row>
    <row r="13" s="279" customFormat="1" ht="30" customHeight="1" spans="1:11">
      <c r="A13" s="296"/>
      <c r="B13" s="293"/>
      <c r="C13" s="297">
        <v>0.0435</v>
      </c>
      <c r="D13" s="298">
        <v>0.005</v>
      </c>
      <c r="E13" s="299"/>
      <c r="F13" s="300"/>
      <c r="G13" s="300"/>
      <c r="H13" s="293"/>
      <c r="I13" s="294"/>
      <c r="J13" s="294"/>
      <c r="K13" s="295"/>
    </row>
    <row r="14" s="279" customFormat="1" ht="30" customHeight="1" spans="1:11">
      <c r="A14" s="296">
        <v>2</v>
      </c>
      <c r="B14" s="296">
        <v>2</v>
      </c>
      <c r="C14" s="297">
        <v>0.0435</v>
      </c>
      <c r="D14" s="298">
        <v>0.005</v>
      </c>
      <c r="E14" s="301"/>
      <c r="F14" s="301"/>
      <c r="G14" s="302"/>
      <c r="H14" s="303"/>
      <c r="I14" s="303"/>
      <c r="J14" s="304"/>
      <c r="K14" s="295"/>
    </row>
    <row r="15" s="280" customFormat="1" ht="30" customHeight="1" spans="1:11">
      <c r="A15" s="296">
        <v>2</v>
      </c>
      <c r="B15" s="296">
        <v>2</v>
      </c>
      <c r="C15" s="297">
        <v>0.0435</v>
      </c>
      <c r="D15" s="298">
        <v>0.005</v>
      </c>
      <c r="E15" s="294"/>
      <c r="F15" s="294"/>
      <c r="G15" s="294"/>
      <c r="H15" s="303"/>
      <c r="I15" s="303"/>
      <c r="J15" s="304"/>
      <c r="K15" s="305"/>
    </row>
    <row r="16" s="280" customFormat="1" ht="30" customHeight="1" spans="1:11">
      <c r="A16" s="296">
        <v>2</v>
      </c>
      <c r="B16" s="296">
        <v>2</v>
      </c>
      <c r="C16" s="297">
        <v>0.0435</v>
      </c>
      <c r="D16" s="298">
        <v>0.005</v>
      </c>
      <c r="E16" s="294"/>
      <c r="F16" s="294"/>
      <c r="G16" s="294"/>
      <c r="H16" s="294"/>
      <c r="I16" s="294"/>
      <c r="J16" s="306"/>
      <c r="K16" s="305"/>
    </row>
    <row r="17" s="281" customFormat="1" spans="1:10">
      <c r="A17" s="307" t="s">
        <v>88</v>
      </c>
      <c r="B17" s="308"/>
      <c r="C17" s="308"/>
      <c r="D17" s="308"/>
      <c r="E17" s="308"/>
      <c r="F17" s="308"/>
      <c r="G17" s="308"/>
      <c r="H17" s="308"/>
    </row>
    <row r="18" s="281" customFormat="1" ht="281.25" customHeight="1" spans="1:10">
      <c r="A18" s="308"/>
      <c r="B18" s="309" t="s">
        <v>89</v>
      </c>
      <c r="C18" s="309"/>
      <c r="D18" s="309"/>
      <c r="E18" s="309"/>
      <c r="F18" s="309"/>
      <c r="G18" s="309"/>
      <c r="H18" s="309"/>
      <c r="I18" s="309"/>
      <c r="J18" s="309"/>
    </row>
  </sheetData>
  <mergeCells count="3">
    <mergeCell ref="A4:J4"/>
    <mergeCell ref="B18:J18"/>
    <mergeCell ref="A5:A6"/>
  </mergeCells>
  <pageMargins left="0.551181102362205" right="0.551181102362205" top="0.590551181102362" bottom="0.590551181102362" header="0.354330708661417" footer="0.118110236220472"/>
  <pageSetup paperSize="9" scale="80" orientation="landscape"/>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A2" sqref="A2:D2"/>
    </sheetView>
  </sheetViews>
  <sheetFormatPr defaultColWidth="9" defaultRowHeight="14.25" outlineLevelCol="3"/>
  <cols>
    <col min="1" max="1" width="11.0833333333333" customWidth="1"/>
    <col min="3" max="3" width="13.1666666666667" customWidth="1"/>
    <col min="4" max="4" width="25.8333333333333" customWidth="1"/>
  </cols>
  <sheetData>
    <row r="1" spans="1:4">
      <c r="A1" t="s">
        <v>90</v>
      </c>
      <c r="B1" t="s">
        <v>91</v>
      </c>
      <c r="C1" t="s">
        <v>92</v>
      </c>
      <c r="D1" t="s">
        <v>93</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G8" sqref="G8"/>
    </sheetView>
  </sheetViews>
  <sheetFormatPr defaultColWidth="9" defaultRowHeight="14.25" outlineLevelRow="2" outlineLevelCol="4"/>
  <cols>
    <col min="1" max="1" width="11.0833333333333" customWidth="1"/>
    <col min="4" max="4" width="9.16666666666667" customWidth="1"/>
  </cols>
  <sheetData>
    <row r="1" spans="1:5">
      <c r="A1" t="s">
        <v>94</v>
      </c>
      <c r="B1" t="s">
        <v>95</v>
      </c>
      <c r="C1" t="s">
        <v>92</v>
      </c>
      <c r="D1" t="s">
        <v>96</v>
      </c>
      <c r="E1" t="s">
        <v>97</v>
      </c>
    </row>
    <row r="2" spans="1:5">
      <c r="A2" t="s">
        <v>98</v>
      </c>
      <c r="B2" t="s">
        <v>99</v>
      </c>
      <c r="C2" t="s">
        <v>100</v>
      </c>
      <c r="D2" s="278">
        <v>46023</v>
      </c>
      <c r="E2" t="s">
        <v>101</v>
      </c>
    </row>
    <row r="3" spans="1:5">
      <c r="A3" t="s">
        <v>98</v>
      </c>
      <c r="B3" t="s">
        <v>102</v>
      </c>
      <c r="C3" t="s">
        <v>103</v>
      </c>
      <c r="D3" s="278">
        <v>46023</v>
      </c>
      <c r="E3" t="s">
        <v>104</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30"/>
  <sheetViews>
    <sheetView zoomScale="80" zoomScaleNormal="80" zoomScaleSheetLayoutView="80" workbookViewId="0">
      <selection activeCell="B16" sqref="B16"/>
    </sheetView>
  </sheetViews>
  <sheetFormatPr defaultColWidth="7" defaultRowHeight="15"/>
  <cols>
    <col min="1" max="1" width="43" style="230" customWidth="1"/>
    <col min="2" max="2" width="16.0833333333333" style="230" customWidth="1"/>
    <col min="3" max="3" width="19.25" style="231" customWidth="1"/>
    <col min="4" max="4" width="13.5833333333333" style="231" customWidth="1"/>
    <col min="5" max="5" width="14.75" style="231" customWidth="1"/>
    <col min="6" max="6" width="12" style="231" customWidth="1"/>
    <col min="7" max="10" width="11.5833333333333" style="231" customWidth="1"/>
    <col min="11" max="11" width="16.5" style="231" customWidth="1"/>
    <col min="12" max="12" width="7" style="232"/>
    <col min="13" max="16384" width="7" style="231"/>
  </cols>
  <sheetData>
    <row r="1" s="229" customFormat="1" ht="15.75" spans="1:13">
      <c r="A1" s="123" t="str">
        <f>'1 组织结构及管理架构'!A1</f>
        <v>斯必克（上海）流体技术有限公司</v>
      </c>
      <c r="B1" s="233"/>
      <c r="L1" s="234"/>
    </row>
    <row r="2" spans="1:13">
      <c r="A2" s="235"/>
      <c r="B2" s="235"/>
    </row>
    <row r="3" spans="1:13">
      <c r="A3" s="236" t="s">
        <v>105</v>
      </c>
      <c r="B3" s="236"/>
    </row>
    <row r="4" spans="1:13">
      <c r="A4" s="236"/>
      <c r="B4" s="236"/>
    </row>
    <row r="5" ht="24.75" customHeight="1" spans="1:13">
      <c r="A5" s="237" t="s">
        <v>106</v>
      </c>
      <c r="B5" s="238"/>
      <c r="C5" s="238"/>
      <c r="D5" s="238"/>
      <c r="E5" s="238"/>
      <c r="F5" s="238"/>
      <c r="K5" s="239" t="s">
        <v>107</v>
      </c>
    </row>
    <row r="6" ht="24" customHeight="1" spans="1:13">
      <c r="A6" s="240" t="s">
        <v>108</v>
      </c>
      <c r="B6" s="241" t="s">
        <v>109</v>
      </c>
      <c r="C6" s="241" t="s">
        <v>110</v>
      </c>
      <c r="D6" s="242"/>
      <c r="E6" s="242"/>
      <c r="F6" s="242"/>
      <c r="G6" s="241" t="s">
        <v>111</v>
      </c>
      <c r="H6" s="242"/>
      <c r="I6" s="242"/>
      <c r="J6" s="242"/>
      <c r="K6" s="243" t="s">
        <v>112</v>
      </c>
      <c r="M6" s="232"/>
    </row>
    <row r="7" ht="24" customHeight="1" spans="1:13">
      <c r="A7" s="244"/>
      <c r="B7" s="245"/>
      <c r="C7" s="245" t="s">
        <v>113</v>
      </c>
      <c r="D7" s="245"/>
      <c r="E7" s="245" t="s">
        <v>114</v>
      </c>
      <c r="F7" s="245"/>
      <c r="G7" s="245" t="s">
        <v>113</v>
      </c>
      <c r="H7" s="245"/>
      <c r="I7" s="245" t="s">
        <v>114</v>
      </c>
      <c r="J7" s="245"/>
      <c r="K7" s="246"/>
    </row>
    <row r="8" ht="24" customHeight="1" spans="1:13">
      <c r="A8" s="244"/>
      <c r="B8" s="245"/>
      <c r="C8" s="245" t="s">
        <v>115</v>
      </c>
      <c r="D8" s="245" t="s">
        <v>116</v>
      </c>
      <c r="E8" s="245" t="s">
        <v>115</v>
      </c>
      <c r="F8" s="245" t="s">
        <v>116</v>
      </c>
      <c r="G8" s="245" t="s">
        <v>115</v>
      </c>
      <c r="H8" s="245" t="s">
        <v>116</v>
      </c>
      <c r="I8" s="245" t="s">
        <v>115</v>
      </c>
      <c r="J8" s="245" t="s">
        <v>116</v>
      </c>
      <c r="K8" s="246"/>
    </row>
    <row r="9" spans="1:13">
      <c r="A9" s="247"/>
      <c r="B9" s="247"/>
      <c r="C9" s="248"/>
      <c r="D9" s="249"/>
      <c r="E9" s="249"/>
      <c r="F9" s="249"/>
      <c r="G9" s="250"/>
      <c r="H9" s="251"/>
      <c r="I9" s="251"/>
      <c r="J9" s="251"/>
      <c r="K9" s="252"/>
    </row>
    <row r="10" spans="1:13">
      <c r="A10" s="253" t="s">
        <v>117</v>
      </c>
      <c r="B10" s="254"/>
      <c r="C10" s="255"/>
      <c r="D10" s="256"/>
      <c r="E10" s="257"/>
      <c r="F10" s="256"/>
      <c r="G10" s="258"/>
      <c r="H10" s="256"/>
      <c r="I10" s="257"/>
      <c r="J10" s="256"/>
      <c r="K10" s="259"/>
    </row>
    <row r="11" spans="1:13">
      <c r="A11" s="253" t="s">
        <v>118</v>
      </c>
      <c r="B11" s="254"/>
      <c r="C11" s="255"/>
      <c r="D11" s="256"/>
      <c r="E11" s="257"/>
      <c r="F11" s="256"/>
      <c r="G11" s="258"/>
      <c r="H11" s="256"/>
      <c r="I11" s="257"/>
      <c r="J11" s="256"/>
      <c r="K11" s="259"/>
    </row>
    <row r="12" spans="1:13">
      <c r="A12" s="253" t="s">
        <v>119</v>
      </c>
      <c r="B12" s="260"/>
      <c r="C12" s="255"/>
      <c r="D12" s="261"/>
      <c r="E12" s="261"/>
      <c r="F12" s="261"/>
      <c r="G12" s="255"/>
      <c r="H12" s="261"/>
      <c r="I12" s="261"/>
      <c r="J12" s="261"/>
      <c r="K12" s="259"/>
    </row>
    <row r="13" spans="1:13">
      <c r="A13" s="253" t="s">
        <v>120</v>
      </c>
      <c r="B13" s="260"/>
      <c r="C13" s="255"/>
      <c r="D13" s="261"/>
      <c r="E13" s="261"/>
      <c r="F13" s="261"/>
      <c r="G13" s="255"/>
      <c r="H13" s="261"/>
      <c r="I13" s="261"/>
      <c r="J13" s="261"/>
      <c r="K13" s="259"/>
    </row>
    <row r="14" spans="1:13">
      <c r="A14" s="253" t="s">
        <v>121</v>
      </c>
      <c r="B14" s="254"/>
      <c r="C14" s="255"/>
      <c r="D14" s="261"/>
      <c r="E14" s="261"/>
      <c r="F14" s="261"/>
      <c r="G14" s="255"/>
      <c r="H14" s="261"/>
      <c r="I14" s="261"/>
      <c r="J14" s="261"/>
      <c r="K14" s="259"/>
    </row>
    <row r="15" spans="1:13">
      <c r="A15" s="253" t="s">
        <v>122</v>
      </c>
      <c r="B15" s="254"/>
      <c r="C15" s="255"/>
      <c r="D15" s="261"/>
      <c r="E15" s="261"/>
      <c r="F15" s="261"/>
      <c r="G15" s="255"/>
      <c r="H15" s="261"/>
      <c r="I15" s="261"/>
      <c r="J15" s="261"/>
      <c r="K15" s="259"/>
    </row>
    <row r="16" spans="1:13">
      <c r="A16" s="253" t="s">
        <v>123</v>
      </c>
      <c r="B16" s="254"/>
      <c r="C16" s="255"/>
      <c r="D16" s="261"/>
      <c r="E16" s="261"/>
      <c r="F16" s="261"/>
      <c r="G16" s="255"/>
      <c r="H16" s="261"/>
      <c r="I16" s="261"/>
      <c r="J16" s="261"/>
      <c r="K16" s="259"/>
    </row>
    <row r="17" spans="1:11">
      <c r="A17" s="253" t="s">
        <v>124</v>
      </c>
      <c r="B17" s="254"/>
      <c r="C17" s="255"/>
      <c r="D17" s="261"/>
      <c r="E17" s="261"/>
      <c r="F17" s="261"/>
      <c r="G17" s="255"/>
      <c r="H17" s="261"/>
      <c r="I17" s="261"/>
      <c r="J17" s="261"/>
      <c r="K17" s="259"/>
    </row>
    <row r="18" spans="1:11">
      <c r="A18" s="253" t="s">
        <v>125</v>
      </c>
      <c r="B18" s="260"/>
      <c r="C18" s="255"/>
      <c r="D18" s="261"/>
      <c r="E18" s="261"/>
      <c r="F18" s="261"/>
      <c r="G18" s="255"/>
      <c r="H18" s="261"/>
      <c r="I18" s="261"/>
      <c r="J18" s="261"/>
      <c r="K18" s="262"/>
    </row>
    <row r="19" spans="1:11">
      <c r="A19" s="263" t="s">
        <v>126</v>
      </c>
      <c r="B19" s="260"/>
      <c r="C19" s="255"/>
      <c r="D19" s="261"/>
      <c r="E19" s="261"/>
      <c r="F19" s="261"/>
      <c r="G19" s="255"/>
      <c r="H19" s="261"/>
      <c r="I19" s="261"/>
      <c r="J19" s="261"/>
      <c r="K19" s="262"/>
    </row>
    <row r="20" spans="1:11">
      <c r="A20" s="253" t="s">
        <v>127</v>
      </c>
      <c r="B20" s="254"/>
      <c r="C20" s="264"/>
      <c r="D20" s="265"/>
      <c r="E20" s="265"/>
      <c r="F20" s="265"/>
      <c r="G20" s="264"/>
      <c r="H20" s="265"/>
      <c r="I20" s="265"/>
      <c r="J20" s="265"/>
      <c r="K20" s="262"/>
    </row>
    <row r="21" spans="1:11">
      <c r="A21" s="253" t="s">
        <v>128</v>
      </c>
      <c r="B21" s="254"/>
      <c r="C21" s="255"/>
      <c r="D21" s="261"/>
      <c r="E21" s="261"/>
      <c r="F21" s="261"/>
      <c r="G21" s="255"/>
      <c r="H21" s="261"/>
      <c r="I21" s="261"/>
      <c r="J21" s="261"/>
      <c r="K21" s="262"/>
    </row>
    <row r="22" spans="1:11">
      <c r="A22" s="253" t="s">
        <v>129</v>
      </c>
      <c r="B22" s="254"/>
      <c r="C22" s="255"/>
      <c r="D22" s="261"/>
      <c r="E22" s="261"/>
      <c r="F22" s="261"/>
      <c r="G22" s="255"/>
      <c r="H22" s="261"/>
      <c r="I22" s="261"/>
      <c r="J22" s="261"/>
      <c r="K22" s="262"/>
    </row>
    <row r="23" spans="1:11">
      <c r="A23" s="253" t="s">
        <v>130</v>
      </c>
      <c r="B23" s="254"/>
      <c r="C23" s="255"/>
      <c r="D23" s="261"/>
      <c r="E23" s="261"/>
      <c r="F23" s="261"/>
      <c r="G23" s="255"/>
      <c r="H23" s="261"/>
      <c r="I23" s="261"/>
      <c r="J23" s="261"/>
      <c r="K23" s="262"/>
    </row>
    <row r="24" spans="1:11">
      <c r="A24" s="247"/>
      <c r="B24" s="247"/>
      <c r="C24" s="266"/>
      <c r="D24" s="267"/>
      <c r="E24" s="267"/>
      <c r="F24" s="267"/>
      <c r="G24" s="268"/>
      <c r="H24" s="249"/>
      <c r="I24" s="249"/>
      <c r="J24" s="249"/>
      <c r="K24" s="269"/>
    </row>
    <row r="25" ht="15.75" spans="1:11">
      <c r="A25" s="270"/>
      <c r="B25" s="270"/>
      <c r="C25" s="271"/>
      <c r="D25" s="272"/>
      <c r="E25" s="272"/>
      <c r="F25" s="272"/>
      <c r="G25" s="273"/>
      <c r="H25" s="272"/>
      <c r="I25" s="272"/>
      <c r="J25" s="272"/>
      <c r="K25" s="274"/>
    </row>
    <row r="27" spans="1:11">
      <c r="A27" s="275" t="s">
        <v>131</v>
      </c>
      <c r="K27" s="276"/>
    </row>
    <row r="30" spans="1:11">
      <c r="C30" s="277"/>
      <c r="E30" s="277"/>
      <c r="F30" s="277"/>
    </row>
  </sheetData>
  <mergeCells count="10">
    <mergeCell ref="A5:F5"/>
    <mergeCell ref="C6:F6"/>
    <mergeCell ref="G6:J6"/>
    <mergeCell ref="C7:D7"/>
    <mergeCell ref="E7:F7"/>
    <mergeCell ref="G7:H7"/>
    <mergeCell ref="I7:J7"/>
    <mergeCell ref="A6:A8"/>
    <mergeCell ref="B6:B8"/>
    <mergeCell ref="K6:K8"/>
  </mergeCells>
  <pageMargins left="0.551181102362205" right="0.551181102362205" top="0.590551181102362" bottom="0.590551181102362" header="0.354330708661417"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C11" sqref="C11"/>
    </sheetView>
  </sheetViews>
  <sheetFormatPr defaultColWidth="9" defaultRowHeight="14.25" outlineLevelCol="3"/>
  <cols>
    <col min="1" max="1" width="24.8333333333333" customWidth="1"/>
  </cols>
  <sheetData>
    <row r="1" spans="1:4">
      <c r="A1" t="s">
        <v>132</v>
      </c>
      <c r="B1" t="s">
        <v>133</v>
      </c>
      <c r="C1" t="s">
        <v>134</v>
      </c>
      <c r="D1" t="s">
        <v>135</v>
      </c>
    </row>
    <row r="2" spans="1:4">
      <c r="B2" t="s">
        <v>85</v>
      </c>
      <c r="C2" t="s">
        <v>86</v>
      </c>
      <c r="D2" t="s">
        <v>136</v>
      </c>
    </row>
    <row r="3" spans="1:4">
      <c r="A3" t="s">
        <v>137</v>
      </c>
      <c r="B3">
        <v>123</v>
      </c>
      <c r="C3">
        <v>456</v>
      </c>
      <c r="D3">
        <f>SUM(B3:C3)</f>
        <v>579</v>
      </c>
    </row>
    <row r="4" spans="1:4">
      <c r="A4" t="s">
        <v>138</v>
      </c>
    </row>
    <row r="5" spans="1:4">
      <c r="A5" t="s">
        <v>139</v>
      </c>
    </row>
    <row r="6" spans="1:4">
      <c r="A6" t="s">
        <v>140</v>
      </c>
    </row>
    <row r="7" spans="1:4">
      <c r="A7" t="s">
        <v>141</v>
      </c>
    </row>
    <row r="8" spans="1:4">
      <c r="A8" t="s">
        <v>142</v>
      </c>
    </row>
    <row r="9" spans="1:4">
      <c r="A9" t="s">
        <v>143</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sheetPr>
  <dimension ref="A1:J52"/>
  <sheetViews>
    <sheetView zoomScaleSheetLayoutView="80" workbookViewId="0">
      <pane xSplit="4" ySplit="7" topLeftCell="E8" activePane="bottomRight" state="frozen"/>
      <selection/>
      <selection pane="topRight"/>
      <selection pane="bottomLeft"/>
      <selection pane="bottomRight" activeCell="C29" sqref="C29"/>
    </sheetView>
  </sheetViews>
  <sheetFormatPr defaultColWidth="7" defaultRowHeight="12"/>
  <cols>
    <col min="1" max="1" width="13" style="185" customWidth="1"/>
    <col min="2" max="2" width="6.25" style="185" customWidth="1"/>
    <col min="3" max="3" width="35.0833333333333" style="186" customWidth="1"/>
    <col min="4" max="4" width="20.25" style="186" customWidth="1"/>
    <col min="5" max="7" width="19" style="186" customWidth="1"/>
    <col min="8" max="10" width="23.75" style="186" customWidth="1"/>
    <col min="11" max="16384" width="7" style="186"/>
  </cols>
  <sheetData>
    <row r="1" s="180" customFormat="1" ht="14.25" spans="1:10">
      <c r="A1" s="123" t="str">
        <f>'1 组织结构及管理架构'!A1</f>
        <v>斯必克（上海）流体技术有限公司</v>
      </c>
      <c r="B1" s="123"/>
      <c r="C1" s="187"/>
    </row>
    <row r="2" s="180" customFormat="1" ht="14.25" spans="1:10">
      <c r="A2" s="188"/>
      <c r="B2" s="188"/>
      <c r="C2" s="187"/>
    </row>
    <row r="3" s="180" customFormat="1" ht="14.25" spans="1:10">
      <c r="A3" s="189" t="s">
        <v>144</v>
      </c>
      <c r="B3" s="189"/>
    </row>
    <row r="4" s="181" customFormat="1" ht="15.75" spans="1:10">
      <c r="A4" s="190" t="s">
        <v>145</v>
      </c>
      <c r="B4" s="190"/>
      <c r="C4" s="190"/>
      <c r="D4" s="190"/>
      <c r="E4" s="190"/>
      <c r="F4" s="190"/>
      <c r="G4" s="190"/>
      <c r="H4" s="190"/>
      <c r="I4" s="190"/>
      <c r="J4" s="190"/>
    </row>
    <row r="5" s="182" customFormat="1" ht="27" customHeight="1" spans="1:10">
      <c r="A5" s="191" t="s">
        <v>146</v>
      </c>
      <c r="B5" s="191" t="s">
        <v>147</v>
      </c>
      <c r="C5" s="191" t="s">
        <v>148</v>
      </c>
      <c r="D5" s="191" t="s">
        <v>149</v>
      </c>
      <c r="E5" s="191" t="s">
        <v>150</v>
      </c>
      <c r="F5" s="191"/>
      <c r="G5" s="191"/>
      <c r="H5" s="191" t="s">
        <v>151</v>
      </c>
      <c r="I5" s="191" t="s">
        <v>152</v>
      </c>
      <c r="J5" s="191" t="s">
        <v>153</v>
      </c>
    </row>
    <row r="6" s="183" customFormat="1" ht="28.5" customHeight="1" spans="1:10">
      <c r="A6" s="192"/>
      <c r="B6" s="192"/>
      <c r="C6" s="193"/>
      <c r="D6" s="193"/>
      <c r="E6" s="191" t="s">
        <v>154</v>
      </c>
      <c r="F6" s="191" t="s">
        <v>155</v>
      </c>
      <c r="G6" s="191" t="s">
        <v>156</v>
      </c>
      <c r="H6" s="193"/>
      <c r="I6" s="194"/>
      <c r="J6" s="193"/>
    </row>
    <row r="7" s="183" customFormat="1" ht="27.75" customHeight="1" spans="1:10">
      <c r="A7" s="195" t="s">
        <v>157</v>
      </c>
      <c r="B7" s="196"/>
      <c r="C7" s="195"/>
      <c r="D7" s="195"/>
      <c r="E7" s="195"/>
      <c r="F7" s="195"/>
      <c r="G7" s="195"/>
      <c r="H7" s="195"/>
      <c r="I7" s="197"/>
      <c r="J7" s="195"/>
    </row>
    <row r="8" s="182" customFormat="1" ht="12.75" spans="1:10">
      <c r="A8" s="38" t="s">
        <v>158</v>
      </c>
      <c r="B8" s="39">
        <v>1</v>
      </c>
      <c r="C8" s="45" t="s">
        <v>159</v>
      </c>
      <c r="D8" s="198" t="s">
        <v>160</v>
      </c>
      <c r="E8" s="199">
        <v>100</v>
      </c>
      <c r="F8" s="145"/>
      <c r="G8" s="145"/>
      <c r="H8" s="47"/>
      <c r="I8" s="200"/>
      <c r="J8" s="47"/>
    </row>
    <row r="9" s="182" customFormat="1" ht="12.75" spans="1:10">
      <c r="A9" s="43"/>
      <c r="B9" s="39">
        <v>2</v>
      </c>
      <c r="C9" s="45"/>
      <c r="D9" s="198"/>
      <c r="E9" s="201"/>
      <c r="F9" s="145"/>
      <c r="G9" s="145"/>
      <c r="H9" s="47"/>
      <c r="I9" s="200"/>
      <c r="J9" s="47"/>
    </row>
    <row r="10" s="182" customFormat="1" ht="12.75" spans="1:10">
      <c r="A10" s="43"/>
      <c r="B10" s="39">
        <v>3</v>
      </c>
      <c r="C10" s="45"/>
      <c r="D10" s="198"/>
      <c r="E10" s="201"/>
      <c r="F10" s="145"/>
      <c r="G10" s="145"/>
      <c r="H10" s="47"/>
      <c r="I10" s="200"/>
      <c r="J10" s="47"/>
    </row>
    <row r="11" s="182" customFormat="1" ht="12.75" spans="1:10">
      <c r="A11" s="43"/>
      <c r="B11" s="39">
        <v>4</v>
      </c>
      <c r="C11" s="45"/>
      <c r="D11" s="198"/>
      <c r="E11" s="201"/>
      <c r="F11" s="145"/>
      <c r="G11" s="145"/>
      <c r="H11" s="47"/>
      <c r="I11" s="200"/>
      <c r="J11" s="47"/>
    </row>
    <row r="12" s="182" customFormat="1" ht="12.75" spans="1:10">
      <c r="A12" s="43"/>
      <c r="B12" s="39">
        <v>5</v>
      </c>
      <c r="C12" s="45"/>
      <c r="D12" s="198"/>
      <c r="E12" s="201"/>
      <c r="F12" s="145"/>
      <c r="G12" s="145"/>
      <c r="H12" s="47"/>
      <c r="I12" s="200"/>
      <c r="J12" s="47"/>
    </row>
    <row r="13" s="182" customFormat="1" ht="12.75" spans="1:10">
      <c r="A13" s="43"/>
      <c r="B13" s="47" t="s">
        <v>161</v>
      </c>
      <c r="C13" s="45"/>
      <c r="D13" s="198"/>
      <c r="E13" s="201"/>
      <c r="F13" s="145"/>
      <c r="G13" s="145"/>
      <c r="H13" s="47"/>
      <c r="I13" s="200"/>
      <c r="J13" s="47"/>
    </row>
    <row r="14" s="184" customFormat="1" ht="12.75" spans="1:10">
      <c r="A14" s="48"/>
      <c r="B14" s="49" t="s">
        <v>162</v>
      </c>
      <c r="C14" s="50"/>
      <c r="D14" s="202"/>
      <c r="E14" s="203">
        <f>SUM(E8:E13)</f>
        <v>100</v>
      </c>
      <c r="F14" s="149">
        <f t="shared" ref="F14" si="0">IFERROR(E14/E$39,0)</f>
        <v>1</v>
      </c>
      <c r="G14" s="149">
        <f>IFERROR(E14/E$22,0)</f>
        <v>1</v>
      </c>
      <c r="H14" s="49"/>
      <c r="I14" s="204"/>
      <c r="J14" s="49"/>
    </row>
    <row r="15" s="182" customFormat="1" ht="12.75" spans="1:10">
      <c r="A15" s="38" t="s">
        <v>163</v>
      </c>
      <c r="B15" s="39">
        <v>1</v>
      </c>
      <c r="C15" s="45"/>
      <c r="D15" s="198"/>
      <c r="E15" s="201"/>
      <c r="F15" s="145"/>
      <c r="G15" s="145"/>
      <c r="H15" s="47"/>
      <c r="I15" s="200"/>
      <c r="J15" s="47"/>
    </row>
    <row r="16" s="182" customFormat="1" ht="12.75" spans="1:10">
      <c r="A16" s="43"/>
      <c r="B16" s="39">
        <v>2</v>
      </c>
      <c r="C16" s="45"/>
      <c r="D16" s="198"/>
      <c r="E16" s="201"/>
      <c r="F16" s="205"/>
      <c r="G16" s="145"/>
      <c r="H16" s="47"/>
      <c r="I16" s="200"/>
      <c r="J16" s="47"/>
    </row>
    <row r="17" s="182" customFormat="1" ht="12.75" spans="1:10">
      <c r="A17" s="43"/>
      <c r="B17" s="39">
        <v>3</v>
      </c>
      <c r="C17" s="45"/>
      <c r="D17" s="198"/>
      <c r="E17" s="201"/>
      <c r="F17" s="205"/>
      <c r="G17" s="145"/>
      <c r="H17" s="47"/>
      <c r="I17" s="200"/>
      <c r="J17" s="47"/>
    </row>
    <row r="18" s="182" customFormat="1" ht="12.75" spans="1:10">
      <c r="A18" s="43"/>
      <c r="B18" s="39">
        <v>4</v>
      </c>
      <c r="C18" s="45"/>
      <c r="D18" s="198"/>
      <c r="E18" s="201"/>
      <c r="F18" s="205"/>
      <c r="G18" s="145"/>
      <c r="H18" s="47"/>
      <c r="I18" s="200"/>
      <c r="J18" s="47"/>
    </row>
    <row r="19" s="182" customFormat="1" ht="12.75" spans="1:10">
      <c r="A19" s="43"/>
      <c r="B19" s="39">
        <v>5</v>
      </c>
      <c r="C19" s="45"/>
      <c r="D19" s="198"/>
      <c r="E19" s="201"/>
      <c r="F19" s="205"/>
      <c r="G19" s="145"/>
      <c r="H19" s="47"/>
      <c r="I19" s="200"/>
      <c r="J19" s="47"/>
    </row>
    <row r="20" s="182" customFormat="1" ht="12.75" spans="1:10">
      <c r="A20" s="43"/>
      <c r="B20" s="47" t="s">
        <v>161</v>
      </c>
      <c r="C20" s="45"/>
      <c r="D20" s="198"/>
      <c r="E20" s="201"/>
      <c r="F20" s="205"/>
      <c r="G20" s="145"/>
      <c r="H20" s="47"/>
      <c r="I20" s="200"/>
      <c r="J20" s="47"/>
    </row>
    <row r="21" s="184" customFormat="1" ht="12.75" spans="1:10">
      <c r="A21" s="48"/>
      <c r="B21" s="53" t="s">
        <v>164</v>
      </c>
      <c r="C21" s="54"/>
      <c r="D21" s="206"/>
      <c r="E21" s="203">
        <f>SUM(E15:E20)</f>
        <v>0</v>
      </c>
      <c r="F21" s="149">
        <f t="shared" ref="F21:F22" si="1">IFERROR(E21/E$39,0)</f>
        <v>0</v>
      </c>
      <c r="G21" s="149">
        <f>IFERROR(E21/E$22,0)</f>
        <v>0</v>
      </c>
      <c r="H21" s="53"/>
      <c r="I21" s="207"/>
      <c r="J21" s="53"/>
    </row>
    <row r="22" s="182" customFormat="1" ht="13.5" spans="1:10">
      <c r="A22" s="152" t="s">
        <v>165</v>
      </c>
      <c r="B22" s="153"/>
      <c r="C22" s="154"/>
      <c r="D22" s="208"/>
      <c r="E22" s="209">
        <f>SUM(E14,E21)</f>
        <v>100</v>
      </c>
      <c r="F22" s="156">
        <f t="shared" si="1"/>
        <v>1</v>
      </c>
      <c r="G22" s="156">
        <f>IFERROR(E22/E$22,0)</f>
        <v>1</v>
      </c>
      <c r="H22" s="154"/>
      <c r="I22" s="210"/>
      <c r="J22" s="154"/>
    </row>
    <row r="23" s="182" customFormat="1" ht="26.25" customHeight="1" spans="1:10">
      <c r="A23" s="195" t="s">
        <v>166</v>
      </c>
      <c r="B23" s="196"/>
      <c r="C23" s="195"/>
      <c r="D23" s="195"/>
      <c r="E23" s="195"/>
      <c r="F23" s="195"/>
      <c r="G23" s="195"/>
      <c r="H23" s="195"/>
      <c r="I23" s="197"/>
      <c r="J23" s="195"/>
    </row>
    <row r="24" s="182" customFormat="1" ht="12.75" spans="1:10">
      <c r="A24" s="38" t="s">
        <v>167</v>
      </c>
      <c r="B24" s="39">
        <v>1</v>
      </c>
      <c r="C24" s="45"/>
      <c r="D24" s="198"/>
      <c r="E24" s="211"/>
      <c r="F24" s="145"/>
      <c r="G24" s="212"/>
      <c r="H24" s="47"/>
      <c r="I24" s="200"/>
      <c r="J24" s="47"/>
    </row>
    <row r="25" s="182" customFormat="1" ht="12.75" spans="1:10">
      <c r="A25" s="43"/>
      <c r="B25" s="39">
        <v>2</v>
      </c>
      <c r="C25" s="45"/>
      <c r="D25" s="198"/>
      <c r="E25" s="211"/>
      <c r="F25" s="145"/>
      <c r="G25" s="212"/>
      <c r="H25" s="47"/>
      <c r="I25" s="200"/>
      <c r="J25" s="47"/>
    </row>
    <row r="26" s="182" customFormat="1" ht="12.75" spans="1:10">
      <c r="A26" s="43"/>
      <c r="B26" s="39">
        <v>3</v>
      </c>
      <c r="C26" s="45"/>
      <c r="D26" s="198"/>
      <c r="E26" s="211"/>
      <c r="F26" s="145"/>
      <c r="G26" s="212"/>
      <c r="H26" s="47"/>
      <c r="I26" s="200"/>
      <c r="J26" s="47"/>
    </row>
    <row r="27" s="182" customFormat="1" ht="12.75" spans="1:10">
      <c r="A27" s="43"/>
      <c r="B27" s="39">
        <v>4</v>
      </c>
      <c r="C27" s="45"/>
      <c r="D27" s="198"/>
      <c r="E27" s="211"/>
      <c r="F27" s="145"/>
      <c r="G27" s="212"/>
      <c r="H27" s="47"/>
      <c r="I27" s="200"/>
      <c r="J27" s="47"/>
    </row>
    <row r="28" s="182" customFormat="1" ht="12.75" spans="1:10">
      <c r="A28" s="43"/>
      <c r="B28" s="39">
        <v>5</v>
      </c>
      <c r="C28" s="45"/>
      <c r="D28" s="198"/>
      <c r="E28" s="211"/>
      <c r="F28" s="145"/>
      <c r="G28" s="212"/>
      <c r="H28" s="47"/>
      <c r="I28" s="200"/>
      <c r="J28" s="47"/>
    </row>
    <row r="29" s="182" customFormat="1" ht="12.75" spans="1:10">
      <c r="A29" s="43"/>
      <c r="B29" s="47" t="s">
        <v>161</v>
      </c>
      <c r="C29" s="45"/>
      <c r="D29" s="198"/>
      <c r="E29" s="211"/>
      <c r="F29" s="145"/>
      <c r="G29" s="212"/>
      <c r="H29" s="47"/>
      <c r="I29" s="200"/>
      <c r="J29" s="47"/>
    </row>
    <row r="30" s="184" customFormat="1" ht="12.75" spans="1:10">
      <c r="A30" s="48"/>
      <c r="B30" s="53" t="s">
        <v>168</v>
      </c>
      <c r="C30" s="54"/>
      <c r="D30" s="206"/>
      <c r="E30" s="203">
        <f>SUM(E24:E29)</f>
        <v>0</v>
      </c>
      <c r="F30" s="161">
        <f t="shared" ref="F30:F39" si="2">IFERROR(E30/E$39,0)</f>
        <v>0</v>
      </c>
      <c r="G30" s="213"/>
      <c r="H30" s="53"/>
      <c r="I30" s="207"/>
      <c r="J30" s="53"/>
    </row>
    <row r="31" s="182" customFormat="1" ht="12.75" spans="1:10">
      <c r="A31" s="38" t="s">
        <v>169</v>
      </c>
      <c r="B31" s="39">
        <v>1</v>
      </c>
      <c r="C31" s="45"/>
      <c r="D31" s="198"/>
      <c r="E31" s="211"/>
      <c r="F31" s="145"/>
      <c r="G31" s="212"/>
      <c r="H31" s="47"/>
      <c r="I31" s="200"/>
      <c r="J31" s="47"/>
    </row>
    <row r="32" s="182" customFormat="1" ht="12.75" spans="1:10">
      <c r="A32" s="43"/>
      <c r="B32" s="39">
        <v>2</v>
      </c>
      <c r="C32" s="45"/>
      <c r="D32" s="198"/>
      <c r="E32" s="211"/>
      <c r="F32" s="145"/>
      <c r="G32" s="212"/>
      <c r="H32" s="47"/>
      <c r="I32" s="200"/>
      <c r="J32" s="47"/>
    </row>
    <row r="33" s="182" customFormat="1" ht="12.75" spans="1:10">
      <c r="A33" s="43"/>
      <c r="B33" s="39">
        <v>3</v>
      </c>
      <c r="C33" s="45"/>
      <c r="D33" s="198"/>
      <c r="E33" s="211"/>
      <c r="F33" s="145"/>
      <c r="G33" s="212"/>
      <c r="H33" s="47"/>
      <c r="I33" s="200"/>
      <c r="J33" s="47"/>
    </row>
    <row r="34" s="182" customFormat="1" ht="12.75" spans="1:10">
      <c r="A34" s="43"/>
      <c r="B34" s="39">
        <v>4</v>
      </c>
      <c r="C34" s="45"/>
      <c r="D34" s="198"/>
      <c r="E34" s="211"/>
      <c r="F34" s="145"/>
      <c r="G34" s="212"/>
      <c r="H34" s="47"/>
      <c r="I34" s="200"/>
      <c r="J34" s="47"/>
    </row>
    <row r="35" s="182" customFormat="1" ht="12.75" spans="1:10">
      <c r="A35" s="43"/>
      <c r="B35" s="39">
        <v>5</v>
      </c>
      <c r="C35" s="45"/>
      <c r="D35" s="198"/>
      <c r="E35" s="211"/>
      <c r="F35" s="145"/>
      <c r="G35" s="212"/>
      <c r="H35" s="47"/>
      <c r="I35" s="200"/>
      <c r="J35" s="47"/>
    </row>
    <row r="36" s="182" customFormat="1" ht="12.75" spans="1:10">
      <c r="A36" s="43"/>
      <c r="B36" s="47" t="s">
        <v>161</v>
      </c>
      <c r="C36" s="45"/>
      <c r="D36" s="198"/>
      <c r="E36" s="211"/>
      <c r="F36" s="145"/>
      <c r="G36" s="212"/>
      <c r="H36" s="47"/>
      <c r="I36" s="200"/>
      <c r="J36" s="47"/>
    </row>
    <row r="37" s="184" customFormat="1" customHeight="1" spans="1:10">
      <c r="A37" s="48"/>
      <c r="B37" s="53" t="s">
        <v>170</v>
      </c>
      <c r="C37" s="54"/>
      <c r="D37" s="206"/>
      <c r="E37" s="52">
        <f>SUM(E31:E36)</f>
        <v>0</v>
      </c>
      <c r="F37" s="161">
        <f t="shared" si="2"/>
        <v>0</v>
      </c>
      <c r="G37" s="213"/>
      <c r="H37" s="53"/>
      <c r="I37" s="207"/>
      <c r="J37" s="53"/>
    </row>
    <row r="38" s="182" customFormat="1" ht="13.5" spans="1:10">
      <c r="A38" s="152" t="s">
        <v>171</v>
      </c>
      <c r="B38" s="153"/>
      <c r="C38" s="214"/>
      <c r="D38" s="208"/>
      <c r="E38" s="209">
        <f>SUM(E30,E37)</f>
        <v>0</v>
      </c>
      <c r="F38" s="156">
        <f t="shared" si="2"/>
        <v>0</v>
      </c>
      <c r="G38" s="215"/>
      <c r="H38" s="154"/>
      <c r="I38" s="210"/>
      <c r="J38" s="154"/>
    </row>
    <row r="39" s="182" customFormat="1" ht="13.5" spans="1:10">
      <c r="A39" s="216" t="s">
        <v>172</v>
      </c>
      <c r="B39" s="217"/>
      <c r="C39" s="218"/>
      <c r="D39" s="219"/>
      <c r="E39" s="220">
        <f>SUM(E22,E38)</f>
        <v>100</v>
      </c>
      <c r="F39" s="221">
        <f t="shared" si="2"/>
        <v>1</v>
      </c>
      <c r="G39" s="222"/>
      <c r="H39" s="223"/>
      <c r="I39" s="224"/>
      <c r="J39" s="223"/>
    </row>
    <row r="40" spans="1:10">
      <c r="D40" s="225"/>
    </row>
    <row r="41" spans="1:10">
      <c r="D41" s="225"/>
    </row>
    <row r="42" spans="1:10">
      <c r="A42" s="226"/>
      <c r="D42" s="225"/>
      <c r="E42" s="227"/>
    </row>
    <row r="43" spans="1:10">
      <c r="A43" s="228"/>
      <c r="D43" s="225"/>
    </row>
    <row r="44" spans="1:10">
      <c r="D44" s="225"/>
    </row>
    <row r="45" spans="1:10">
      <c r="D45" s="225"/>
    </row>
    <row r="46" spans="1:10">
      <c r="D46" s="225"/>
    </row>
    <row r="47" spans="1:10">
      <c r="D47" s="225"/>
    </row>
    <row r="48" spans="1:10">
      <c r="D48" s="225"/>
    </row>
    <row r="49" spans="4:4">
      <c r="D49" s="225"/>
    </row>
    <row r="50" spans="4:4">
      <c r="D50" s="225"/>
    </row>
    <row r="51" spans="4:4">
      <c r="D51" s="225"/>
    </row>
    <row r="52" spans="4:4">
      <c r="D52" s="225"/>
    </row>
  </sheetData>
  <mergeCells count="15">
    <mergeCell ref="A4:J4"/>
    <mergeCell ref="E5:F5"/>
    <mergeCell ref="A7:J7"/>
    <mergeCell ref="A23:J23"/>
    <mergeCell ref="A5:A6"/>
    <mergeCell ref="A8:A14"/>
    <mergeCell ref="A15:A21"/>
    <mergeCell ref="A24:A30"/>
    <mergeCell ref="A31:A37"/>
    <mergeCell ref="B5:B6"/>
    <mergeCell ref="C5:C6"/>
    <mergeCell ref="D5:D6"/>
    <mergeCell ref="H5:H6"/>
    <mergeCell ref="I5:I6"/>
    <mergeCell ref="J5:J6"/>
  </mergeCells>
  <pageMargins left="0.551181102362205" right="0.551181102362205" top="0.590551181102362" bottom="0.590551181102362" header="0.354330708661417"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L59"/>
  <sheetViews>
    <sheetView zoomScale="80" zoomScaleNormal="80" zoomScaleSheetLayoutView="80" workbookViewId="0">
      <pane xSplit="4" ySplit="8" topLeftCell="E9" activePane="bottomRight" state="frozen"/>
      <selection/>
      <selection pane="topRight"/>
      <selection pane="bottomLeft"/>
      <selection pane="bottomRight" activeCell="I12" sqref="I12"/>
    </sheetView>
  </sheetViews>
  <sheetFormatPr defaultColWidth="7" defaultRowHeight="12.75"/>
  <cols>
    <col min="1" max="1" width="14.75" style="120" customWidth="1"/>
    <col min="2" max="2" width="6.25" style="120" customWidth="1"/>
    <col min="3" max="3" width="33" style="121" customWidth="1"/>
    <col min="4" max="4" width="20.75" style="121" customWidth="1"/>
    <col min="5" max="5" width="19" style="122" customWidth="1"/>
    <col min="6" max="7" width="19" style="121" customWidth="1"/>
    <col min="8" max="10" width="23.75" style="121" customWidth="1"/>
    <col min="11" max="11" width="7" style="121"/>
    <col min="12" max="12" width="13.8333333333333" style="121"/>
    <col min="13" max="16384" width="7" style="121"/>
  </cols>
  <sheetData>
    <row r="1" s="117" customFormat="1" ht="15.75" spans="1:12">
      <c r="A1" s="123" t="str">
        <f>'1 组织结构及管理架构'!A1</f>
        <v>斯必克（上海）流体技术有限公司</v>
      </c>
      <c r="B1" s="124"/>
      <c r="C1" s="125"/>
      <c r="E1" s="126"/>
    </row>
    <row r="2" s="117" customFormat="1" ht="15.75" spans="1:12">
      <c r="A2" s="127"/>
      <c r="B2" s="127"/>
      <c r="C2" s="125"/>
      <c r="E2" s="126"/>
    </row>
    <row r="3" s="117" customFormat="1" ht="15.75" spans="1:12">
      <c r="A3" s="128" t="s">
        <v>173</v>
      </c>
      <c r="B3" s="128"/>
      <c r="E3" s="126"/>
    </row>
    <row r="4" s="118" customFormat="1" ht="15.75" spans="1:12">
      <c r="A4" s="128"/>
      <c r="B4" s="128"/>
      <c r="C4" s="117"/>
      <c r="D4" s="117"/>
      <c r="E4" s="126"/>
      <c r="F4" s="117"/>
      <c r="G4" s="117"/>
      <c r="H4" s="117"/>
      <c r="I4" s="117"/>
      <c r="J4" s="117"/>
    </row>
    <row r="5" s="118" customFormat="1" ht="15.75" spans="1:12">
      <c r="A5" s="129" t="s">
        <v>174</v>
      </c>
      <c r="B5" s="129"/>
      <c r="C5" s="129"/>
      <c r="D5" s="129"/>
      <c r="E5" s="129"/>
      <c r="F5" s="129"/>
      <c r="G5" s="129"/>
      <c r="H5" s="129"/>
      <c r="I5" s="129"/>
      <c r="J5" s="129"/>
    </row>
    <row r="6" ht="23.25" customHeight="1" spans="1:12">
      <c r="A6" s="130" t="s">
        <v>146</v>
      </c>
      <c r="B6" s="131" t="s">
        <v>147</v>
      </c>
      <c r="C6" s="132" t="s">
        <v>175</v>
      </c>
      <c r="D6" s="132" t="s">
        <v>176</v>
      </c>
      <c r="E6" s="132" t="s">
        <v>150</v>
      </c>
      <c r="F6" s="132"/>
      <c r="G6" s="132"/>
      <c r="H6" s="132" t="s">
        <v>151</v>
      </c>
      <c r="I6" s="133" t="s">
        <v>152</v>
      </c>
      <c r="J6" s="132" t="s">
        <v>153</v>
      </c>
    </row>
    <row r="7" s="119" customFormat="1" ht="30" customHeight="1" spans="1:12">
      <c r="A7" s="134"/>
      <c r="B7" s="135"/>
      <c r="C7" s="136"/>
      <c r="D7" s="136"/>
      <c r="E7" s="137" t="s">
        <v>177</v>
      </c>
      <c r="F7" s="132" t="s">
        <v>178</v>
      </c>
      <c r="G7" s="132" t="s">
        <v>179</v>
      </c>
      <c r="H7" s="136"/>
      <c r="I7" s="138"/>
      <c r="J7" s="136"/>
    </row>
    <row r="8" s="119" customFormat="1" ht="27.75" customHeight="1" spans="1:12">
      <c r="A8" s="139" t="s">
        <v>180</v>
      </c>
      <c r="B8" s="140"/>
      <c r="C8" s="139"/>
      <c r="D8" s="139"/>
      <c r="E8" s="139"/>
      <c r="F8" s="139"/>
      <c r="G8" s="139"/>
      <c r="H8" s="139"/>
      <c r="I8" s="141"/>
      <c r="J8" s="139"/>
    </row>
    <row r="9" spans="1:12">
      <c r="A9" s="38" t="s">
        <v>181</v>
      </c>
      <c r="B9" s="39">
        <v>1</v>
      </c>
      <c r="C9" s="142" t="s">
        <v>65</v>
      </c>
      <c r="D9" s="143" t="s">
        <v>182</v>
      </c>
      <c r="E9" s="144">
        <v>6000</v>
      </c>
      <c r="F9" s="145"/>
      <c r="G9" s="145"/>
      <c r="H9" s="146"/>
      <c r="I9" s="147"/>
      <c r="J9" s="146"/>
    </row>
    <row r="10" spans="1:12">
      <c r="A10" s="43"/>
      <c r="B10" s="39">
        <v>2</v>
      </c>
      <c r="C10" s="45"/>
      <c r="D10" s="41"/>
      <c r="E10" s="44"/>
      <c r="F10" s="145"/>
      <c r="G10" s="145"/>
      <c r="H10" s="146"/>
      <c r="I10" s="147"/>
      <c r="J10" s="146"/>
      <c r="L10" s="148"/>
    </row>
    <row r="11" spans="1:12">
      <c r="A11" s="43"/>
      <c r="B11" s="39">
        <v>3</v>
      </c>
      <c r="C11" s="40"/>
      <c r="D11" s="41"/>
      <c r="E11" s="44"/>
      <c r="F11" s="145"/>
      <c r="G11" s="145"/>
      <c r="H11" s="146"/>
      <c r="I11" s="147"/>
      <c r="J11" s="146"/>
    </row>
    <row r="12" spans="1:12">
      <c r="A12" s="43"/>
      <c r="B12" s="39">
        <v>4</v>
      </c>
      <c r="C12" s="45"/>
      <c r="D12" s="46"/>
      <c r="E12" s="44"/>
      <c r="F12" s="145"/>
      <c r="G12" s="145"/>
      <c r="H12" s="146"/>
      <c r="I12" s="147"/>
      <c r="J12" s="146"/>
    </row>
    <row r="13" spans="1:12">
      <c r="A13" s="43"/>
      <c r="B13" s="39">
        <v>5</v>
      </c>
      <c r="C13" s="45"/>
      <c r="D13" s="46"/>
      <c r="E13" s="44"/>
      <c r="F13" s="145"/>
      <c r="G13" s="145"/>
      <c r="H13" s="146"/>
      <c r="I13" s="147"/>
      <c r="J13" s="146"/>
    </row>
    <row r="14" spans="1:12">
      <c r="A14" s="43"/>
      <c r="B14" s="47" t="s">
        <v>161</v>
      </c>
      <c r="C14" s="45"/>
      <c r="D14" s="46"/>
      <c r="E14" s="44"/>
      <c r="F14" s="145"/>
      <c r="G14" s="145"/>
      <c r="H14" s="146"/>
      <c r="I14" s="147"/>
      <c r="J14" s="146"/>
    </row>
    <row r="15" spans="1:12">
      <c r="A15" s="48"/>
      <c r="B15" s="49" t="s">
        <v>183</v>
      </c>
      <c r="C15" s="50"/>
      <c r="D15" s="51"/>
      <c r="E15" s="52">
        <f>SUBTOTAL(9,E9:E14)</f>
        <v>6000</v>
      </c>
      <c r="F15" s="149">
        <f t="shared" ref="F15:F40" si="0">IFERROR(E15/E$40,0)</f>
        <v>1</v>
      </c>
      <c r="G15" s="149">
        <f t="shared" ref="G15:G23" si="1">IFERROR(E15/E$23,0)</f>
        <v>1</v>
      </c>
      <c r="H15" s="150"/>
      <c r="I15" s="151"/>
      <c r="J15" s="150"/>
    </row>
    <row r="16" spans="1:12">
      <c r="A16" s="38" t="s">
        <v>184</v>
      </c>
      <c r="B16" s="39">
        <v>1</v>
      </c>
      <c r="C16" s="45"/>
      <c r="D16" s="41"/>
      <c r="E16" s="44"/>
      <c r="F16" s="145"/>
      <c r="G16" s="145"/>
      <c r="H16" s="146"/>
      <c r="I16" s="147"/>
      <c r="J16" s="146"/>
    </row>
    <row r="17" spans="1:10">
      <c r="A17" s="43"/>
      <c r="B17" s="39">
        <v>2</v>
      </c>
      <c r="C17" s="142"/>
      <c r="D17" s="143"/>
      <c r="E17" s="144"/>
      <c r="F17" s="145"/>
      <c r="G17" s="145"/>
      <c r="H17" s="146"/>
      <c r="I17" s="147"/>
      <c r="J17" s="146"/>
    </row>
    <row r="18" spans="1:10">
      <c r="A18" s="43"/>
      <c r="B18" s="39">
        <v>3</v>
      </c>
      <c r="C18" s="45"/>
      <c r="D18" s="46"/>
      <c r="E18" s="44"/>
      <c r="F18" s="145"/>
      <c r="G18" s="145"/>
      <c r="H18" s="146"/>
      <c r="I18" s="147"/>
      <c r="J18" s="146"/>
    </row>
    <row r="19" spans="1:10">
      <c r="A19" s="43"/>
      <c r="B19" s="39">
        <v>4</v>
      </c>
      <c r="C19" s="45"/>
      <c r="D19" s="46"/>
      <c r="E19" s="44"/>
      <c r="F19" s="145"/>
      <c r="G19" s="145"/>
      <c r="H19" s="146"/>
      <c r="I19" s="147"/>
      <c r="J19" s="146"/>
    </row>
    <row r="20" spans="1:10">
      <c r="A20" s="43"/>
      <c r="B20" s="39">
        <v>5</v>
      </c>
      <c r="C20" s="45"/>
      <c r="D20" s="46"/>
      <c r="E20" s="44"/>
      <c r="F20" s="145"/>
      <c r="G20" s="145"/>
      <c r="H20" s="146"/>
      <c r="I20" s="147"/>
      <c r="J20" s="146"/>
    </row>
    <row r="21" spans="1:10">
      <c r="A21" s="43"/>
      <c r="B21" s="47" t="s">
        <v>161</v>
      </c>
      <c r="C21" s="45"/>
      <c r="D21" s="46"/>
      <c r="E21" s="44"/>
      <c r="F21" s="145"/>
      <c r="G21" s="145"/>
      <c r="H21" s="146"/>
      <c r="I21" s="147"/>
      <c r="J21" s="146"/>
    </row>
    <row r="22" ht="12" customHeight="1" spans="1:10">
      <c r="A22" s="48"/>
      <c r="B22" s="53" t="s">
        <v>185</v>
      </c>
      <c r="C22" s="54"/>
      <c r="D22" s="51"/>
      <c r="E22" s="52">
        <f>SUBTOTAL(9,E16:E21)</f>
        <v>0</v>
      </c>
      <c r="F22" s="149">
        <f t="shared" si="0"/>
        <v>0</v>
      </c>
      <c r="G22" s="149">
        <f t="shared" si="1"/>
        <v>0</v>
      </c>
      <c r="H22" s="150"/>
      <c r="I22" s="151"/>
      <c r="J22" s="150"/>
    </row>
    <row r="23" ht="13.5" spans="1:10">
      <c r="A23" s="152" t="s">
        <v>186</v>
      </c>
      <c r="B23" s="153"/>
      <c r="C23" s="154"/>
      <c r="D23" s="154"/>
      <c r="E23" s="155">
        <f>SUBTOTAL(9,E9:E22)</f>
        <v>6000</v>
      </c>
      <c r="F23" s="156">
        <f t="shared" si="0"/>
        <v>1</v>
      </c>
      <c r="G23" s="156">
        <f t="shared" si="1"/>
        <v>1</v>
      </c>
      <c r="H23" s="154"/>
      <c r="I23" s="154"/>
      <c r="J23" s="154"/>
    </row>
    <row r="24" ht="26.25" customHeight="1" spans="1:10">
      <c r="A24" s="157" t="s">
        <v>187</v>
      </c>
      <c r="B24" s="158"/>
      <c r="C24" s="157"/>
      <c r="D24" s="157"/>
      <c r="E24" s="157"/>
      <c r="F24" s="157"/>
      <c r="G24" s="157"/>
      <c r="H24" s="157"/>
      <c r="I24" s="159"/>
      <c r="J24" s="157"/>
    </row>
    <row r="25" spans="1:10">
      <c r="A25" s="38" t="s">
        <v>188</v>
      </c>
      <c r="B25" s="39">
        <v>1</v>
      </c>
      <c r="C25" s="45"/>
      <c r="D25" s="46"/>
      <c r="E25" s="44"/>
      <c r="F25" s="160"/>
      <c r="G25" s="160"/>
      <c r="H25" s="146"/>
      <c r="I25" s="147"/>
      <c r="J25" s="146"/>
    </row>
    <row r="26" spans="1:10">
      <c r="A26" s="43"/>
      <c r="B26" s="39">
        <v>2</v>
      </c>
      <c r="C26" s="45"/>
      <c r="D26" s="46"/>
      <c r="E26" s="44"/>
      <c r="F26" s="160"/>
      <c r="G26" s="160"/>
      <c r="H26" s="146"/>
      <c r="I26" s="147"/>
      <c r="J26" s="146"/>
    </row>
    <row r="27" spans="1:10">
      <c r="A27" s="43"/>
      <c r="B27" s="39">
        <v>3</v>
      </c>
      <c r="C27" s="45"/>
      <c r="D27" s="46"/>
      <c r="E27" s="44"/>
      <c r="F27" s="160"/>
      <c r="G27" s="160"/>
      <c r="H27" s="146"/>
      <c r="I27" s="147"/>
      <c r="J27" s="146"/>
    </row>
    <row r="28" spans="1:10">
      <c r="A28" s="43"/>
      <c r="B28" s="39">
        <v>4</v>
      </c>
      <c r="C28" s="45"/>
      <c r="D28" s="46"/>
      <c r="E28" s="44"/>
      <c r="F28" s="160"/>
      <c r="G28" s="160"/>
      <c r="H28" s="146"/>
      <c r="I28" s="147"/>
      <c r="J28" s="146"/>
    </row>
    <row r="29" spans="1:10">
      <c r="A29" s="43"/>
      <c r="B29" s="39">
        <v>5</v>
      </c>
      <c r="C29" s="45"/>
      <c r="D29" s="46"/>
      <c r="E29" s="44"/>
      <c r="F29" s="160"/>
      <c r="G29" s="160"/>
      <c r="H29" s="146"/>
      <c r="I29" s="147"/>
      <c r="J29" s="146"/>
    </row>
    <row r="30" spans="1:10">
      <c r="A30" s="43"/>
      <c r="B30" s="47" t="s">
        <v>161</v>
      </c>
      <c r="C30" s="45"/>
      <c r="D30" s="46"/>
      <c r="E30" s="44"/>
      <c r="F30" s="160"/>
      <c r="G30" s="160"/>
      <c r="H30" s="146"/>
      <c r="I30" s="147"/>
      <c r="J30" s="146"/>
    </row>
    <row r="31" spans="1:10">
      <c r="A31" s="48"/>
      <c r="B31" s="53" t="s">
        <v>189</v>
      </c>
      <c r="C31" s="54"/>
      <c r="D31" s="51"/>
      <c r="E31" s="52">
        <f>SUBTOTAL(9,E25:E30)</f>
        <v>0</v>
      </c>
      <c r="F31" s="161">
        <f t="shared" si="0"/>
        <v>0</v>
      </c>
      <c r="G31" s="161">
        <f t="shared" ref="G31:G39" si="2">IFERROR(E31/E$39,0)</f>
        <v>0</v>
      </c>
      <c r="H31" s="150"/>
      <c r="I31" s="151"/>
      <c r="J31" s="150"/>
    </row>
    <row r="32" spans="1:10">
      <c r="A32" s="38" t="s">
        <v>190</v>
      </c>
      <c r="B32" s="39">
        <v>1</v>
      </c>
      <c r="C32" s="45"/>
      <c r="D32" s="46"/>
      <c r="E32" s="44"/>
      <c r="F32" s="160"/>
      <c r="G32" s="160"/>
      <c r="H32" s="146"/>
      <c r="I32" s="147"/>
      <c r="J32" s="146"/>
    </row>
    <row r="33" spans="1:10">
      <c r="A33" s="43"/>
      <c r="B33" s="39">
        <v>2</v>
      </c>
      <c r="C33" s="45"/>
      <c r="D33" s="46"/>
      <c r="E33" s="44"/>
      <c r="F33" s="160"/>
      <c r="G33" s="160"/>
      <c r="H33" s="146"/>
      <c r="I33" s="147"/>
      <c r="J33" s="146"/>
    </row>
    <row r="34" spans="1:10">
      <c r="A34" s="43"/>
      <c r="B34" s="39">
        <v>3</v>
      </c>
      <c r="C34" s="45"/>
      <c r="D34" s="46"/>
      <c r="E34" s="44"/>
      <c r="F34" s="160"/>
      <c r="G34" s="160"/>
      <c r="H34" s="146"/>
      <c r="I34" s="147"/>
      <c r="J34" s="146"/>
    </row>
    <row r="35" spans="1:10">
      <c r="A35" s="43"/>
      <c r="B35" s="39">
        <v>4</v>
      </c>
      <c r="C35" s="45"/>
      <c r="D35" s="46"/>
      <c r="E35" s="44"/>
      <c r="F35" s="160"/>
      <c r="G35" s="160"/>
      <c r="H35" s="146"/>
      <c r="I35" s="147"/>
      <c r="J35" s="146"/>
    </row>
    <row r="36" spans="1:10">
      <c r="A36" s="43"/>
      <c r="B36" s="39">
        <v>5</v>
      </c>
      <c r="C36" s="45"/>
      <c r="D36" s="46"/>
      <c r="E36" s="44"/>
      <c r="F36" s="160"/>
      <c r="G36" s="160"/>
      <c r="H36" s="146"/>
      <c r="I36" s="147"/>
      <c r="J36" s="146"/>
    </row>
    <row r="37" spans="1:10">
      <c r="A37" s="43"/>
      <c r="B37" s="47" t="s">
        <v>161</v>
      </c>
      <c r="C37" s="45"/>
      <c r="D37" s="46"/>
      <c r="E37" s="44"/>
      <c r="F37" s="160"/>
      <c r="G37" s="160"/>
      <c r="H37" s="146"/>
      <c r="I37" s="147"/>
      <c r="J37" s="146"/>
    </row>
    <row r="38" spans="1:10">
      <c r="A38" s="48"/>
      <c r="B38" s="53" t="s">
        <v>191</v>
      </c>
      <c r="C38" s="54"/>
      <c r="D38" s="51"/>
      <c r="E38" s="52">
        <f>SUBTOTAL(9,E32:E37)</f>
        <v>0</v>
      </c>
      <c r="F38" s="161">
        <f t="shared" si="0"/>
        <v>0</v>
      </c>
      <c r="G38" s="161">
        <f t="shared" si="2"/>
        <v>0</v>
      </c>
      <c r="H38" s="150"/>
      <c r="I38" s="151"/>
      <c r="J38" s="150"/>
    </row>
    <row r="39" ht="13.5" spans="1:10">
      <c r="A39" s="162" t="s">
        <v>192</v>
      </c>
      <c r="B39" s="163"/>
      <c r="C39" s="163"/>
      <c r="D39" s="164"/>
      <c r="E39" s="155">
        <f>SUBTOTAL(9,E25:E38)</f>
        <v>0</v>
      </c>
      <c r="F39" s="165">
        <f t="shared" si="0"/>
        <v>0</v>
      </c>
      <c r="G39" s="165">
        <f t="shared" si="2"/>
        <v>0</v>
      </c>
      <c r="H39" s="166"/>
      <c r="I39" s="167"/>
      <c r="J39" s="166"/>
    </row>
    <row r="40" ht="13.5" spans="1:10">
      <c r="A40" s="168" t="s">
        <v>172</v>
      </c>
      <c r="B40" s="169"/>
      <c r="C40" s="170"/>
      <c r="D40" s="171"/>
      <c r="E40" s="172">
        <f>SUM(E23,E39)</f>
        <v>6000</v>
      </c>
      <c r="F40" s="173">
        <f t="shared" si="0"/>
        <v>1</v>
      </c>
      <c r="G40" s="174"/>
      <c r="H40" s="175"/>
      <c r="I40" s="176"/>
      <c r="J40" s="175"/>
    </row>
    <row r="41" spans="1:10">
      <c r="D41" s="177"/>
    </row>
    <row r="42" spans="1:10">
      <c r="D42" s="177"/>
    </row>
    <row r="43" spans="1:10">
      <c r="A43" s="178"/>
      <c r="D43" s="177"/>
    </row>
    <row r="44" spans="1:10">
      <c r="D44" s="177"/>
    </row>
    <row r="45" spans="1:10">
      <c r="D45" s="177"/>
    </row>
    <row r="46" spans="1:10">
      <c r="D46" s="177"/>
    </row>
    <row r="47" spans="1:10">
      <c r="D47" s="177"/>
    </row>
    <row r="48" spans="1:10">
      <c r="D48" s="177"/>
    </row>
    <row r="49" spans="1:4">
      <c r="D49" s="177"/>
    </row>
    <row r="50" spans="1:4">
      <c r="D50" s="177"/>
    </row>
    <row r="51" spans="1:4">
      <c r="D51" s="177"/>
    </row>
    <row r="52" spans="1:4">
      <c r="D52" s="177"/>
    </row>
    <row r="53" spans="1:4">
      <c r="D53" s="177"/>
    </row>
    <row r="57" spans="1:4">
      <c r="A57" s="179"/>
    </row>
    <row r="59" spans="1:4">
      <c r="A59" s="179"/>
    </row>
  </sheetData>
  <mergeCells count="15">
    <mergeCell ref="A5:J5"/>
    <mergeCell ref="E6:F6"/>
    <mergeCell ref="A8:J8"/>
    <mergeCell ref="A24:J24"/>
    <mergeCell ref="A6:A7"/>
    <mergeCell ref="A9:A15"/>
    <mergeCell ref="A16:A22"/>
    <mergeCell ref="A25:A31"/>
    <mergeCell ref="A32:A38"/>
    <mergeCell ref="B6:B7"/>
    <mergeCell ref="C6:C7"/>
    <mergeCell ref="D6:D7"/>
    <mergeCell ref="H6:H7"/>
    <mergeCell ref="I6:I7"/>
    <mergeCell ref="J6:J7"/>
  </mergeCells>
  <pageMargins left="0.551181102362205" right="0.551181102362205" top="0.590551181102362" bottom="0.590551181102362" header="0.354330708661417"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4"/>
  </sheetPr>
  <dimension ref="A1:H38"/>
  <sheetViews>
    <sheetView workbookViewId="0">
      <selection activeCell="F9" sqref="F9"/>
    </sheetView>
  </sheetViews>
  <sheetFormatPr defaultColWidth="9" defaultRowHeight="14.25" outlineLevelCol="7"/>
  <cols>
    <col min="1" max="1" width="4.58333333333333" style="78" customWidth="1"/>
    <col min="2" max="2" width="13.5833333333333" style="78" customWidth="1"/>
    <col min="3" max="7" width="17.8333333333333" style="78" customWidth="1"/>
    <col min="8" max="16384" width="9" style="78"/>
  </cols>
  <sheetData>
    <row r="1" ht="16.5" spans="1:7">
      <c r="A1" s="79"/>
      <c r="B1" s="80"/>
      <c r="C1" s="81"/>
      <c r="D1" s="81"/>
      <c r="E1" s="81"/>
      <c r="F1" s="81"/>
      <c r="G1" s="82"/>
    </row>
    <row r="2" ht="16.5" spans="1:7">
      <c r="A2" s="83"/>
      <c r="B2" s="83"/>
      <c r="C2" s="81"/>
      <c r="D2" s="81"/>
      <c r="E2" s="81"/>
      <c r="F2" s="81"/>
      <c r="G2" s="83"/>
    </row>
    <row r="3" ht="17.25" spans="1:7">
      <c r="A3" s="84" t="s">
        <v>193</v>
      </c>
      <c r="B3" s="85"/>
      <c r="C3" s="81"/>
      <c r="D3" s="81"/>
      <c r="E3" s="81"/>
      <c r="F3" s="81"/>
      <c r="G3" s="85"/>
    </row>
    <row r="4" ht="16.5" spans="1:7">
      <c r="A4" s="86"/>
      <c r="B4" s="86"/>
      <c r="C4" s="81"/>
      <c r="D4" s="81"/>
      <c r="E4" s="81"/>
      <c r="F4" s="81"/>
      <c r="G4" s="86"/>
    </row>
    <row r="5" ht="20.25" customHeight="1" spans="1:7">
      <c r="A5" s="86" t="s">
        <v>194</v>
      </c>
      <c r="B5" s="86"/>
      <c r="C5" s="86"/>
      <c r="D5" s="86"/>
      <c r="E5" s="86"/>
      <c r="F5" s="86"/>
      <c r="G5" s="87"/>
    </row>
    <row r="6" s="77" customFormat="1" customHeight="1" spans="1:7">
      <c r="A6" s="88" t="s">
        <v>195</v>
      </c>
      <c r="B6" s="89" t="s">
        <v>132</v>
      </c>
      <c r="C6" s="89" t="s">
        <v>94</v>
      </c>
      <c r="D6" s="89" t="s">
        <v>196</v>
      </c>
      <c r="E6" s="89" t="s">
        <v>197</v>
      </c>
      <c r="F6" s="89" t="s">
        <v>198</v>
      </c>
      <c r="G6" s="89" t="s">
        <v>199</v>
      </c>
    </row>
    <row r="7" s="77" customFormat="1" customHeight="1" spans="1:7">
      <c r="A7" s="88"/>
      <c r="B7" s="89"/>
      <c r="C7" s="89"/>
      <c r="D7" s="89"/>
      <c r="E7" s="89"/>
      <c r="F7" s="89"/>
      <c r="G7" s="89"/>
    </row>
    <row r="8" customHeight="1" spans="1:7">
      <c r="A8" s="88"/>
      <c r="B8" s="89">
        <v>1</v>
      </c>
      <c r="C8" s="89">
        <v>2</v>
      </c>
      <c r="D8" s="89">
        <v>3</v>
      </c>
      <c r="E8" s="89">
        <v>4</v>
      </c>
      <c r="F8" s="89">
        <v>5</v>
      </c>
      <c r="G8" s="90">
        <v>6</v>
      </c>
    </row>
    <row r="9" customHeight="1" spans="1:7">
      <c r="A9" s="91">
        <v>1</v>
      </c>
      <c r="B9" s="92" t="s">
        <v>200</v>
      </c>
      <c r="C9" s="93" t="s">
        <v>201</v>
      </c>
      <c r="D9" s="93" t="s">
        <v>202</v>
      </c>
      <c r="E9" s="93">
        <v>5000</v>
      </c>
      <c r="F9" s="94"/>
      <c r="G9" s="95"/>
    </row>
    <row r="10" customHeight="1" spans="1:7">
      <c r="A10" s="91">
        <v>2</v>
      </c>
      <c r="B10" s="96"/>
      <c r="C10" s="93"/>
      <c r="D10" s="93"/>
      <c r="E10" s="93"/>
      <c r="F10" s="94"/>
      <c r="G10" s="95"/>
    </row>
    <row r="11" customHeight="1" spans="1:7">
      <c r="A11" s="91">
        <v>3</v>
      </c>
      <c r="B11" s="96"/>
      <c r="C11" s="93"/>
      <c r="D11" s="93"/>
      <c r="E11" s="93"/>
      <c r="F11" s="94"/>
      <c r="G11" s="95"/>
    </row>
    <row r="12" customHeight="1" spans="1:7">
      <c r="A12" s="91">
        <v>4</v>
      </c>
      <c r="B12" s="96"/>
      <c r="C12" s="93"/>
      <c r="D12" s="93"/>
      <c r="E12" s="93"/>
      <c r="F12" s="94"/>
      <c r="G12" s="95"/>
    </row>
    <row r="13" customHeight="1" spans="1:7">
      <c r="A13" s="91">
        <v>5</v>
      </c>
      <c r="B13" s="96"/>
      <c r="C13" s="93"/>
      <c r="D13" s="93"/>
      <c r="E13" s="93"/>
      <c r="F13" s="94"/>
      <c r="G13" s="95"/>
    </row>
    <row r="14" customHeight="1" spans="1:7">
      <c r="A14" s="91">
        <v>6</v>
      </c>
      <c r="B14" s="97" t="s">
        <v>203</v>
      </c>
      <c r="C14" s="97" t="s">
        <v>204</v>
      </c>
      <c r="D14" s="97" t="s">
        <v>203</v>
      </c>
      <c r="E14" s="93"/>
      <c r="F14" s="94"/>
      <c r="G14" s="95"/>
    </row>
    <row r="15" customHeight="1" spans="1:7">
      <c r="A15" s="98">
        <v>7</v>
      </c>
      <c r="B15" s="99" t="s">
        <v>205</v>
      </c>
      <c r="C15" s="99"/>
      <c r="D15" s="99"/>
      <c r="E15" s="100">
        <f>ROUND(SUM(E9:E14),2)</f>
        <v>5000</v>
      </c>
      <c r="F15" s="101"/>
      <c r="G15" s="102"/>
    </row>
    <row r="16" customHeight="1" spans="1:7">
      <c r="A16" s="91">
        <v>8</v>
      </c>
      <c r="B16" s="92" t="s">
        <v>206</v>
      </c>
      <c r="C16" s="103"/>
      <c r="D16" s="103"/>
      <c r="E16" s="93"/>
      <c r="F16" s="94"/>
      <c r="G16" s="95"/>
    </row>
    <row r="17" customHeight="1" spans="1:8">
      <c r="A17" s="91">
        <v>9</v>
      </c>
      <c r="B17" s="96"/>
      <c r="C17" s="103"/>
      <c r="D17" s="103"/>
      <c r="E17" s="93"/>
      <c r="F17" s="94"/>
      <c r="G17" s="95"/>
      <c r="H17" s="104"/>
    </row>
    <row r="18" customHeight="1" spans="1:8">
      <c r="A18" s="91">
        <v>10</v>
      </c>
      <c r="B18" s="96"/>
      <c r="C18" s="105"/>
      <c r="D18" s="105"/>
      <c r="E18" s="93"/>
      <c r="F18" s="94"/>
      <c r="G18" s="95"/>
    </row>
    <row r="19" customHeight="1" spans="1:8">
      <c r="A19" s="91">
        <v>11</v>
      </c>
      <c r="B19" s="96"/>
      <c r="C19" s="93"/>
      <c r="D19" s="93"/>
      <c r="E19" s="93"/>
      <c r="F19" s="94"/>
      <c r="G19" s="95"/>
    </row>
    <row r="20" customHeight="1" spans="1:8">
      <c r="A20" s="91">
        <v>12</v>
      </c>
      <c r="B20" s="96"/>
      <c r="C20" s="93"/>
      <c r="D20" s="93"/>
      <c r="E20" s="93"/>
      <c r="F20" s="94"/>
      <c r="G20" s="95"/>
    </row>
    <row r="21" customHeight="1" spans="1:8">
      <c r="A21" s="91">
        <v>13</v>
      </c>
      <c r="B21" s="97" t="s">
        <v>203</v>
      </c>
      <c r="C21" s="97" t="s">
        <v>204</v>
      </c>
      <c r="D21" s="97" t="s">
        <v>203</v>
      </c>
      <c r="E21" s="93"/>
      <c r="F21" s="94"/>
      <c r="G21" s="95"/>
    </row>
    <row r="22" customHeight="1" spans="1:8">
      <c r="A22" s="98">
        <v>14</v>
      </c>
      <c r="B22" s="106" t="s">
        <v>207</v>
      </c>
      <c r="C22" s="106"/>
      <c r="D22" s="106"/>
      <c r="E22" s="100">
        <f>ROUND(SUM(E16:E21),2)</f>
        <v>0</v>
      </c>
      <c r="F22" s="101"/>
      <c r="G22" s="102"/>
    </row>
    <row r="23" customHeight="1" spans="1:8">
      <c r="A23" s="98">
        <v>15</v>
      </c>
      <c r="B23" s="99" t="s">
        <v>208</v>
      </c>
      <c r="C23" s="99"/>
      <c r="D23" s="99"/>
      <c r="E23" s="107"/>
      <c r="F23" s="108"/>
      <c r="G23" s="102"/>
    </row>
    <row r="24" customHeight="1" spans="1:8">
      <c r="A24" s="91">
        <v>16</v>
      </c>
      <c r="B24" s="92" t="s">
        <v>209</v>
      </c>
      <c r="C24" s="93"/>
      <c r="D24" s="93"/>
      <c r="E24" s="93"/>
      <c r="F24" s="94"/>
      <c r="G24" s="95"/>
    </row>
    <row r="25" customHeight="1" spans="1:8">
      <c r="A25" s="91">
        <v>17</v>
      </c>
      <c r="B25" s="96"/>
      <c r="C25" s="93"/>
      <c r="D25" s="93"/>
      <c r="E25" s="93"/>
      <c r="F25" s="94"/>
      <c r="G25" s="95"/>
    </row>
    <row r="26" customHeight="1" spans="1:8">
      <c r="A26" s="91">
        <v>18</v>
      </c>
      <c r="B26" s="96"/>
      <c r="C26" s="93"/>
      <c r="D26" s="93"/>
      <c r="E26" s="93"/>
      <c r="F26" s="94"/>
      <c r="G26" s="95"/>
    </row>
    <row r="27" customHeight="1" spans="1:8">
      <c r="A27" s="91">
        <v>19</v>
      </c>
      <c r="B27" s="96"/>
      <c r="C27" s="93"/>
      <c r="D27" s="93"/>
      <c r="E27" s="93"/>
      <c r="F27" s="94"/>
      <c r="G27" s="95"/>
    </row>
    <row r="28" customHeight="1" spans="1:8">
      <c r="A28" s="91">
        <v>20</v>
      </c>
      <c r="B28" s="96"/>
      <c r="C28" s="93"/>
      <c r="D28" s="93"/>
      <c r="E28" s="93"/>
      <c r="F28" s="94"/>
      <c r="G28" s="95"/>
    </row>
    <row r="29" customHeight="1" spans="1:8">
      <c r="A29" s="91">
        <v>21</v>
      </c>
      <c r="B29" s="97" t="s">
        <v>203</v>
      </c>
      <c r="C29" s="97" t="s">
        <v>204</v>
      </c>
      <c r="D29" s="97" t="s">
        <v>203</v>
      </c>
      <c r="E29" s="93"/>
      <c r="F29" s="94"/>
      <c r="G29" s="95"/>
    </row>
    <row r="30" customHeight="1" spans="1:8">
      <c r="A30" s="109">
        <v>22</v>
      </c>
      <c r="B30" s="99" t="s">
        <v>210</v>
      </c>
      <c r="C30" s="99"/>
      <c r="D30" s="99"/>
      <c r="E30" s="110">
        <f>ROUND(SUM(E24:E29),2)</f>
        <v>0</v>
      </c>
      <c r="F30" s="111"/>
      <c r="G30" s="112"/>
    </row>
    <row r="31" customHeight="1" spans="1:8">
      <c r="A31" s="91">
        <v>23</v>
      </c>
      <c r="B31" s="92" t="s">
        <v>211</v>
      </c>
      <c r="C31" s="105"/>
      <c r="D31" s="105"/>
      <c r="E31" s="93"/>
      <c r="F31" s="94"/>
      <c r="G31" s="95"/>
    </row>
    <row r="32" customHeight="1" spans="1:8">
      <c r="A32" s="91">
        <v>24</v>
      </c>
      <c r="B32" s="96"/>
      <c r="C32" s="93"/>
      <c r="D32" s="93"/>
      <c r="E32" s="93"/>
      <c r="F32" s="94"/>
      <c r="G32" s="95"/>
    </row>
    <row r="33" customHeight="1" spans="1:7">
      <c r="A33" s="91">
        <v>25</v>
      </c>
      <c r="B33" s="96"/>
      <c r="C33" s="93"/>
      <c r="D33" s="93"/>
      <c r="E33" s="93"/>
      <c r="F33" s="94"/>
      <c r="G33" s="95"/>
    </row>
    <row r="34" customHeight="1" spans="1:7">
      <c r="A34" s="91">
        <v>26</v>
      </c>
      <c r="B34" s="96"/>
      <c r="C34" s="93"/>
      <c r="D34" s="93"/>
      <c r="E34" s="93"/>
      <c r="F34" s="94"/>
      <c r="G34" s="95"/>
    </row>
    <row r="35" customHeight="1" spans="1:7">
      <c r="A35" s="91">
        <v>27</v>
      </c>
      <c r="B35" s="96"/>
      <c r="C35" s="93"/>
      <c r="D35" s="93"/>
      <c r="E35" s="93"/>
      <c r="F35" s="94"/>
      <c r="G35" s="95"/>
    </row>
    <row r="36" customHeight="1" spans="1:7">
      <c r="A36" s="91">
        <v>28</v>
      </c>
      <c r="B36" s="97" t="s">
        <v>203</v>
      </c>
      <c r="C36" s="97" t="s">
        <v>204</v>
      </c>
      <c r="D36" s="97" t="s">
        <v>203</v>
      </c>
      <c r="E36" s="93"/>
      <c r="F36" s="94"/>
      <c r="G36" s="95"/>
    </row>
    <row r="37" customHeight="1" spans="1:7">
      <c r="A37" s="113">
        <v>29</v>
      </c>
      <c r="B37" s="114" t="s">
        <v>212</v>
      </c>
      <c r="C37" s="115"/>
      <c r="D37" s="116"/>
      <c r="E37" s="100">
        <f>ROUND(SUM(E31:E36),2)</f>
        <v>0</v>
      </c>
      <c r="F37" s="101"/>
      <c r="G37" s="102"/>
    </row>
    <row r="38" spans="1:7">
      <c r="A38" s="98">
        <v>30</v>
      </c>
      <c r="B38" s="99" t="s">
        <v>213</v>
      </c>
      <c r="C38" s="99"/>
      <c r="D38" s="99"/>
      <c r="E38" s="107"/>
      <c r="F38" s="108"/>
      <c r="G38" s="102"/>
    </row>
  </sheetData>
  <mergeCells count="18">
    <mergeCell ref="A5:F5"/>
    <mergeCell ref="B15:D15"/>
    <mergeCell ref="B22:D22"/>
    <mergeCell ref="B23:D23"/>
    <mergeCell ref="B30:D30"/>
    <mergeCell ref="B37:D37"/>
    <mergeCell ref="B38:D38"/>
    <mergeCell ref="A6:A8"/>
    <mergeCell ref="B6:B7"/>
    <mergeCell ref="B9:B13"/>
    <mergeCell ref="B16:B20"/>
    <mergeCell ref="B24:B28"/>
    <mergeCell ref="B31:B35"/>
    <mergeCell ref="C6:C7"/>
    <mergeCell ref="D6:D7"/>
    <mergeCell ref="E6:E7"/>
    <mergeCell ref="F6:F7"/>
    <mergeCell ref="G6:G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P29" sqref="P29"/>
    </sheetView>
  </sheetViews>
  <sheetFormatPr defaultColWidth="9" defaultRowHeight="14.25" outlineLevelRow="4" outlineLevelCol="3"/>
  <sheetData>
    <row r="1" spans="1:4">
      <c r="A1" t="s">
        <v>214</v>
      </c>
      <c r="B1" t="s">
        <v>215</v>
      </c>
      <c r="C1" t="s">
        <v>216</v>
      </c>
      <c r="D1" t="s">
        <v>217</v>
      </c>
    </row>
    <row r="2" spans="1:4">
      <c r="D2" t="s">
        <v>218</v>
      </c>
    </row>
    <row r="3" spans="1:4">
      <c r="A3" t="s">
        <v>219</v>
      </c>
      <c r="B3" t="s">
        <v>220</v>
      </c>
      <c r="C3" t="s">
        <v>221</v>
      </c>
      <c r="D3" t="s">
        <v>222</v>
      </c>
    </row>
    <row r="4" spans="1:4">
      <c r="A4" t="s">
        <v>223</v>
      </c>
      <c r="B4" t="s">
        <v>220</v>
      </c>
      <c r="C4" t="s">
        <v>221</v>
      </c>
      <c r="D4" t="s">
        <v>222</v>
      </c>
    </row>
    <row r="5" spans="1:4">
      <c r="A5" t="s">
        <v>224</v>
      </c>
      <c r="B5" t="s">
        <v>225</v>
      </c>
      <c r="C5" t="s">
        <v>221</v>
      </c>
      <c r="D5" t="s">
        <v>222</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E14" sqref="E14"/>
    </sheetView>
  </sheetViews>
  <sheetFormatPr defaultColWidth="9" defaultRowHeight="14.25" outlineLevelRow="3" outlineLevelCol="1"/>
  <sheetData>
    <row r="1" spans="1:2">
      <c r="A1" t="s">
        <v>226</v>
      </c>
      <c r="B1" t="s">
        <v>227</v>
      </c>
    </row>
    <row r="4" spans="1:2">
      <c r="A4" t="s">
        <v>143</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I3"/>
  <sheetViews>
    <sheetView workbookViewId="0">
      <selection activeCell="G16" sqref="G16"/>
    </sheetView>
  </sheetViews>
  <sheetFormatPr defaultColWidth="9" defaultRowHeight="14.25" outlineLevelRow="2"/>
  <sheetData>
    <row r="1" spans="1:9">
      <c r="A1" t="s">
        <v>228</v>
      </c>
      <c r="B1" t="s">
        <v>229</v>
      </c>
      <c r="C1" t="s">
        <v>230</v>
      </c>
      <c r="D1" t="s">
        <v>231</v>
      </c>
      <c r="E1" t="s">
        <v>231</v>
      </c>
      <c r="F1" t="s">
        <v>232</v>
      </c>
      <c r="G1" t="s">
        <v>233</v>
      </c>
      <c r="H1" t="s">
        <v>234</v>
      </c>
      <c r="I1" t="s">
        <v>234</v>
      </c>
    </row>
    <row r="2" spans="1:9">
      <c r="D2" t="s">
        <v>235</v>
      </c>
      <c r="E2" t="s">
        <v>236</v>
      </c>
      <c r="H2" t="s">
        <v>235</v>
      </c>
      <c r="I2" t="s">
        <v>236</v>
      </c>
    </row>
    <row r="3" spans="1:9">
      <c r="B3" t="s">
        <v>237</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J14" sqref="J14"/>
    </sheetView>
  </sheetViews>
  <sheetFormatPr defaultColWidth="9" defaultRowHeight="14.25" outlineLevelCol="2"/>
  <sheetData>
    <row r="1" spans="1:3">
      <c r="A1" t="s">
        <v>238</v>
      </c>
      <c r="B1" t="s">
        <v>239</v>
      </c>
      <c r="C1" t="s">
        <v>240</v>
      </c>
    </row>
    <row r="2" spans="1:3">
      <c r="A2" t="s">
        <v>241</v>
      </c>
    </row>
    <row r="3" spans="1:3">
      <c r="A3" t="s">
        <v>242</v>
      </c>
    </row>
    <row r="4" spans="1:3">
      <c r="A4" t="s">
        <v>243</v>
      </c>
    </row>
    <row r="5" spans="1:3">
      <c r="A5" t="s">
        <v>244</v>
      </c>
    </row>
    <row r="6" spans="1:3">
      <c r="A6" t="s">
        <v>245</v>
      </c>
    </row>
    <row r="7" spans="1:3">
      <c r="A7" t="s">
        <v>246</v>
      </c>
    </row>
    <row r="8" spans="1:3">
      <c r="A8" t="s">
        <v>247</v>
      </c>
    </row>
    <row r="9" spans="1:3">
      <c r="A9" t="s">
        <v>248</v>
      </c>
    </row>
    <row r="10" spans="1:3">
      <c r="A10" t="s">
        <v>143</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M18" sqref="M18"/>
    </sheetView>
  </sheetViews>
  <sheetFormatPr defaultColWidth="9" defaultRowHeight="14.25" outlineLevelRow="3" outlineLevelCol="3"/>
  <sheetData>
    <row r="1" spans="1:4">
      <c r="A1" t="s">
        <v>249</v>
      </c>
      <c r="B1" t="s">
        <v>250</v>
      </c>
      <c r="C1" t="s">
        <v>217</v>
      </c>
      <c r="D1" t="s">
        <v>226</v>
      </c>
    </row>
    <row r="2" spans="1:4">
      <c r="A2">
        <v>1</v>
      </c>
    </row>
    <row r="3" spans="1:4">
      <c r="A3">
        <v>2</v>
      </c>
    </row>
    <row r="4" spans="1:4">
      <c r="A4">
        <v>3</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64"/>
  <sheetViews>
    <sheetView zoomScale="90" zoomScaleNormal="90" workbookViewId="0">
      <selection activeCell="E33" sqref="E33"/>
    </sheetView>
  </sheetViews>
  <sheetFormatPr defaultColWidth="8.25" defaultRowHeight="14.25"/>
  <cols>
    <col min="1" max="1" width="18.3333333333333" style="1" customWidth="1"/>
    <col min="2" max="2" width="33.75" style="1" customWidth="1"/>
    <col min="3" max="3" width="32.3333333333333" style="1" customWidth="1"/>
    <col min="4" max="6" width="15.6666666666667" style="1" customWidth="1"/>
    <col min="7" max="10" width="19.3333333333333" style="1" customWidth="1"/>
    <col min="11" max="11" width="15.3333333333333" style="1" customWidth="1"/>
    <col min="12" max="16384" width="8.25" style="1"/>
  </cols>
  <sheetData>
    <row r="1" ht="16" customHeight="1"/>
    <row r="2" ht="15" customHeight="1" spans="1:11">
      <c r="A2" s="2" t="s">
        <v>251</v>
      </c>
      <c r="B2" s="3" t="s">
        <v>252</v>
      </c>
      <c r="C2" s="4" t="s">
        <v>253</v>
      </c>
      <c r="D2" s="5"/>
      <c r="E2" s="6"/>
      <c r="F2" s="7"/>
      <c r="G2" s="8"/>
      <c r="H2" s="9"/>
      <c r="I2" s="10"/>
      <c r="J2" s="11"/>
      <c r="K2" s="12"/>
    </row>
    <row r="3" ht="15" spans="1:11">
      <c r="A3" s="13"/>
      <c r="B3" s="14"/>
      <c r="C3" s="14"/>
      <c r="D3" s="14"/>
      <c r="E3" s="14"/>
      <c r="F3" s="14"/>
      <c r="G3" s="15"/>
      <c r="H3" s="15"/>
      <c r="I3" s="15"/>
      <c r="J3" s="15"/>
      <c r="K3" s="16"/>
    </row>
    <row r="4" ht="15.65" customHeight="1" spans="1:11">
      <c r="A4" s="17" t="s">
        <v>254</v>
      </c>
      <c r="B4" s="18" t="s">
        <v>255</v>
      </c>
      <c r="C4" s="19">
        <v>1000</v>
      </c>
      <c r="D4" s="20"/>
      <c r="E4" s="20"/>
      <c r="F4" s="20"/>
      <c r="G4" s="20"/>
      <c r="H4" s="20"/>
      <c r="I4" s="20"/>
      <c r="J4" s="20"/>
      <c r="K4" s="21"/>
    </row>
    <row r="5" ht="16.5" spans="1:11">
      <c r="A5" s="22" t="s">
        <v>256</v>
      </c>
      <c r="B5" s="18" t="s">
        <v>257</v>
      </c>
      <c r="C5" s="19">
        <v>200</v>
      </c>
      <c r="D5" s="20"/>
      <c r="E5" s="20"/>
      <c r="F5" s="20"/>
      <c r="G5" s="20"/>
      <c r="H5" s="20"/>
      <c r="I5" s="20"/>
      <c r="J5" s="20"/>
      <c r="K5" s="21"/>
    </row>
    <row r="6" ht="16.5" spans="1:11">
      <c r="A6" s="23" t="s">
        <v>258</v>
      </c>
      <c r="B6" s="18" t="s">
        <v>259</v>
      </c>
      <c r="C6" s="19">
        <v>3000</v>
      </c>
      <c r="D6" s="20"/>
      <c r="E6" s="20"/>
      <c r="F6" s="20"/>
      <c r="G6" s="20"/>
      <c r="H6" s="20"/>
      <c r="I6" s="20"/>
      <c r="J6" s="20"/>
      <c r="K6" s="21"/>
    </row>
    <row r="7" ht="16.5" spans="1:11">
      <c r="A7" s="17" t="s">
        <v>260</v>
      </c>
      <c r="B7" s="18" t="s">
        <v>261</v>
      </c>
      <c r="C7" s="19">
        <f>C4-C5-C6</f>
        <v>-2200</v>
      </c>
      <c r="D7" s="20"/>
      <c r="E7" s="20"/>
      <c r="F7" s="20"/>
      <c r="G7" s="20"/>
      <c r="H7" s="20"/>
      <c r="I7" s="20"/>
      <c r="J7" s="20"/>
      <c r="K7" s="24"/>
    </row>
    <row r="8" ht="15.65" customHeight="1" spans="1:11">
      <c r="A8" s="22" t="s">
        <v>262</v>
      </c>
      <c r="B8" s="18" t="s">
        <v>263</v>
      </c>
      <c r="C8" s="19">
        <v>200</v>
      </c>
      <c r="D8" s="20"/>
      <c r="E8" s="20"/>
      <c r="F8" s="20"/>
      <c r="G8" s="20"/>
      <c r="H8" s="20"/>
      <c r="I8" s="20"/>
      <c r="J8" s="20"/>
      <c r="K8" s="21"/>
    </row>
    <row r="9" ht="16.5" spans="1:11">
      <c r="A9" s="23" t="s">
        <v>264</v>
      </c>
      <c r="B9" s="18" t="s">
        <v>265</v>
      </c>
      <c r="C9" s="19">
        <v>300</v>
      </c>
      <c r="D9" s="20"/>
      <c r="E9" s="20"/>
      <c r="F9" s="20"/>
      <c r="G9" s="20"/>
      <c r="H9" s="20"/>
      <c r="I9" s="20"/>
      <c r="J9" s="20"/>
      <c r="K9" s="21"/>
    </row>
    <row r="10" ht="16.5" spans="1:11">
      <c r="A10" s="22" t="s">
        <v>266</v>
      </c>
      <c r="B10" s="25" t="s">
        <v>267</v>
      </c>
      <c r="C10" s="26">
        <f>C7-C8-C9</f>
        <v>-2700</v>
      </c>
      <c r="D10" s="20"/>
      <c r="E10" s="20"/>
      <c r="F10" s="20"/>
      <c r="G10" s="20"/>
      <c r="H10" s="20"/>
      <c r="I10" s="20"/>
      <c r="J10" s="20"/>
      <c r="K10" s="21"/>
    </row>
    <row r="11" ht="16.5" spans="1:11">
      <c r="A11" s="22" t="s">
        <v>268</v>
      </c>
      <c r="B11" s="25" t="s">
        <v>269</v>
      </c>
      <c r="C11" s="26">
        <f>C5+C6+C8+C9</f>
        <v>3700</v>
      </c>
      <c r="D11" s="20"/>
      <c r="E11" s="20"/>
      <c r="F11" s="20"/>
      <c r="G11" s="20"/>
      <c r="H11" s="20"/>
      <c r="I11" s="20"/>
      <c r="J11" s="20"/>
      <c r="K11" s="21"/>
    </row>
    <row r="12" ht="17.25" spans="1:11">
      <c r="A12" s="27" t="s">
        <v>270</v>
      </c>
      <c r="B12" s="28" t="s">
        <v>271</v>
      </c>
      <c r="C12" s="29">
        <f>C10/C11</f>
        <v>-0.72972972972973</v>
      </c>
      <c r="D12" s="30"/>
      <c r="E12" s="30"/>
      <c r="F12" s="31"/>
      <c r="G12" s="30"/>
      <c r="H12" s="30"/>
      <c r="I12" s="32"/>
      <c r="J12" s="30"/>
      <c r="K12" s="33"/>
    </row>
    <row r="14" spans="1:11">
      <c r="H14" s="34"/>
      <c r="I14" s="34"/>
    </row>
    <row r="15" spans="1:11">
      <c r="H15" s="35"/>
      <c r="I15" s="35"/>
    </row>
    <row r="16" spans="1:11">
      <c r="A16" s="36" t="s">
        <v>272</v>
      </c>
      <c r="H16" s="35"/>
      <c r="I16" s="37"/>
    </row>
    <row r="17" spans="1:9">
      <c r="H17" s="35"/>
      <c r="I17" s="35"/>
    </row>
    <row r="18" spans="1:9">
      <c r="A18" s="38" t="s">
        <v>181</v>
      </c>
      <c r="B18" s="39">
        <v>1</v>
      </c>
      <c r="C18" s="40"/>
      <c r="D18" s="41"/>
      <c r="E18" s="42"/>
      <c r="H18" s="35"/>
      <c r="I18" s="35"/>
    </row>
    <row r="19" spans="1:9">
      <c r="A19" s="43"/>
      <c r="B19" s="39">
        <v>2</v>
      </c>
      <c r="C19" s="40"/>
      <c r="D19" s="41"/>
      <c r="E19" s="42"/>
      <c r="H19" s="35"/>
      <c r="I19" s="35"/>
    </row>
    <row r="20" spans="1:9">
      <c r="A20" s="43"/>
      <c r="B20" s="39">
        <v>3</v>
      </c>
      <c r="C20" s="40"/>
      <c r="D20" s="41"/>
      <c r="E20" s="44"/>
    </row>
    <row r="21" spans="1:9">
      <c r="A21" s="43"/>
      <c r="B21" s="39">
        <v>4</v>
      </c>
      <c r="C21" s="45"/>
      <c r="D21" s="46"/>
      <c r="E21" s="44"/>
    </row>
    <row r="22" spans="1:9">
      <c r="A22" s="43"/>
      <c r="B22" s="39">
        <v>5</v>
      </c>
      <c r="C22" s="45"/>
      <c r="D22" s="46"/>
      <c r="E22" s="44"/>
    </row>
    <row r="23" spans="1:9">
      <c r="A23" s="43"/>
      <c r="B23" s="47" t="s">
        <v>161</v>
      </c>
      <c r="C23" s="45"/>
      <c r="D23" s="46"/>
      <c r="E23" s="44"/>
    </row>
    <row r="24" spans="1:9">
      <c r="A24" s="48"/>
      <c r="B24" s="49" t="s">
        <v>183</v>
      </c>
      <c r="C24" s="50"/>
      <c r="D24" s="51"/>
      <c r="E24" s="52">
        <f>SUBTOTAL(9,E18:E23)</f>
        <v>0</v>
      </c>
    </row>
    <row r="25" spans="1:9">
      <c r="A25" s="38" t="s">
        <v>184</v>
      </c>
      <c r="B25" s="39">
        <v>1</v>
      </c>
      <c r="C25" s="45"/>
      <c r="D25" s="41"/>
      <c r="E25" s="44"/>
    </row>
    <row r="26" spans="1:9">
      <c r="A26" s="43"/>
      <c r="B26" s="39">
        <v>2</v>
      </c>
      <c r="C26" s="40"/>
      <c r="D26" s="41"/>
      <c r="E26" s="42"/>
    </row>
    <row r="27" spans="1:9">
      <c r="A27" s="43"/>
      <c r="B27" s="39">
        <v>3</v>
      </c>
      <c r="C27" s="45"/>
      <c r="D27" s="46"/>
      <c r="E27" s="44"/>
    </row>
    <row r="28" spans="1:9">
      <c r="A28" s="43"/>
      <c r="B28" s="39">
        <v>4</v>
      </c>
      <c r="C28" s="45"/>
      <c r="D28" s="46"/>
      <c r="E28" s="44"/>
    </row>
    <row r="29" spans="1:9">
      <c r="A29" s="43"/>
      <c r="B29" s="39">
        <v>5</v>
      </c>
      <c r="C29" s="45"/>
      <c r="D29" s="46"/>
      <c r="E29" s="44"/>
    </row>
    <row r="30" spans="1:9">
      <c r="A30" s="43"/>
      <c r="B30" s="47" t="s">
        <v>161</v>
      </c>
      <c r="C30" s="45"/>
      <c r="D30" s="46"/>
      <c r="E30" s="44"/>
    </row>
    <row r="31" spans="1:9">
      <c r="A31" s="48"/>
      <c r="B31" s="53" t="s">
        <v>185</v>
      </c>
      <c r="C31" s="54"/>
      <c r="D31" s="51"/>
      <c r="E31" s="52">
        <f>SUBTOTAL(9,E25:E30)</f>
        <v>0</v>
      </c>
    </row>
    <row r="46" ht="15"/>
    <row r="47" ht="15" spans="1:4">
      <c r="A47" s="55" t="s">
        <v>132</v>
      </c>
      <c r="B47" s="56" t="s">
        <v>133</v>
      </c>
      <c r="C47" s="56" t="s">
        <v>134</v>
      </c>
      <c r="D47" s="57" t="s">
        <v>135</v>
      </c>
    </row>
    <row r="48" ht="15" spans="1:4">
      <c r="A48" s="55"/>
      <c r="B48" s="58" t="s">
        <v>85</v>
      </c>
      <c r="C48" s="58" t="s">
        <v>86</v>
      </c>
      <c r="D48" s="59" t="s">
        <v>136</v>
      </c>
    </row>
    <row r="49" ht="15" spans="1:5">
      <c r="A49" s="60" t="s">
        <v>273</v>
      </c>
      <c r="B49" s="61"/>
      <c r="C49" s="62"/>
      <c r="D49" s="61"/>
    </row>
    <row r="50" ht="15" spans="1:5">
      <c r="A50" s="60" t="s">
        <v>274</v>
      </c>
      <c r="B50" s="61"/>
      <c r="C50" s="61"/>
      <c r="D50" s="61"/>
    </row>
    <row r="51" ht="15" spans="1:5">
      <c r="A51" s="63" t="s">
        <v>275</v>
      </c>
      <c r="B51" s="64">
        <f>SUM(B49:B50)</f>
        <v>0</v>
      </c>
      <c r="C51" s="64"/>
      <c r="D51" s="61"/>
      <c r="E51" s="65"/>
    </row>
    <row r="52" spans="1:5">
      <c r="E52" s="65"/>
    </row>
    <row r="53" spans="1:5">
      <c r="E53" s="65"/>
    </row>
    <row r="56" ht="27" spans="1:5">
      <c r="A56" s="66" t="s">
        <v>94</v>
      </c>
      <c r="B56" s="66"/>
      <c r="C56" s="66" t="s">
        <v>197</v>
      </c>
      <c r="D56" s="66" t="s">
        <v>276</v>
      </c>
    </row>
    <row r="57" spans="1:5">
      <c r="A57" s="67" t="s">
        <v>277</v>
      </c>
      <c r="B57" s="68"/>
      <c r="C57" s="69"/>
      <c r="D57" s="70"/>
    </row>
    <row r="58" spans="1:5">
      <c r="A58" s="67" t="s">
        <v>278</v>
      </c>
      <c r="B58" s="68"/>
      <c r="C58" s="69"/>
      <c r="D58" s="70"/>
    </row>
    <row r="59" spans="1:5">
      <c r="A59" s="71" t="s">
        <v>279</v>
      </c>
      <c r="B59" s="71"/>
      <c r="C59" s="72"/>
      <c r="D59" s="70"/>
    </row>
    <row r="60" spans="1:5">
      <c r="A60" s="67" t="s">
        <v>277</v>
      </c>
      <c r="B60" s="68"/>
      <c r="C60" s="69"/>
      <c r="D60" s="70"/>
    </row>
    <row r="61" spans="1:5">
      <c r="A61" s="67" t="s">
        <v>280</v>
      </c>
      <c r="B61" s="68"/>
      <c r="C61" s="69"/>
      <c r="D61" s="70"/>
    </row>
    <row r="62" spans="1:5">
      <c r="A62" s="73"/>
      <c r="B62" s="74"/>
      <c r="C62" s="75"/>
      <c r="D62" s="70"/>
    </row>
    <row r="63" spans="1:5">
      <c r="A63" s="76" t="s">
        <v>281</v>
      </c>
      <c r="B63" s="76"/>
      <c r="C63" s="72"/>
      <c r="D63" s="70"/>
    </row>
    <row r="64" spans="1:5">
      <c r="C64" s="65"/>
    </row>
  </sheetData>
  <mergeCells count="11">
    <mergeCell ref="D2:F2"/>
    <mergeCell ref="G2:I2"/>
    <mergeCell ref="A56:B56"/>
    <mergeCell ref="A59:B59"/>
    <mergeCell ref="A63:B63"/>
    <mergeCell ref="A2:A3"/>
    <mergeCell ref="A18:A24"/>
    <mergeCell ref="A25:A31"/>
    <mergeCell ref="A47:A48"/>
    <mergeCell ref="B2:B3"/>
    <mergeCell ref="K2:K3"/>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Lenovo (Beijing) Limited</Company>
  <Application>Microsoft Excel</Application>
  <HeadingPairs>
    <vt:vector size="2" baseType="variant">
      <vt:variant>
        <vt:lpstr>工作表</vt:lpstr>
      </vt:variant>
      <vt:variant>
        <vt:i4>23</vt:i4>
      </vt:variant>
    </vt:vector>
  </HeadingPairs>
  <TitlesOfParts>
    <vt:vector size="23"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cp:lastModifiedBy>
  <dcterms:created xsi:type="dcterms:W3CDTF">2007-01-15T05:25:00Z</dcterms:created>
  <cp:lastPrinted>2017-02-14T09:03:00Z</cp:lastPrinted>
  <dcterms:modified xsi:type="dcterms:W3CDTF">2026-03-16T15:15:24Z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663C052AE83B4D4990C899020A981C3B_13</vt:lpwstr>
  </property>
  <property fmtid="{D5CDD505-2E9C-101B-9397-08002B2CF9AE}" pid="4" name="CalculationRule">
    <vt:i4>0</vt:i4>
  </property>
</Properties>
</file>