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其他事务\TPD系统测试\"/>
    </mc:Choice>
  </mc:AlternateContent>
  <xr:revisionPtr revIDLastSave="0" documentId="13_ncr:1_{433960DF-1826-4A28-AC88-3BE311FD9023}" xr6:coauthVersionLast="47" xr6:coauthVersionMax="47" xr10:uidLastSave="{00000000-0000-0000-0000-000000000000}"/>
  <bookViews>
    <workbookView xWindow="-110" yWindow="-110" windowWidth="19420" windowHeight="11620" xr2:uid="{00000000-000D-0000-FFFF-FFFF00000000}"/>
  </bookViews>
  <sheets>
    <sheet name="数据表" sheetId="11" r:id="rId1"/>
    <sheet name="年度--&gt;" sheetId="10" r:id="rId2"/>
    <sheet name="SummaryYear" sheetId="2" r:id="rId3"/>
    <sheet name="AP Lead Sheet YEAR" sheetId="4" r:id="rId4"/>
    <sheet name="AP YEAR" sheetId="3" r:id="rId5"/>
  </sheets>
  <externalReferences>
    <externalReference r:id="rId6"/>
  </externalReferences>
  <definedNames>
    <definedName name="_xlnm._FilterDatabase" localSheetId="4" hidden="1">'AP YEAR'!$A$3:$HJ$140</definedName>
    <definedName name="_xlnm._FilterDatabase" localSheetId="2" hidden="1">SummaryYear!$A$1:$G$20</definedName>
    <definedName name="Print_Area_MI">#REF!</definedName>
    <definedName name="전">#REF!</definedName>
    <definedName name="주택사업본부">#REF!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1" l="1"/>
  <c r="B3" i="11"/>
  <c r="B2" i="11"/>
  <c r="M11" i="2"/>
  <c r="L11" i="2"/>
  <c r="K11" i="2"/>
  <c r="J11" i="2"/>
  <c r="I11" i="2"/>
  <c r="M10" i="2"/>
  <c r="L10" i="2"/>
  <c r="K10" i="2"/>
  <c r="J10" i="2"/>
  <c r="I10" i="2"/>
  <c r="M8" i="2"/>
  <c r="L8" i="2"/>
  <c r="K8" i="2"/>
  <c r="J8" i="2"/>
  <c r="I8" i="2"/>
  <c r="M7" i="2"/>
  <c r="L7" i="2"/>
  <c r="K7" i="2"/>
  <c r="J7" i="2"/>
  <c r="I7" i="2"/>
  <c r="M6" i="2"/>
  <c r="L6" i="2"/>
  <c r="K6" i="2"/>
  <c r="J6" i="2"/>
  <c r="I6" i="2"/>
  <c r="M5" i="2"/>
  <c r="L5" i="2"/>
  <c r="K5" i="2"/>
  <c r="J5" i="2"/>
  <c r="I5" i="2"/>
  <c r="M4" i="2"/>
  <c r="L4" i="2"/>
  <c r="K4" i="2"/>
  <c r="J4" i="2"/>
  <c r="I4" i="2"/>
  <c r="M3" i="2"/>
  <c r="L3" i="2"/>
  <c r="K3" i="2"/>
  <c r="J3" i="2"/>
  <c r="I3" i="2"/>
  <c r="M2" i="2"/>
  <c r="L2" i="2"/>
  <c r="K2" i="2"/>
  <c r="J2" i="2"/>
  <c r="I2" i="2"/>
  <c r="E17" i="2"/>
  <c r="E18" i="2"/>
  <c r="E19" i="2"/>
  <c r="E20" i="2"/>
  <c r="E16" i="2"/>
  <c r="F12" i="2"/>
  <c r="E12" i="2"/>
  <c r="D12" i="2"/>
  <c r="C12" i="2"/>
  <c r="F11" i="2"/>
  <c r="E11" i="2"/>
  <c r="D11" i="2"/>
  <c r="C11" i="2"/>
  <c r="F10" i="2"/>
  <c r="E10" i="2"/>
  <c r="D10" i="2"/>
  <c r="C10" i="2"/>
  <c r="F9" i="2"/>
  <c r="E9" i="2"/>
  <c r="D9" i="2"/>
  <c r="C9" i="2"/>
  <c r="F8" i="2"/>
  <c r="E8" i="2"/>
  <c r="D8" i="2"/>
  <c r="C8" i="2"/>
  <c r="F7" i="2"/>
  <c r="E7" i="2"/>
  <c r="D7" i="2"/>
  <c r="C7" i="2"/>
  <c r="F6" i="2"/>
  <c r="E6" i="2"/>
  <c r="D6" i="2"/>
  <c r="C6" i="2"/>
  <c r="F5" i="2"/>
  <c r="E5" i="2"/>
  <c r="D5" i="2"/>
  <c r="C5" i="2"/>
  <c r="F4" i="2"/>
  <c r="E4" i="2"/>
  <c r="D4" i="2"/>
  <c r="C4" i="2"/>
  <c r="F3" i="2"/>
  <c r="E3" i="2"/>
  <c r="D3" i="2"/>
  <c r="C3" i="2"/>
  <c r="F2" i="2"/>
  <c r="E2" i="2"/>
  <c r="D2" i="2"/>
  <c r="C2" i="2"/>
  <c r="EP140" i="3"/>
  <c r="EO140" i="3"/>
  <c r="EL140" i="3"/>
  <c r="EW140" i="3" s="1"/>
  <c r="EK140" i="3"/>
  <c r="EV140" i="3" s="1"/>
  <c r="EJ140" i="3"/>
  <c r="EU140" i="3" s="1"/>
  <c r="EF140" i="3"/>
  <c r="EE140" i="3"/>
  <c r="ED140" i="3"/>
  <c r="EC140" i="3"/>
  <c r="EY140" i="3" s="1"/>
  <c r="EA140" i="3"/>
  <c r="DZ140" i="3"/>
  <c r="DY140" i="3"/>
  <c r="DU140" i="3"/>
  <c r="EQ140" i="3" s="1"/>
  <c r="DT140" i="3"/>
  <c r="DV140" i="3" s="1"/>
  <c r="DX140" i="3" s="1"/>
  <c r="DS140" i="3"/>
  <c r="DR140" i="3"/>
  <c r="EZ140" i="3" s="1"/>
  <c r="DP140" i="3"/>
  <c r="DO140" i="3"/>
  <c r="DN140" i="3"/>
  <c r="DJ140" i="3"/>
  <c r="DI140" i="3"/>
  <c r="DH140" i="3"/>
  <c r="DG140" i="3"/>
  <c r="FA140" i="3" s="1"/>
  <c r="K140" i="3"/>
  <c r="J140" i="3"/>
  <c r="H140" i="3"/>
  <c r="B140" i="3"/>
  <c r="EZ139" i="3"/>
  <c r="EQ139" i="3"/>
  <c r="EP139" i="3"/>
  <c r="EO139" i="3"/>
  <c r="EL139" i="3"/>
  <c r="EW139" i="3" s="1"/>
  <c r="EK139" i="3"/>
  <c r="EJ139" i="3"/>
  <c r="EU139" i="3" s="1"/>
  <c r="EF139" i="3"/>
  <c r="EE139" i="3"/>
  <c r="ED139" i="3"/>
  <c r="EC139" i="3"/>
  <c r="EY139" i="3" s="1"/>
  <c r="EA139" i="3"/>
  <c r="DZ139" i="3"/>
  <c r="EV139" i="3" s="1"/>
  <c r="DY139" i="3"/>
  <c r="DX139" i="3"/>
  <c r="DW139" i="3"/>
  <c r="DV139" i="3"/>
  <c r="DU139" i="3"/>
  <c r="DT139" i="3"/>
  <c r="DS139" i="3"/>
  <c r="DR139" i="3"/>
  <c r="DP139" i="3"/>
  <c r="DO139" i="3"/>
  <c r="DN139" i="3"/>
  <c r="DJ139" i="3"/>
  <c r="DI139" i="3"/>
  <c r="DH139" i="3"/>
  <c r="DG139" i="3"/>
  <c r="K139" i="3"/>
  <c r="J139" i="3"/>
  <c r="H139" i="3"/>
  <c r="B139" i="3"/>
  <c r="EQ138" i="3"/>
  <c r="EP138" i="3"/>
  <c r="EL138" i="3"/>
  <c r="EW138" i="3" s="1"/>
  <c r="EK138" i="3"/>
  <c r="EV138" i="3" s="1"/>
  <c r="EJ138" i="3"/>
  <c r="EF138" i="3"/>
  <c r="EE138" i="3"/>
  <c r="ED138" i="3"/>
  <c r="EC138" i="3"/>
  <c r="EY138" i="3" s="1"/>
  <c r="EA138" i="3"/>
  <c r="DZ138" i="3"/>
  <c r="DY138" i="3"/>
  <c r="EU138" i="3" s="1"/>
  <c r="DX138" i="3"/>
  <c r="DW138" i="3"/>
  <c r="DV138" i="3"/>
  <c r="DU138" i="3"/>
  <c r="DT138" i="3"/>
  <c r="DS138" i="3"/>
  <c r="DR138" i="3"/>
  <c r="EZ138" i="3" s="1"/>
  <c r="DP138" i="3"/>
  <c r="DO138" i="3"/>
  <c r="DN138" i="3"/>
  <c r="DJ138" i="3"/>
  <c r="DI138" i="3"/>
  <c r="DH138" i="3"/>
  <c r="EO138" i="3" s="1"/>
  <c r="DG138" i="3"/>
  <c r="EN138" i="3" s="1"/>
  <c r="K138" i="3"/>
  <c r="J138" i="3"/>
  <c r="H138" i="3"/>
  <c r="B138" i="3"/>
  <c r="EZ137" i="3"/>
  <c r="EQ137" i="3"/>
  <c r="EL137" i="3"/>
  <c r="EW137" i="3" s="1"/>
  <c r="EK137" i="3"/>
  <c r="EJ137" i="3"/>
  <c r="EU137" i="3" s="1"/>
  <c r="EF137" i="3"/>
  <c r="EE137" i="3"/>
  <c r="ED137" i="3"/>
  <c r="EC137" i="3"/>
  <c r="EN137" i="3" s="1"/>
  <c r="EA137" i="3"/>
  <c r="DZ137" i="3"/>
  <c r="EV137" i="3" s="1"/>
  <c r="DY137" i="3"/>
  <c r="DU137" i="3"/>
  <c r="DT137" i="3"/>
  <c r="DS137" i="3"/>
  <c r="DR137" i="3"/>
  <c r="DV137" i="3" s="1"/>
  <c r="DP137" i="3"/>
  <c r="DO137" i="3"/>
  <c r="DN137" i="3"/>
  <c r="DJ137" i="3"/>
  <c r="DI137" i="3"/>
  <c r="EP137" i="3" s="1"/>
  <c r="ER137" i="3" s="1"/>
  <c r="DH137" i="3"/>
  <c r="EO137" i="3" s="1"/>
  <c r="DG137" i="3"/>
  <c r="FA137" i="3" s="1"/>
  <c r="K137" i="3"/>
  <c r="J137" i="3"/>
  <c r="H137" i="3"/>
  <c r="B137" i="3"/>
  <c r="EL136" i="3"/>
  <c r="EK136" i="3"/>
  <c r="EV136" i="3" s="1"/>
  <c r="EJ136" i="3"/>
  <c r="EU136" i="3" s="1"/>
  <c r="EF136" i="3"/>
  <c r="EE136" i="3"/>
  <c r="ED136" i="3"/>
  <c r="EC136" i="3"/>
  <c r="EN136" i="3" s="1"/>
  <c r="EA136" i="3"/>
  <c r="EW136" i="3" s="1"/>
  <c r="DZ136" i="3"/>
  <c r="DY136" i="3"/>
  <c r="DU136" i="3"/>
  <c r="DT136" i="3"/>
  <c r="DS136" i="3"/>
  <c r="DR136" i="3"/>
  <c r="DV136" i="3" s="1"/>
  <c r="DP136" i="3"/>
  <c r="DO136" i="3"/>
  <c r="DN136" i="3"/>
  <c r="DJ136" i="3"/>
  <c r="EQ136" i="3" s="1"/>
  <c r="DI136" i="3"/>
  <c r="EP136" i="3" s="1"/>
  <c r="DH136" i="3"/>
  <c r="EO136" i="3" s="1"/>
  <c r="DG136" i="3"/>
  <c r="FA136" i="3" s="1"/>
  <c r="K136" i="3"/>
  <c r="J136" i="3"/>
  <c r="H136" i="3"/>
  <c r="B136" i="3"/>
  <c r="EL135" i="3"/>
  <c r="EW135" i="3" s="1"/>
  <c r="EK135" i="3"/>
  <c r="EV135" i="3" s="1"/>
  <c r="EJ135" i="3"/>
  <c r="EF135" i="3"/>
  <c r="EE135" i="3"/>
  <c r="ED135" i="3"/>
  <c r="EC135" i="3"/>
  <c r="EA135" i="3"/>
  <c r="DZ135" i="3"/>
  <c r="DY135" i="3"/>
  <c r="EU135" i="3" s="1"/>
  <c r="DU135" i="3"/>
  <c r="DT135" i="3"/>
  <c r="DS135" i="3"/>
  <c r="DV135" i="3" s="1"/>
  <c r="DR135" i="3"/>
  <c r="EZ135" i="3" s="1"/>
  <c r="DP135" i="3"/>
  <c r="DO135" i="3"/>
  <c r="DN135" i="3"/>
  <c r="DK135" i="3"/>
  <c r="DJ135" i="3"/>
  <c r="EQ135" i="3" s="1"/>
  <c r="DI135" i="3"/>
  <c r="EP135" i="3" s="1"/>
  <c r="DH135" i="3"/>
  <c r="EO135" i="3" s="1"/>
  <c r="DG135" i="3"/>
  <c r="FA135" i="3" s="1"/>
  <c r="K135" i="3"/>
  <c r="J135" i="3"/>
  <c r="H135" i="3"/>
  <c r="B135" i="3"/>
  <c r="EU134" i="3"/>
  <c r="EL134" i="3"/>
  <c r="EW134" i="3" s="1"/>
  <c r="EK134" i="3"/>
  <c r="EJ134" i="3"/>
  <c r="EF134" i="3"/>
  <c r="EE134" i="3"/>
  <c r="ED134" i="3"/>
  <c r="EO134" i="3" s="1"/>
  <c r="EC134" i="3"/>
  <c r="EN134" i="3" s="1"/>
  <c r="EA134" i="3"/>
  <c r="DZ134" i="3"/>
  <c r="EV134" i="3" s="1"/>
  <c r="DY134" i="3"/>
  <c r="DX134" i="3"/>
  <c r="DW134" i="3"/>
  <c r="DV134" i="3"/>
  <c r="DU134" i="3"/>
  <c r="DT134" i="3"/>
  <c r="DS134" i="3"/>
  <c r="DR134" i="3"/>
  <c r="EZ134" i="3" s="1"/>
  <c r="DP134" i="3"/>
  <c r="DO134" i="3"/>
  <c r="DN134" i="3"/>
  <c r="DJ134" i="3"/>
  <c r="EQ134" i="3" s="1"/>
  <c r="DI134" i="3"/>
  <c r="EP134" i="3" s="1"/>
  <c r="DH134" i="3"/>
  <c r="DG134" i="3"/>
  <c r="FA134" i="3" s="1"/>
  <c r="K134" i="3"/>
  <c r="J134" i="3"/>
  <c r="H134" i="3"/>
  <c r="B134" i="3"/>
  <c r="EZ133" i="3"/>
  <c r="EV133" i="3"/>
  <c r="EU133" i="3"/>
  <c r="EL133" i="3"/>
  <c r="EK133" i="3"/>
  <c r="EJ133" i="3"/>
  <c r="EF133" i="3"/>
  <c r="EE133" i="3"/>
  <c r="EP133" i="3" s="1"/>
  <c r="ED133" i="3"/>
  <c r="EO133" i="3" s="1"/>
  <c r="EC133" i="3"/>
  <c r="EN133" i="3" s="1"/>
  <c r="EA133" i="3"/>
  <c r="EW133" i="3" s="1"/>
  <c r="DZ133" i="3"/>
  <c r="DY133" i="3"/>
  <c r="DU133" i="3"/>
  <c r="DV133" i="3" s="1"/>
  <c r="DT133" i="3"/>
  <c r="DS133" i="3"/>
  <c r="DR133" i="3"/>
  <c r="DP133" i="3"/>
  <c r="DO133" i="3"/>
  <c r="DN133" i="3"/>
  <c r="DM133" i="3"/>
  <c r="DK133" i="3"/>
  <c r="DJ133" i="3"/>
  <c r="EQ133" i="3" s="1"/>
  <c r="DI133" i="3"/>
  <c r="DH133" i="3"/>
  <c r="DG133" i="3"/>
  <c r="FA133" i="3" s="1"/>
  <c r="K133" i="3"/>
  <c r="J133" i="3"/>
  <c r="H133" i="3"/>
  <c r="B133" i="3"/>
  <c r="EW132" i="3"/>
  <c r="EV132" i="3"/>
  <c r="EL132" i="3"/>
  <c r="EK132" i="3"/>
  <c r="EJ132" i="3"/>
  <c r="EF132" i="3"/>
  <c r="EQ132" i="3" s="1"/>
  <c r="EE132" i="3"/>
  <c r="EP132" i="3" s="1"/>
  <c r="ED132" i="3"/>
  <c r="EO132" i="3" s="1"/>
  <c r="EC132" i="3"/>
  <c r="EN132" i="3" s="1"/>
  <c r="ER132" i="3" s="1"/>
  <c r="EA132" i="3"/>
  <c r="DZ132" i="3"/>
  <c r="DY132" i="3"/>
  <c r="DX132" i="3"/>
  <c r="DW132" i="3"/>
  <c r="DV132" i="3"/>
  <c r="DU132" i="3"/>
  <c r="DT132" i="3"/>
  <c r="DS132" i="3"/>
  <c r="DR132" i="3"/>
  <c r="EZ132" i="3" s="1"/>
  <c r="DP132" i="3"/>
  <c r="DO132" i="3"/>
  <c r="DN132" i="3"/>
  <c r="EU132" i="3" s="1"/>
  <c r="DM132" i="3"/>
  <c r="DL132" i="3"/>
  <c r="DK132" i="3"/>
  <c r="DJ132" i="3"/>
  <c r="DI132" i="3"/>
  <c r="DH132" i="3"/>
  <c r="DG132" i="3"/>
  <c r="FA132" i="3" s="1"/>
  <c r="K132" i="3"/>
  <c r="J132" i="3"/>
  <c r="H132" i="3"/>
  <c r="B132" i="3"/>
  <c r="EY131" i="3"/>
  <c r="EW131" i="3"/>
  <c r="EV131" i="3"/>
  <c r="EL131" i="3"/>
  <c r="EK131" i="3"/>
  <c r="EJ131" i="3"/>
  <c r="EG131" i="3"/>
  <c r="EF131" i="3"/>
  <c r="EQ131" i="3" s="1"/>
  <c r="EE131" i="3"/>
  <c r="EP131" i="3" s="1"/>
  <c r="ED131" i="3"/>
  <c r="EO131" i="3" s="1"/>
  <c r="EC131" i="3"/>
  <c r="EN131" i="3" s="1"/>
  <c r="EA131" i="3"/>
  <c r="DZ131" i="3"/>
  <c r="DY131" i="3"/>
  <c r="DU131" i="3"/>
  <c r="DT131" i="3"/>
  <c r="DS131" i="3"/>
  <c r="DR131" i="3"/>
  <c r="DV131" i="3" s="1"/>
  <c r="DP131" i="3"/>
  <c r="DO131" i="3"/>
  <c r="DN131" i="3"/>
  <c r="EU131" i="3" s="1"/>
  <c r="DM131" i="3"/>
  <c r="DL131" i="3"/>
  <c r="DK131" i="3"/>
  <c r="FC131" i="3" s="1"/>
  <c r="DJ131" i="3"/>
  <c r="DI131" i="3"/>
  <c r="DH131" i="3"/>
  <c r="DG131" i="3"/>
  <c r="FA131" i="3" s="1"/>
  <c r="K131" i="3"/>
  <c r="J131" i="3"/>
  <c r="H131" i="3"/>
  <c r="B131" i="3"/>
  <c r="EZ130" i="3"/>
  <c r="EY130" i="3"/>
  <c r="EV130" i="3"/>
  <c r="EL130" i="3"/>
  <c r="EK130" i="3"/>
  <c r="EJ130" i="3"/>
  <c r="EF130" i="3"/>
  <c r="EQ130" i="3" s="1"/>
  <c r="EE130" i="3"/>
  <c r="EP130" i="3" s="1"/>
  <c r="ED130" i="3"/>
  <c r="EO130" i="3" s="1"/>
  <c r="EC130" i="3"/>
  <c r="EN130" i="3" s="1"/>
  <c r="EA130" i="3"/>
  <c r="DZ130" i="3"/>
  <c r="DY130" i="3"/>
  <c r="DU130" i="3"/>
  <c r="DT130" i="3"/>
  <c r="DS130" i="3"/>
  <c r="DR130" i="3"/>
  <c r="DV130" i="3" s="1"/>
  <c r="DP130" i="3"/>
  <c r="EW130" i="3" s="1"/>
  <c r="DO130" i="3"/>
  <c r="DN130" i="3"/>
  <c r="EU130" i="3" s="1"/>
  <c r="DM130" i="3"/>
  <c r="DK130" i="3"/>
  <c r="DL130" i="3" s="1"/>
  <c r="DJ130" i="3"/>
  <c r="DI130" i="3"/>
  <c r="DH130" i="3"/>
  <c r="DG130" i="3"/>
  <c r="FA130" i="3" s="1"/>
  <c r="K130" i="3"/>
  <c r="J130" i="3"/>
  <c r="H130" i="3"/>
  <c r="B130" i="3"/>
  <c r="FA129" i="3"/>
  <c r="EY129" i="3"/>
  <c r="EW129" i="3"/>
  <c r="EL129" i="3"/>
  <c r="EK129" i="3"/>
  <c r="EJ129" i="3"/>
  <c r="EI129" i="3"/>
  <c r="EG129" i="3"/>
  <c r="EH129" i="3" s="1"/>
  <c r="EF129" i="3"/>
  <c r="EQ129" i="3" s="1"/>
  <c r="EE129" i="3"/>
  <c r="EP129" i="3" s="1"/>
  <c r="ED129" i="3"/>
  <c r="EO129" i="3" s="1"/>
  <c r="EC129" i="3"/>
  <c r="EN129" i="3" s="1"/>
  <c r="EA129" i="3"/>
  <c r="DZ129" i="3"/>
  <c r="DY129" i="3"/>
  <c r="DU129" i="3"/>
  <c r="DT129" i="3"/>
  <c r="DS129" i="3"/>
  <c r="DR129" i="3"/>
  <c r="DP129" i="3"/>
  <c r="DO129" i="3"/>
  <c r="EV129" i="3" s="1"/>
  <c r="DN129" i="3"/>
  <c r="EU129" i="3" s="1"/>
  <c r="DJ129" i="3"/>
  <c r="DK129" i="3" s="1"/>
  <c r="DI129" i="3"/>
  <c r="DH129" i="3"/>
  <c r="DG129" i="3"/>
  <c r="K129" i="3"/>
  <c r="J129" i="3"/>
  <c r="H129" i="3"/>
  <c r="B129" i="3"/>
  <c r="FB128" i="3"/>
  <c r="FA128" i="3"/>
  <c r="EZ128" i="3"/>
  <c r="EY128" i="3"/>
  <c r="EL128" i="3"/>
  <c r="EK128" i="3"/>
  <c r="EJ128" i="3"/>
  <c r="EU128" i="3" s="1"/>
  <c r="EH128" i="3"/>
  <c r="EG128" i="3"/>
  <c r="EI128" i="3" s="1"/>
  <c r="EF128" i="3"/>
  <c r="EQ128" i="3" s="1"/>
  <c r="EE128" i="3"/>
  <c r="EP128" i="3" s="1"/>
  <c r="ED128" i="3"/>
  <c r="EC128" i="3"/>
  <c r="EN128" i="3" s="1"/>
  <c r="EA128" i="3"/>
  <c r="DZ128" i="3"/>
  <c r="DY128" i="3"/>
  <c r="DU128" i="3"/>
  <c r="DT128" i="3"/>
  <c r="DS128" i="3"/>
  <c r="DR128" i="3"/>
  <c r="DV128" i="3" s="1"/>
  <c r="DP128" i="3"/>
  <c r="EW128" i="3" s="1"/>
  <c r="DO128" i="3"/>
  <c r="EV128" i="3" s="1"/>
  <c r="DN128" i="3"/>
  <c r="DM128" i="3"/>
  <c r="DK128" i="3"/>
  <c r="DL128" i="3" s="1"/>
  <c r="DJ128" i="3"/>
  <c r="DI128" i="3"/>
  <c r="DH128" i="3"/>
  <c r="DG128" i="3"/>
  <c r="K128" i="3"/>
  <c r="J128" i="3"/>
  <c r="H128" i="3"/>
  <c r="B128" i="3"/>
  <c r="FA127" i="3"/>
  <c r="EY127" i="3"/>
  <c r="EL127" i="3"/>
  <c r="EK127" i="3"/>
  <c r="EV127" i="3" s="1"/>
  <c r="EJ127" i="3"/>
  <c r="EU127" i="3" s="1"/>
  <c r="EF127" i="3"/>
  <c r="EQ127" i="3" s="1"/>
  <c r="EE127" i="3"/>
  <c r="EP127" i="3" s="1"/>
  <c r="ED127" i="3"/>
  <c r="EG127" i="3" s="1"/>
  <c r="EC127" i="3"/>
  <c r="EN127" i="3" s="1"/>
  <c r="EA127" i="3"/>
  <c r="DZ127" i="3"/>
  <c r="DY127" i="3"/>
  <c r="DU127" i="3"/>
  <c r="DT127" i="3"/>
  <c r="DS127" i="3"/>
  <c r="DR127" i="3"/>
  <c r="EZ127" i="3" s="1"/>
  <c r="FB127" i="3" s="1"/>
  <c r="DP127" i="3"/>
  <c r="EW127" i="3" s="1"/>
  <c r="DO127" i="3"/>
  <c r="DN127" i="3"/>
  <c r="DJ127" i="3"/>
  <c r="DI127" i="3"/>
  <c r="DH127" i="3"/>
  <c r="DK127" i="3" s="1"/>
  <c r="DG127" i="3"/>
  <c r="K127" i="3"/>
  <c r="J127" i="3"/>
  <c r="H127" i="3"/>
  <c r="B127" i="3"/>
  <c r="FA126" i="3"/>
  <c r="EY126" i="3"/>
  <c r="EL126" i="3"/>
  <c r="EW126" i="3" s="1"/>
  <c r="EK126" i="3"/>
  <c r="EV126" i="3" s="1"/>
  <c r="EJ126" i="3"/>
  <c r="EU126" i="3" s="1"/>
  <c r="EI126" i="3"/>
  <c r="EG126" i="3"/>
  <c r="EH126" i="3" s="1"/>
  <c r="EF126" i="3"/>
  <c r="EQ126" i="3" s="1"/>
  <c r="EE126" i="3"/>
  <c r="EP126" i="3" s="1"/>
  <c r="ED126" i="3"/>
  <c r="EC126" i="3"/>
  <c r="EN126" i="3" s="1"/>
  <c r="ER126" i="3" s="1"/>
  <c r="EA126" i="3"/>
  <c r="DZ126" i="3"/>
  <c r="DY126" i="3"/>
  <c r="DU126" i="3"/>
  <c r="DT126" i="3"/>
  <c r="DS126" i="3"/>
  <c r="EO126" i="3" s="1"/>
  <c r="DR126" i="3"/>
  <c r="EZ126" i="3" s="1"/>
  <c r="FB126" i="3" s="1"/>
  <c r="DP126" i="3"/>
  <c r="DO126" i="3"/>
  <c r="DN126" i="3"/>
  <c r="DM126" i="3"/>
  <c r="DK126" i="3"/>
  <c r="DL126" i="3" s="1"/>
  <c r="DJ126" i="3"/>
  <c r="DI126" i="3"/>
  <c r="DH126" i="3"/>
  <c r="DG126" i="3"/>
  <c r="K126" i="3"/>
  <c r="J126" i="3"/>
  <c r="H126" i="3"/>
  <c r="B126" i="3"/>
  <c r="FB125" i="3"/>
  <c r="FA125" i="3"/>
  <c r="EZ125" i="3"/>
  <c r="EY125" i="3"/>
  <c r="EN125" i="3"/>
  <c r="EL125" i="3"/>
  <c r="EW125" i="3" s="1"/>
  <c r="EK125" i="3"/>
  <c r="EV125" i="3" s="1"/>
  <c r="EJ125" i="3"/>
  <c r="EU125" i="3" s="1"/>
  <c r="EF125" i="3"/>
  <c r="EG125" i="3" s="1"/>
  <c r="EE125" i="3"/>
  <c r="ED125" i="3"/>
  <c r="EO125" i="3" s="1"/>
  <c r="EC125" i="3"/>
  <c r="EA125" i="3"/>
  <c r="DZ125" i="3"/>
  <c r="DY125" i="3"/>
  <c r="DV125" i="3"/>
  <c r="DU125" i="3"/>
  <c r="DT125" i="3"/>
  <c r="EP125" i="3" s="1"/>
  <c r="DS125" i="3"/>
  <c r="DR125" i="3"/>
  <c r="DP125" i="3"/>
  <c r="DO125" i="3"/>
  <c r="DN125" i="3"/>
  <c r="DJ125" i="3"/>
  <c r="DI125" i="3"/>
  <c r="DH125" i="3"/>
  <c r="DG125" i="3"/>
  <c r="DK125" i="3" s="1"/>
  <c r="K125" i="3"/>
  <c r="J125" i="3"/>
  <c r="H125" i="3"/>
  <c r="B125" i="3"/>
  <c r="FA124" i="3"/>
  <c r="EY124" i="3"/>
  <c r="FB124" i="3" s="1"/>
  <c r="EO124" i="3"/>
  <c r="EN124" i="3"/>
  <c r="EL124" i="3"/>
  <c r="EW124" i="3" s="1"/>
  <c r="EK124" i="3"/>
  <c r="EV124" i="3" s="1"/>
  <c r="EJ124" i="3"/>
  <c r="EU124" i="3" s="1"/>
  <c r="EG124" i="3"/>
  <c r="EI124" i="3" s="1"/>
  <c r="EF124" i="3"/>
  <c r="EE124" i="3"/>
  <c r="ED124" i="3"/>
  <c r="EC124" i="3"/>
  <c r="EA124" i="3"/>
  <c r="DZ124" i="3"/>
  <c r="DY124" i="3"/>
  <c r="DU124" i="3"/>
  <c r="EQ124" i="3" s="1"/>
  <c r="DT124" i="3"/>
  <c r="EP124" i="3" s="1"/>
  <c r="DS124" i="3"/>
  <c r="DR124" i="3"/>
  <c r="EZ124" i="3" s="1"/>
  <c r="DP124" i="3"/>
  <c r="DO124" i="3"/>
  <c r="DN124" i="3"/>
  <c r="DJ124" i="3"/>
  <c r="DI124" i="3"/>
  <c r="DH124" i="3"/>
  <c r="DG124" i="3"/>
  <c r="DK124" i="3" s="1"/>
  <c r="K124" i="3"/>
  <c r="J124" i="3"/>
  <c r="H124" i="3"/>
  <c r="B124" i="3"/>
  <c r="EZ123" i="3"/>
  <c r="EY123" i="3"/>
  <c r="EP123" i="3"/>
  <c r="EO123" i="3"/>
  <c r="EL123" i="3"/>
  <c r="EW123" i="3" s="1"/>
  <c r="EK123" i="3"/>
  <c r="EV123" i="3" s="1"/>
  <c r="EJ123" i="3"/>
  <c r="EU123" i="3" s="1"/>
  <c r="EF123" i="3"/>
  <c r="EE123" i="3"/>
  <c r="ED123" i="3"/>
  <c r="EG123" i="3" s="1"/>
  <c r="EC123" i="3"/>
  <c r="EA123" i="3"/>
  <c r="DZ123" i="3"/>
  <c r="DY123" i="3"/>
  <c r="DX123" i="3"/>
  <c r="DV123" i="3"/>
  <c r="DW123" i="3" s="1"/>
  <c r="DU123" i="3"/>
  <c r="EQ123" i="3" s="1"/>
  <c r="DT123" i="3"/>
  <c r="DS123" i="3"/>
  <c r="DR123" i="3"/>
  <c r="DP123" i="3"/>
  <c r="DO123" i="3"/>
  <c r="DN123" i="3"/>
  <c r="DJ123" i="3"/>
  <c r="DI123" i="3"/>
  <c r="DH123" i="3"/>
  <c r="DG123" i="3"/>
  <c r="K123" i="3"/>
  <c r="J123" i="3"/>
  <c r="H123" i="3"/>
  <c r="B123" i="3"/>
  <c r="EY122" i="3"/>
  <c r="EQ122" i="3"/>
  <c r="EP122" i="3"/>
  <c r="EL122" i="3"/>
  <c r="EW122" i="3" s="1"/>
  <c r="EK122" i="3"/>
  <c r="EV122" i="3" s="1"/>
  <c r="EJ122" i="3"/>
  <c r="EI122" i="3"/>
  <c r="EG122" i="3"/>
  <c r="EH122" i="3" s="1"/>
  <c r="EF122" i="3"/>
  <c r="EE122" i="3"/>
  <c r="ED122" i="3"/>
  <c r="EC122" i="3"/>
  <c r="EA122" i="3"/>
  <c r="DZ122" i="3"/>
  <c r="DY122" i="3"/>
  <c r="DX122" i="3"/>
  <c r="DW122" i="3"/>
  <c r="DV122" i="3"/>
  <c r="DU122" i="3"/>
  <c r="DT122" i="3"/>
  <c r="DS122" i="3"/>
  <c r="DR122" i="3"/>
  <c r="EZ122" i="3" s="1"/>
  <c r="DP122" i="3"/>
  <c r="DO122" i="3"/>
  <c r="DN122" i="3"/>
  <c r="DJ122" i="3"/>
  <c r="DI122" i="3"/>
  <c r="DH122" i="3"/>
  <c r="EO122" i="3" s="1"/>
  <c r="DG122" i="3"/>
  <c r="EN122" i="3" s="1"/>
  <c r="K122" i="3"/>
  <c r="J122" i="3"/>
  <c r="H122" i="3"/>
  <c r="B122" i="3"/>
  <c r="EZ121" i="3"/>
  <c r="EQ121" i="3"/>
  <c r="EO121" i="3"/>
  <c r="EL121" i="3"/>
  <c r="EW121" i="3" s="1"/>
  <c r="EK121" i="3"/>
  <c r="EJ121" i="3"/>
  <c r="EU121" i="3" s="1"/>
  <c r="EF121" i="3"/>
  <c r="EE121" i="3"/>
  <c r="ED121" i="3"/>
  <c r="EC121" i="3"/>
  <c r="EY121" i="3" s="1"/>
  <c r="EA121" i="3"/>
  <c r="DZ121" i="3"/>
  <c r="DY121" i="3"/>
  <c r="DU121" i="3"/>
  <c r="DT121" i="3"/>
  <c r="DS121" i="3"/>
  <c r="DV121" i="3" s="1"/>
  <c r="DR121" i="3"/>
  <c r="DP121" i="3"/>
  <c r="DO121" i="3"/>
  <c r="DN121" i="3"/>
  <c r="DJ121" i="3"/>
  <c r="DI121" i="3"/>
  <c r="EP121" i="3" s="1"/>
  <c r="DH121" i="3"/>
  <c r="DG121" i="3"/>
  <c r="EN121" i="3" s="1"/>
  <c r="ER121" i="3" s="1"/>
  <c r="K121" i="3"/>
  <c r="J121" i="3"/>
  <c r="H121" i="3"/>
  <c r="B121" i="3"/>
  <c r="EP120" i="3"/>
  <c r="EL120" i="3"/>
  <c r="EW120" i="3" s="1"/>
  <c r="EK120" i="3"/>
  <c r="EV120" i="3" s="1"/>
  <c r="EJ120" i="3"/>
  <c r="EF120" i="3"/>
  <c r="EE120" i="3"/>
  <c r="ED120" i="3"/>
  <c r="EC120" i="3"/>
  <c r="EY120" i="3" s="1"/>
  <c r="EA120" i="3"/>
  <c r="DZ120" i="3"/>
  <c r="DY120" i="3"/>
  <c r="EU120" i="3" s="1"/>
  <c r="DU120" i="3"/>
  <c r="DT120" i="3"/>
  <c r="DV120" i="3" s="1"/>
  <c r="DS120" i="3"/>
  <c r="DR120" i="3"/>
  <c r="EZ120" i="3" s="1"/>
  <c r="DP120" i="3"/>
  <c r="DO120" i="3"/>
  <c r="DN120" i="3"/>
  <c r="DJ120" i="3"/>
  <c r="EQ120" i="3" s="1"/>
  <c r="DI120" i="3"/>
  <c r="DH120" i="3"/>
  <c r="EO120" i="3" s="1"/>
  <c r="DG120" i="3"/>
  <c r="EN120" i="3" s="1"/>
  <c r="K120" i="3"/>
  <c r="J120" i="3"/>
  <c r="H120" i="3"/>
  <c r="B120" i="3"/>
  <c r="EQ119" i="3"/>
  <c r="EL119" i="3"/>
  <c r="EW119" i="3" s="1"/>
  <c r="EK119" i="3"/>
  <c r="EJ119" i="3"/>
  <c r="EF119" i="3"/>
  <c r="EE119" i="3"/>
  <c r="ED119" i="3"/>
  <c r="EC119" i="3"/>
  <c r="EA119" i="3"/>
  <c r="DZ119" i="3"/>
  <c r="EV119" i="3" s="1"/>
  <c r="DY119" i="3"/>
  <c r="EU119" i="3" s="1"/>
  <c r="DU119" i="3"/>
  <c r="DT119" i="3"/>
  <c r="DS119" i="3"/>
  <c r="DV119" i="3" s="1"/>
  <c r="DR119" i="3"/>
  <c r="EZ119" i="3" s="1"/>
  <c r="DP119" i="3"/>
  <c r="DO119" i="3"/>
  <c r="DN119" i="3"/>
  <c r="DK119" i="3"/>
  <c r="DJ119" i="3"/>
  <c r="DI119" i="3"/>
  <c r="EP119" i="3" s="1"/>
  <c r="DH119" i="3"/>
  <c r="EO119" i="3" s="1"/>
  <c r="DG119" i="3"/>
  <c r="FA119" i="3" s="1"/>
  <c r="K119" i="3"/>
  <c r="J119" i="3"/>
  <c r="H119" i="3"/>
  <c r="B119" i="3"/>
  <c r="EU118" i="3"/>
  <c r="EL118" i="3"/>
  <c r="EK118" i="3"/>
  <c r="EV118" i="3" s="1"/>
  <c r="EJ118" i="3"/>
  <c r="EF118" i="3"/>
  <c r="EE118" i="3"/>
  <c r="ED118" i="3"/>
  <c r="EO118" i="3" s="1"/>
  <c r="EC118" i="3"/>
  <c r="EN118" i="3" s="1"/>
  <c r="EA118" i="3"/>
  <c r="EW118" i="3" s="1"/>
  <c r="DZ118" i="3"/>
  <c r="DY118" i="3"/>
  <c r="DX118" i="3"/>
  <c r="DV118" i="3"/>
  <c r="DW118" i="3" s="1"/>
  <c r="DU118" i="3"/>
  <c r="DT118" i="3"/>
  <c r="DS118" i="3"/>
  <c r="DR118" i="3"/>
  <c r="EZ118" i="3" s="1"/>
  <c r="DP118" i="3"/>
  <c r="DO118" i="3"/>
  <c r="DN118" i="3"/>
  <c r="DJ118" i="3"/>
  <c r="EQ118" i="3" s="1"/>
  <c r="DI118" i="3"/>
  <c r="EP118" i="3" s="1"/>
  <c r="DH118" i="3"/>
  <c r="DG118" i="3"/>
  <c r="FA118" i="3" s="1"/>
  <c r="K118" i="3"/>
  <c r="J118" i="3"/>
  <c r="H118" i="3"/>
  <c r="B118" i="3"/>
  <c r="EZ117" i="3"/>
  <c r="EV117" i="3"/>
  <c r="EU117" i="3"/>
  <c r="EL117" i="3"/>
  <c r="EW117" i="3" s="1"/>
  <c r="EK117" i="3"/>
  <c r="EJ117" i="3"/>
  <c r="EF117" i="3"/>
  <c r="EE117" i="3"/>
  <c r="EP117" i="3" s="1"/>
  <c r="ED117" i="3"/>
  <c r="EO117" i="3" s="1"/>
  <c r="EC117" i="3"/>
  <c r="EN117" i="3" s="1"/>
  <c r="EA117" i="3"/>
  <c r="DZ117" i="3"/>
  <c r="DY117" i="3"/>
  <c r="DU117" i="3"/>
  <c r="DT117" i="3"/>
  <c r="DV117" i="3" s="1"/>
  <c r="DS117" i="3"/>
  <c r="DR117" i="3"/>
  <c r="DP117" i="3"/>
  <c r="DO117" i="3"/>
  <c r="DN117" i="3"/>
  <c r="DJ117" i="3"/>
  <c r="EQ117" i="3" s="1"/>
  <c r="DI117" i="3"/>
  <c r="DH117" i="3"/>
  <c r="DG117" i="3"/>
  <c r="FA117" i="3" s="1"/>
  <c r="K117" i="3"/>
  <c r="J117" i="3"/>
  <c r="H117" i="3"/>
  <c r="B117" i="3"/>
  <c r="EZ116" i="3"/>
  <c r="EW116" i="3"/>
  <c r="EV116" i="3"/>
  <c r="EL116" i="3"/>
  <c r="EK116" i="3"/>
  <c r="EJ116" i="3"/>
  <c r="EI116" i="3"/>
  <c r="EH116" i="3"/>
  <c r="EG116" i="3"/>
  <c r="EF116" i="3"/>
  <c r="EQ116" i="3" s="1"/>
  <c r="EE116" i="3"/>
  <c r="EP116" i="3" s="1"/>
  <c r="ED116" i="3"/>
  <c r="EO116" i="3" s="1"/>
  <c r="EC116" i="3"/>
  <c r="EN116" i="3" s="1"/>
  <c r="EA116" i="3"/>
  <c r="DZ116" i="3"/>
  <c r="DY116" i="3"/>
  <c r="DX116" i="3"/>
  <c r="DW116" i="3"/>
  <c r="DV116" i="3"/>
  <c r="DU116" i="3"/>
  <c r="DT116" i="3"/>
  <c r="DS116" i="3"/>
  <c r="DR116" i="3"/>
  <c r="DP116" i="3"/>
  <c r="DO116" i="3"/>
  <c r="DN116" i="3"/>
  <c r="EU116" i="3" s="1"/>
  <c r="DK116" i="3"/>
  <c r="FC116" i="3" s="1"/>
  <c r="DJ116" i="3"/>
  <c r="DI116" i="3"/>
  <c r="DH116" i="3"/>
  <c r="DG116" i="3"/>
  <c r="FA116" i="3" s="1"/>
  <c r="K116" i="3"/>
  <c r="J116" i="3"/>
  <c r="H116" i="3"/>
  <c r="B116" i="3"/>
  <c r="EY115" i="3"/>
  <c r="EW115" i="3"/>
  <c r="EU115" i="3"/>
  <c r="EL115" i="3"/>
  <c r="EK115" i="3"/>
  <c r="EJ115" i="3"/>
  <c r="EG115" i="3"/>
  <c r="EF115" i="3"/>
  <c r="EQ115" i="3" s="1"/>
  <c r="EE115" i="3"/>
  <c r="EP115" i="3" s="1"/>
  <c r="ED115" i="3"/>
  <c r="EO115" i="3" s="1"/>
  <c r="EC115" i="3"/>
  <c r="EN115" i="3" s="1"/>
  <c r="EA115" i="3"/>
  <c r="DZ115" i="3"/>
  <c r="DY115" i="3"/>
  <c r="DU115" i="3"/>
  <c r="DT115" i="3"/>
  <c r="DS115" i="3"/>
  <c r="DR115" i="3"/>
  <c r="DV115" i="3" s="1"/>
  <c r="DP115" i="3"/>
  <c r="DO115" i="3"/>
  <c r="EV115" i="3" s="1"/>
  <c r="DN115" i="3"/>
  <c r="DJ115" i="3"/>
  <c r="DI115" i="3"/>
  <c r="DH115" i="3"/>
  <c r="DK115" i="3" s="1"/>
  <c r="DG115" i="3"/>
  <c r="FA115" i="3" s="1"/>
  <c r="K115" i="3"/>
  <c r="J115" i="3"/>
  <c r="H115" i="3"/>
  <c r="B115" i="3"/>
  <c r="EZ114" i="3"/>
  <c r="EY114" i="3"/>
  <c r="FB114" i="3" s="1"/>
  <c r="EW114" i="3"/>
  <c r="EV114" i="3"/>
  <c r="EL114" i="3"/>
  <c r="EK114" i="3"/>
  <c r="EJ114" i="3"/>
  <c r="EF114" i="3"/>
  <c r="EQ114" i="3" s="1"/>
  <c r="EE114" i="3"/>
  <c r="EP114" i="3" s="1"/>
  <c r="ED114" i="3"/>
  <c r="EO114" i="3" s="1"/>
  <c r="EC114" i="3"/>
  <c r="EN114" i="3" s="1"/>
  <c r="EA114" i="3"/>
  <c r="DZ114" i="3"/>
  <c r="DY114" i="3"/>
  <c r="DU114" i="3"/>
  <c r="DT114" i="3"/>
  <c r="DS114" i="3"/>
  <c r="DR114" i="3"/>
  <c r="DV114" i="3" s="1"/>
  <c r="DP114" i="3"/>
  <c r="DO114" i="3"/>
  <c r="DN114" i="3"/>
  <c r="EU114" i="3" s="1"/>
  <c r="DJ114" i="3"/>
  <c r="DI114" i="3"/>
  <c r="DK114" i="3" s="1"/>
  <c r="DH114" i="3"/>
  <c r="DG114" i="3"/>
  <c r="FA114" i="3" s="1"/>
  <c r="K114" i="3"/>
  <c r="J114" i="3"/>
  <c r="H114" i="3"/>
  <c r="B114" i="3"/>
  <c r="FA113" i="3"/>
  <c r="EY113" i="3"/>
  <c r="EW113" i="3"/>
  <c r="EL113" i="3"/>
  <c r="EK113" i="3"/>
  <c r="EJ113" i="3"/>
  <c r="EF113" i="3"/>
  <c r="EQ113" i="3" s="1"/>
  <c r="EE113" i="3"/>
  <c r="EP113" i="3" s="1"/>
  <c r="ED113" i="3"/>
  <c r="EO113" i="3" s="1"/>
  <c r="EC113" i="3"/>
  <c r="EA113" i="3"/>
  <c r="DZ113" i="3"/>
  <c r="DY113" i="3"/>
  <c r="DU113" i="3"/>
  <c r="DT113" i="3"/>
  <c r="DS113" i="3"/>
  <c r="DR113" i="3"/>
  <c r="DP113" i="3"/>
  <c r="DO113" i="3"/>
  <c r="EV113" i="3" s="1"/>
  <c r="DN113" i="3"/>
  <c r="EU113" i="3" s="1"/>
  <c r="DJ113" i="3"/>
  <c r="DK113" i="3" s="1"/>
  <c r="DI113" i="3"/>
  <c r="DH113" i="3"/>
  <c r="DG113" i="3"/>
  <c r="K113" i="3"/>
  <c r="J113" i="3"/>
  <c r="H113" i="3"/>
  <c r="B113" i="3"/>
  <c r="FB112" i="3"/>
  <c r="FA112" i="3"/>
  <c r="EZ112" i="3"/>
  <c r="EY112" i="3"/>
  <c r="EL112" i="3"/>
  <c r="EK112" i="3"/>
  <c r="EJ112" i="3"/>
  <c r="EU112" i="3" s="1"/>
  <c r="EG112" i="3"/>
  <c r="EI112" i="3" s="1"/>
  <c r="EF112" i="3"/>
  <c r="EQ112" i="3" s="1"/>
  <c r="EE112" i="3"/>
  <c r="EP112" i="3" s="1"/>
  <c r="ED112" i="3"/>
  <c r="EC112" i="3"/>
  <c r="EN112" i="3" s="1"/>
  <c r="EA112" i="3"/>
  <c r="DZ112" i="3"/>
  <c r="DY112" i="3"/>
  <c r="DU112" i="3"/>
  <c r="DT112" i="3"/>
  <c r="DS112" i="3"/>
  <c r="DR112" i="3"/>
  <c r="DP112" i="3"/>
  <c r="EW112" i="3" s="1"/>
  <c r="DO112" i="3"/>
  <c r="EV112" i="3" s="1"/>
  <c r="DN112" i="3"/>
  <c r="DK112" i="3"/>
  <c r="DM112" i="3" s="1"/>
  <c r="DJ112" i="3"/>
  <c r="DI112" i="3"/>
  <c r="DH112" i="3"/>
  <c r="DG112" i="3"/>
  <c r="K112" i="3"/>
  <c r="J112" i="3"/>
  <c r="H112" i="3"/>
  <c r="B112" i="3"/>
  <c r="FA111" i="3"/>
  <c r="EZ111" i="3"/>
  <c r="FB111" i="3" s="1"/>
  <c r="EY111" i="3"/>
  <c r="EW111" i="3"/>
  <c r="EL111" i="3"/>
  <c r="EK111" i="3"/>
  <c r="EV111" i="3" s="1"/>
  <c r="EJ111" i="3"/>
  <c r="EU111" i="3" s="1"/>
  <c r="EF111" i="3"/>
  <c r="EQ111" i="3" s="1"/>
  <c r="EE111" i="3"/>
  <c r="ED111" i="3"/>
  <c r="EG111" i="3" s="1"/>
  <c r="EC111" i="3"/>
  <c r="EN111" i="3" s="1"/>
  <c r="EA111" i="3"/>
  <c r="DZ111" i="3"/>
  <c r="DY111" i="3"/>
  <c r="DU111" i="3"/>
  <c r="DT111" i="3"/>
  <c r="DS111" i="3"/>
  <c r="DR111" i="3"/>
  <c r="DV111" i="3" s="1"/>
  <c r="DP111" i="3"/>
  <c r="DO111" i="3"/>
  <c r="DN111" i="3"/>
  <c r="DJ111" i="3"/>
  <c r="DI111" i="3"/>
  <c r="DH111" i="3"/>
  <c r="DG111" i="3"/>
  <c r="DK111" i="3" s="1"/>
  <c r="K111" i="3"/>
  <c r="J111" i="3"/>
  <c r="H111" i="3"/>
  <c r="B111" i="3"/>
  <c r="FA110" i="3"/>
  <c r="EY110" i="3"/>
  <c r="EL110" i="3"/>
  <c r="EW110" i="3" s="1"/>
  <c r="EK110" i="3"/>
  <c r="EV110" i="3" s="1"/>
  <c r="EJ110" i="3"/>
  <c r="EU110" i="3" s="1"/>
  <c r="EF110" i="3"/>
  <c r="EE110" i="3"/>
  <c r="EG110" i="3" s="1"/>
  <c r="ED110" i="3"/>
  <c r="EC110" i="3"/>
  <c r="EN110" i="3" s="1"/>
  <c r="EA110" i="3"/>
  <c r="DZ110" i="3"/>
  <c r="DY110" i="3"/>
  <c r="DU110" i="3"/>
  <c r="DT110" i="3"/>
  <c r="DS110" i="3"/>
  <c r="EO110" i="3" s="1"/>
  <c r="DR110" i="3"/>
  <c r="EZ110" i="3" s="1"/>
  <c r="FB110" i="3" s="1"/>
  <c r="DP110" i="3"/>
  <c r="DO110" i="3"/>
  <c r="DN110" i="3"/>
  <c r="DM110" i="3"/>
  <c r="DK110" i="3"/>
  <c r="DL110" i="3" s="1"/>
  <c r="DJ110" i="3"/>
  <c r="DI110" i="3"/>
  <c r="DH110" i="3"/>
  <c r="DG110" i="3"/>
  <c r="K110" i="3"/>
  <c r="J110" i="3"/>
  <c r="H110" i="3"/>
  <c r="B110" i="3"/>
  <c r="FB109" i="3"/>
  <c r="FA109" i="3"/>
  <c r="EZ109" i="3"/>
  <c r="EY109" i="3"/>
  <c r="EW109" i="3"/>
  <c r="EN109" i="3"/>
  <c r="EL109" i="3"/>
  <c r="EK109" i="3"/>
  <c r="EV109" i="3" s="1"/>
  <c r="EJ109" i="3"/>
  <c r="EU109" i="3" s="1"/>
  <c r="EF109" i="3"/>
  <c r="EQ109" i="3" s="1"/>
  <c r="EE109" i="3"/>
  <c r="ED109" i="3"/>
  <c r="EG109" i="3" s="1"/>
  <c r="EC109" i="3"/>
  <c r="EA109" i="3"/>
  <c r="DZ109" i="3"/>
  <c r="DY109" i="3"/>
  <c r="DV109" i="3"/>
  <c r="DU109" i="3"/>
  <c r="DT109" i="3"/>
  <c r="EP109" i="3" s="1"/>
  <c r="DS109" i="3"/>
  <c r="DR109" i="3"/>
  <c r="DP109" i="3"/>
  <c r="DO109" i="3"/>
  <c r="DN109" i="3"/>
  <c r="DJ109" i="3"/>
  <c r="DI109" i="3"/>
  <c r="DH109" i="3"/>
  <c r="DG109" i="3"/>
  <c r="DK109" i="3" s="1"/>
  <c r="K109" i="3"/>
  <c r="J109" i="3"/>
  <c r="H109" i="3"/>
  <c r="B109" i="3"/>
  <c r="FA108" i="3"/>
  <c r="EY108" i="3"/>
  <c r="FB108" i="3" s="1"/>
  <c r="EO108" i="3"/>
  <c r="EN108" i="3"/>
  <c r="EL108" i="3"/>
  <c r="EW108" i="3" s="1"/>
  <c r="EK108" i="3"/>
  <c r="EV108" i="3" s="1"/>
  <c r="EJ108" i="3"/>
  <c r="EU108" i="3" s="1"/>
  <c r="EG108" i="3"/>
  <c r="EI108" i="3" s="1"/>
  <c r="EF108" i="3"/>
  <c r="EE108" i="3"/>
  <c r="ED108" i="3"/>
  <c r="EC108" i="3"/>
  <c r="EA108" i="3"/>
  <c r="DZ108" i="3"/>
  <c r="DY108" i="3"/>
  <c r="DU108" i="3"/>
  <c r="EQ108" i="3" s="1"/>
  <c r="DT108" i="3"/>
  <c r="EP108" i="3" s="1"/>
  <c r="DS108" i="3"/>
  <c r="DR108" i="3"/>
  <c r="EZ108" i="3" s="1"/>
  <c r="DP108" i="3"/>
  <c r="DO108" i="3"/>
  <c r="DN108" i="3"/>
  <c r="DJ108" i="3"/>
  <c r="DI108" i="3"/>
  <c r="DH108" i="3"/>
  <c r="DG108" i="3"/>
  <c r="DK108" i="3" s="1"/>
  <c r="K108" i="3"/>
  <c r="J108" i="3"/>
  <c r="H108" i="3"/>
  <c r="B108" i="3"/>
  <c r="EZ107" i="3"/>
  <c r="EP107" i="3"/>
  <c r="EO107" i="3"/>
  <c r="EL107" i="3"/>
  <c r="EW107" i="3" s="1"/>
  <c r="EK107" i="3"/>
  <c r="EV107" i="3" s="1"/>
  <c r="EJ107" i="3"/>
  <c r="EU107" i="3" s="1"/>
  <c r="EF107" i="3"/>
  <c r="EE107" i="3"/>
  <c r="ED107" i="3"/>
  <c r="EC107" i="3"/>
  <c r="EY107" i="3" s="1"/>
  <c r="EA107" i="3"/>
  <c r="DZ107" i="3"/>
  <c r="DY107" i="3"/>
  <c r="DU107" i="3"/>
  <c r="DV107" i="3" s="1"/>
  <c r="DT107" i="3"/>
  <c r="DS107" i="3"/>
  <c r="DR107" i="3"/>
  <c r="DP107" i="3"/>
  <c r="DO107" i="3"/>
  <c r="DN107" i="3"/>
  <c r="DJ107" i="3"/>
  <c r="DI107" i="3"/>
  <c r="DH107" i="3"/>
  <c r="DG107" i="3"/>
  <c r="K107" i="3"/>
  <c r="J107" i="3"/>
  <c r="H107" i="3"/>
  <c r="B107" i="3"/>
  <c r="EY106" i="3"/>
  <c r="FB106" i="3" s="1"/>
  <c r="EQ106" i="3"/>
  <c r="EP106" i="3"/>
  <c r="EN106" i="3"/>
  <c r="EL106" i="3"/>
  <c r="EW106" i="3" s="1"/>
  <c r="EK106" i="3"/>
  <c r="EV106" i="3" s="1"/>
  <c r="EJ106" i="3"/>
  <c r="EI106" i="3"/>
  <c r="EG106" i="3"/>
  <c r="EH106" i="3" s="1"/>
  <c r="EF106" i="3"/>
  <c r="EE106" i="3"/>
  <c r="ED106" i="3"/>
  <c r="EC106" i="3"/>
  <c r="EA106" i="3"/>
  <c r="DZ106" i="3"/>
  <c r="DY106" i="3"/>
  <c r="DV106" i="3"/>
  <c r="DU106" i="3"/>
  <c r="DT106" i="3"/>
  <c r="DS106" i="3"/>
  <c r="DR106" i="3"/>
  <c r="EZ106" i="3" s="1"/>
  <c r="DP106" i="3"/>
  <c r="DO106" i="3"/>
  <c r="DN106" i="3"/>
  <c r="DJ106" i="3"/>
  <c r="DI106" i="3"/>
  <c r="DH106" i="3"/>
  <c r="EO106" i="3" s="1"/>
  <c r="DG106" i="3"/>
  <c r="FA106" i="3" s="1"/>
  <c r="K106" i="3"/>
  <c r="J106" i="3"/>
  <c r="H106" i="3"/>
  <c r="B106" i="3"/>
  <c r="EZ105" i="3"/>
  <c r="ER105" i="3"/>
  <c r="EQ105" i="3"/>
  <c r="EO105" i="3"/>
  <c r="EL105" i="3"/>
  <c r="EW105" i="3" s="1"/>
  <c r="EK105" i="3"/>
  <c r="EJ105" i="3"/>
  <c r="EU105" i="3" s="1"/>
  <c r="EF105" i="3"/>
  <c r="EE105" i="3"/>
  <c r="ED105" i="3"/>
  <c r="EC105" i="3"/>
  <c r="EY105" i="3" s="1"/>
  <c r="EA105" i="3"/>
  <c r="DZ105" i="3"/>
  <c r="DY105" i="3"/>
  <c r="DU105" i="3"/>
  <c r="DT105" i="3"/>
  <c r="DS105" i="3"/>
  <c r="DV105" i="3" s="1"/>
  <c r="DR105" i="3"/>
  <c r="DP105" i="3"/>
  <c r="DO105" i="3"/>
  <c r="DN105" i="3"/>
  <c r="DJ105" i="3"/>
  <c r="DI105" i="3"/>
  <c r="EP105" i="3" s="1"/>
  <c r="DH105" i="3"/>
  <c r="DG105" i="3"/>
  <c r="EN105" i="3" s="1"/>
  <c r="K105" i="3"/>
  <c r="J105" i="3"/>
  <c r="H105" i="3"/>
  <c r="B105" i="3"/>
  <c r="EP104" i="3"/>
  <c r="EL104" i="3"/>
  <c r="EW104" i="3" s="1"/>
  <c r="EK104" i="3"/>
  <c r="EV104" i="3" s="1"/>
  <c r="EJ104" i="3"/>
  <c r="EF104" i="3"/>
  <c r="EE104" i="3"/>
  <c r="ED104" i="3"/>
  <c r="EC104" i="3"/>
  <c r="EY104" i="3" s="1"/>
  <c r="EA104" i="3"/>
  <c r="DZ104" i="3"/>
  <c r="DY104" i="3"/>
  <c r="EU104" i="3" s="1"/>
  <c r="DX104" i="3"/>
  <c r="DU104" i="3"/>
  <c r="DT104" i="3"/>
  <c r="DV104" i="3" s="1"/>
  <c r="DW104" i="3" s="1"/>
  <c r="DS104" i="3"/>
  <c r="DR104" i="3"/>
  <c r="EZ104" i="3" s="1"/>
  <c r="DP104" i="3"/>
  <c r="DO104" i="3"/>
  <c r="DN104" i="3"/>
  <c r="DJ104" i="3"/>
  <c r="EQ104" i="3" s="1"/>
  <c r="DI104" i="3"/>
  <c r="DH104" i="3"/>
  <c r="EO104" i="3" s="1"/>
  <c r="DG104" i="3"/>
  <c r="K104" i="3"/>
  <c r="J104" i="3"/>
  <c r="H104" i="3"/>
  <c r="B104" i="3"/>
  <c r="EQ103" i="3"/>
  <c r="EL103" i="3"/>
  <c r="EW103" i="3" s="1"/>
  <c r="EK103" i="3"/>
  <c r="EJ103" i="3"/>
  <c r="EU103" i="3" s="1"/>
  <c r="EF103" i="3"/>
  <c r="EE103" i="3"/>
  <c r="ED103" i="3"/>
  <c r="EC103" i="3"/>
  <c r="EA103" i="3"/>
  <c r="DZ103" i="3"/>
  <c r="EV103" i="3" s="1"/>
  <c r="DY103" i="3"/>
  <c r="DU103" i="3"/>
  <c r="DT103" i="3"/>
  <c r="DS103" i="3"/>
  <c r="DV103" i="3" s="1"/>
  <c r="DR103" i="3"/>
  <c r="EZ103" i="3" s="1"/>
  <c r="DP103" i="3"/>
  <c r="DO103" i="3"/>
  <c r="DN103" i="3"/>
  <c r="DJ103" i="3"/>
  <c r="DI103" i="3"/>
  <c r="EP103" i="3" s="1"/>
  <c r="DH103" i="3"/>
  <c r="EO103" i="3" s="1"/>
  <c r="DG103" i="3"/>
  <c r="FA103" i="3" s="1"/>
  <c r="K103" i="3"/>
  <c r="J103" i="3"/>
  <c r="H103" i="3"/>
  <c r="B103" i="3"/>
  <c r="EZ102" i="3"/>
  <c r="EU102" i="3"/>
  <c r="EL102" i="3"/>
  <c r="EW102" i="3" s="1"/>
  <c r="EK102" i="3"/>
  <c r="EJ102" i="3"/>
  <c r="EF102" i="3"/>
  <c r="EE102" i="3"/>
  <c r="ED102" i="3"/>
  <c r="EO102" i="3" s="1"/>
  <c r="EC102" i="3"/>
  <c r="EN102" i="3" s="1"/>
  <c r="EA102" i="3"/>
  <c r="DZ102" i="3"/>
  <c r="DY102" i="3"/>
  <c r="DV102" i="3"/>
  <c r="DX102" i="3" s="1"/>
  <c r="DU102" i="3"/>
  <c r="DT102" i="3"/>
  <c r="DS102" i="3"/>
  <c r="DR102" i="3"/>
  <c r="DP102" i="3"/>
  <c r="DO102" i="3"/>
  <c r="DN102" i="3"/>
  <c r="DJ102" i="3"/>
  <c r="EQ102" i="3" s="1"/>
  <c r="DI102" i="3"/>
  <c r="DH102" i="3"/>
  <c r="DG102" i="3"/>
  <c r="FA102" i="3" s="1"/>
  <c r="K102" i="3"/>
  <c r="J102" i="3"/>
  <c r="H102" i="3"/>
  <c r="B102" i="3"/>
  <c r="EZ101" i="3"/>
  <c r="EV101" i="3"/>
  <c r="EU101" i="3"/>
  <c r="EL101" i="3"/>
  <c r="EW101" i="3" s="1"/>
  <c r="EK101" i="3"/>
  <c r="EJ101" i="3"/>
  <c r="EF101" i="3"/>
  <c r="EE101" i="3"/>
  <c r="EP101" i="3" s="1"/>
  <c r="ED101" i="3"/>
  <c r="EO101" i="3" s="1"/>
  <c r="EC101" i="3"/>
  <c r="EN101" i="3" s="1"/>
  <c r="EA101" i="3"/>
  <c r="DZ101" i="3"/>
  <c r="DY101" i="3"/>
  <c r="DU101" i="3"/>
  <c r="DT101" i="3"/>
  <c r="DS101" i="3"/>
  <c r="DR101" i="3"/>
  <c r="DV101" i="3" s="1"/>
  <c r="DP101" i="3"/>
  <c r="DO101" i="3"/>
  <c r="DN101" i="3"/>
  <c r="DJ101" i="3"/>
  <c r="DI101" i="3"/>
  <c r="DH101" i="3"/>
  <c r="DG101" i="3"/>
  <c r="FA101" i="3" s="1"/>
  <c r="K101" i="3"/>
  <c r="J101" i="3"/>
  <c r="H101" i="3"/>
  <c r="B101" i="3"/>
  <c r="EW100" i="3"/>
  <c r="EV100" i="3"/>
  <c r="EL100" i="3"/>
  <c r="EK100" i="3"/>
  <c r="EJ100" i="3"/>
  <c r="EF100" i="3"/>
  <c r="EQ100" i="3" s="1"/>
  <c r="EE100" i="3"/>
  <c r="EP100" i="3" s="1"/>
  <c r="ED100" i="3"/>
  <c r="EO100" i="3" s="1"/>
  <c r="EC100" i="3"/>
  <c r="EA100" i="3"/>
  <c r="DZ100" i="3"/>
  <c r="DY100" i="3"/>
  <c r="DX100" i="3"/>
  <c r="DV100" i="3"/>
  <c r="DW100" i="3" s="1"/>
  <c r="DU100" i="3"/>
  <c r="DT100" i="3"/>
  <c r="DS100" i="3"/>
  <c r="DR100" i="3"/>
  <c r="EZ100" i="3" s="1"/>
  <c r="DP100" i="3"/>
  <c r="DO100" i="3"/>
  <c r="DN100" i="3"/>
  <c r="EU100" i="3" s="1"/>
  <c r="DJ100" i="3"/>
  <c r="DI100" i="3"/>
  <c r="DH100" i="3"/>
  <c r="DG100" i="3"/>
  <c r="FA100" i="3" s="1"/>
  <c r="K100" i="3"/>
  <c r="J100" i="3"/>
  <c r="H100" i="3"/>
  <c r="B100" i="3"/>
  <c r="EZ99" i="3"/>
  <c r="EY99" i="3"/>
  <c r="FB99" i="3" s="1"/>
  <c r="EW99" i="3"/>
  <c r="EV99" i="3"/>
  <c r="EL99" i="3"/>
  <c r="EK99" i="3"/>
  <c r="EJ99" i="3"/>
  <c r="EF99" i="3"/>
  <c r="EQ99" i="3" s="1"/>
  <c r="EE99" i="3"/>
  <c r="EP99" i="3" s="1"/>
  <c r="ED99" i="3"/>
  <c r="EC99" i="3"/>
  <c r="EN99" i="3" s="1"/>
  <c r="EA99" i="3"/>
  <c r="DZ99" i="3"/>
  <c r="DY99" i="3"/>
  <c r="DU99" i="3"/>
  <c r="DT99" i="3"/>
  <c r="DS99" i="3"/>
  <c r="DV99" i="3" s="1"/>
  <c r="DR99" i="3"/>
  <c r="DP99" i="3"/>
  <c r="DO99" i="3"/>
  <c r="DN99" i="3"/>
  <c r="EU99" i="3" s="1"/>
  <c r="DJ99" i="3"/>
  <c r="DI99" i="3"/>
  <c r="DH99" i="3"/>
  <c r="DK99" i="3" s="1"/>
  <c r="DG99" i="3"/>
  <c r="FA99" i="3" s="1"/>
  <c r="K99" i="3"/>
  <c r="J99" i="3"/>
  <c r="H99" i="3"/>
  <c r="B99" i="3"/>
  <c r="EZ98" i="3"/>
  <c r="EY98" i="3"/>
  <c r="FB98" i="3" s="1"/>
  <c r="EW98" i="3"/>
  <c r="EV98" i="3"/>
  <c r="EL98" i="3"/>
  <c r="EK98" i="3"/>
  <c r="EJ98" i="3"/>
  <c r="EG98" i="3"/>
  <c r="EF98" i="3"/>
  <c r="EQ98" i="3" s="1"/>
  <c r="EE98" i="3"/>
  <c r="ED98" i="3"/>
  <c r="EO98" i="3" s="1"/>
  <c r="EC98" i="3"/>
  <c r="EN98" i="3" s="1"/>
  <c r="EA98" i="3"/>
  <c r="DZ98" i="3"/>
  <c r="DY98" i="3"/>
  <c r="DU98" i="3"/>
  <c r="DT98" i="3"/>
  <c r="DS98" i="3"/>
  <c r="DR98" i="3"/>
  <c r="DV98" i="3" s="1"/>
  <c r="DP98" i="3"/>
  <c r="DO98" i="3"/>
  <c r="DN98" i="3"/>
  <c r="EU98" i="3" s="1"/>
  <c r="DM98" i="3"/>
  <c r="DK98" i="3"/>
  <c r="DL98" i="3" s="1"/>
  <c r="DJ98" i="3"/>
  <c r="DI98" i="3"/>
  <c r="DH98" i="3"/>
  <c r="DG98" i="3"/>
  <c r="FA98" i="3" s="1"/>
  <c r="K98" i="3"/>
  <c r="J98" i="3"/>
  <c r="H98" i="3"/>
  <c r="B98" i="3"/>
  <c r="FA97" i="3"/>
  <c r="EY97" i="3"/>
  <c r="EL97" i="3"/>
  <c r="EK97" i="3"/>
  <c r="EJ97" i="3"/>
  <c r="EI97" i="3"/>
  <c r="EG97" i="3"/>
  <c r="EH97" i="3" s="1"/>
  <c r="EF97" i="3"/>
  <c r="EQ97" i="3" s="1"/>
  <c r="EE97" i="3"/>
  <c r="EP97" i="3" s="1"/>
  <c r="ED97" i="3"/>
  <c r="EO97" i="3" s="1"/>
  <c r="EC97" i="3"/>
  <c r="EA97" i="3"/>
  <c r="EW97" i="3" s="1"/>
  <c r="DZ97" i="3"/>
  <c r="DY97" i="3"/>
  <c r="DU97" i="3"/>
  <c r="DT97" i="3"/>
  <c r="DS97" i="3"/>
  <c r="DR97" i="3"/>
  <c r="DV97" i="3" s="1"/>
  <c r="DP97" i="3"/>
  <c r="DO97" i="3"/>
  <c r="EV97" i="3" s="1"/>
  <c r="DN97" i="3"/>
  <c r="EU97" i="3" s="1"/>
  <c r="DJ97" i="3"/>
  <c r="DI97" i="3"/>
  <c r="DH97" i="3"/>
  <c r="DK97" i="3" s="1"/>
  <c r="DG97" i="3"/>
  <c r="K97" i="3"/>
  <c r="J97" i="3"/>
  <c r="H97" i="3"/>
  <c r="B97" i="3"/>
  <c r="FA96" i="3"/>
  <c r="EL96" i="3"/>
  <c r="EK96" i="3"/>
  <c r="EJ96" i="3"/>
  <c r="EU96" i="3" s="1"/>
  <c r="EF96" i="3"/>
  <c r="EQ96" i="3" s="1"/>
  <c r="EE96" i="3"/>
  <c r="EP96" i="3" s="1"/>
  <c r="ED96" i="3"/>
  <c r="EC96" i="3"/>
  <c r="EY96" i="3" s="1"/>
  <c r="EA96" i="3"/>
  <c r="DZ96" i="3"/>
  <c r="DY96" i="3"/>
  <c r="DU96" i="3"/>
  <c r="DT96" i="3"/>
  <c r="DS96" i="3"/>
  <c r="EO96" i="3" s="1"/>
  <c r="DR96" i="3"/>
  <c r="DP96" i="3"/>
  <c r="EW96" i="3" s="1"/>
  <c r="DO96" i="3"/>
  <c r="EV96" i="3" s="1"/>
  <c r="DN96" i="3"/>
  <c r="DK96" i="3"/>
  <c r="DJ96" i="3"/>
  <c r="DI96" i="3"/>
  <c r="DH96" i="3"/>
  <c r="DG96" i="3"/>
  <c r="K96" i="3"/>
  <c r="J96" i="3"/>
  <c r="H96" i="3"/>
  <c r="B96" i="3"/>
  <c r="FA95" i="3"/>
  <c r="EZ95" i="3"/>
  <c r="FB95" i="3" s="1"/>
  <c r="EY95" i="3"/>
  <c r="EP95" i="3"/>
  <c r="EL95" i="3"/>
  <c r="EK95" i="3"/>
  <c r="EV95" i="3" s="1"/>
  <c r="EJ95" i="3"/>
  <c r="EU95" i="3" s="1"/>
  <c r="EF95" i="3"/>
  <c r="EQ95" i="3" s="1"/>
  <c r="EE95" i="3"/>
  <c r="ED95" i="3"/>
  <c r="EC95" i="3"/>
  <c r="EA95" i="3"/>
  <c r="DZ95" i="3"/>
  <c r="DY95" i="3"/>
  <c r="DU95" i="3"/>
  <c r="DT95" i="3"/>
  <c r="DS95" i="3"/>
  <c r="DR95" i="3"/>
  <c r="DP95" i="3"/>
  <c r="EW95" i="3" s="1"/>
  <c r="DO95" i="3"/>
  <c r="DN95" i="3"/>
  <c r="DL95" i="3"/>
  <c r="DJ95" i="3"/>
  <c r="DI95" i="3"/>
  <c r="DH95" i="3"/>
  <c r="DG95" i="3"/>
  <c r="DK95" i="3" s="1"/>
  <c r="DM95" i="3" s="1"/>
  <c r="K95" i="3"/>
  <c r="J95" i="3"/>
  <c r="H95" i="3"/>
  <c r="B95" i="3"/>
  <c r="FA94" i="3"/>
  <c r="EY94" i="3"/>
  <c r="EQ94" i="3"/>
  <c r="EL94" i="3"/>
  <c r="EW94" i="3" s="1"/>
  <c r="EK94" i="3"/>
  <c r="EV94" i="3" s="1"/>
  <c r="EJ94" i="3"/>
  <c r="EF94" i="3"/>
  <c r="EE94" i="3"/>
  <c r="ED94" i="3"/>
  <c r="EC94" i="3"/>
  <c r="EA94" i="3"/>
  <c r="DZ94" i="3"/>
  <c r="DY94" i="3"/>
  <c r="DU94" i="3"/>
  <c r="DT94" i="3"/>
  <c r="DS94" i="3"/>
  <c r="DR94" i="3"/>
  <c r="DP94" i="3"/>
  <c r="DO94" i="3"/>
  <c r="DN94" i="3"/>
  <c r="DJ94" i="3"/>
  <c r="DI94" i="3"/>
  <c r="DH94" i="3"/>
  <c r="DG94" i="3"/>
  <c r="K94" i="3"/>
  <c r="J94" i="3"/>
  <c r="H94" i="3"/>
  <c r="B94" i="3"/>
  <c r="FA93" i="3"/>
  <c r="EZ93" i="3"/>
  <c r="FB93" i="3" s="1"/>
  <c r="EY93" i="3"/>
  <c r="EL93" i="3"/>
  <c r="EW93" i="3" s="1"/>
  <c r="EK93" i="3"/>
  <c r="EV93" i="3" s="1"/>
  <c r="EJ93" i="3"/>
  <c r="EU93" i="3" s="1"/>
  <c r="EF93" i="3"/>
  <c r="EQ93" i="3" s="1"/>
  <c r="EE93" i="3"/>
  <c r="EP93" i="3" s="1"/>
  <c r="ED93" i="3"/>
  <c r="EG93" i="3" s="1"/>
  <c r="EC93" i="3"/>
  <c r="EA93" i="3"/>
  <c r="DZ93" i="3"/>
  <c r="DY93" i="3"/>
  <c r="DU93" i="3"/>
  <c r="DT93" i="3"/>
  <c r="DS93" i="3"/>
  <c r="DR93" i="3"/>
  <c r="DV93" i="3" s="1"/>
  <c r="DP93" i="3"/>
  <c r="DO93" i="3"/>
  <c r="DN93" i="3"/>
  <c r="DJ93" i="3"/>
  <c r="DI93" i="3"/>
  <c r="DH93" i="3"/>
  <c r="DK93" i="3" s="1"/>
  <c r="DG93" i="3"/>
  <c r="K93" i="3"/>
  <c r="J93" i="3"/>
  <c r="H93" i="3"/>
  <c r="B93" i="3"/>
  <c r="FA92" i="3"/>
  <c r="EY92" i="3"/>
  <c r="FB92" i="3" s="1"/>
  <c r="EO92" i="3"/>
  <c r="EL92" i="3"/>
  <c r="EW92" i="3" s="1"/>
  <c r="EK92" i="3"/>
  <c r="EJ92" i="3"/>
  <c r="EU92" i="3" s="1"/>
  <c r="EG92" i="3"/>
  <c r="EH92" i="3" s="1"/>
  <c r="EF92" i="3"/>
  <c r="EE92" i="3"/>
  <c r="ED92" i="3"/>
  <c r="EC92" i="3"/>
  <c r="EA92" i="3"/>
  <c r="DZ92" i="3"/>
  <c r="DY92" i="3"/>
  <c r="DU92" i="3"/>
  <c r="DT92" i="3"/>
  <c r="DS92" i="3"/>
  <c r="DR92" i="3"/>
  <c r="EZ92" i="3" s="1"/>
  <c r="DP92" i="3"/>
  <c r="DO92" i="3"/>
  <c r="DN92" i="3"/>
  <c r="DJ92" i="3"/>
  <c r="DK92" i="3" s="1"/>
  <c r="DI92" i="3"/>
  <c r="DH92" i="3"/>
  <c r="DG92" i="3"/>
  <c r="K92" i="3"/>
  <c r="J92" i="3"/>
  <c r="H92" i="3"/>
  <c r="B92" i="3"/>
  <c r="EZ91" i="3"/>
  <c r="EN91" i="3"/>
  <c r="EL91" i="3"/>
  <c r="EW91" i="3" s="1"/>
  <c r="EK91" i="3"/>
  <c r="EV91" i="3" s="1"/>
  <c r="EJ91" i="3"/>
  <c r="EU91" i="3" s="1"/>
  <c r="EF91" i="3"/>
  <c r="EE91" i="3"/>
  <c r="ED91" i="3"/>
  <c r="EC91" i="3"/>
  <c r="EA91" i="3"/>
  <c r="DZ91" i="3"/>
  <c r="DY91" i="3"/>
  <c r="DU91" i="3"/>
  <c r="DT91" i="3"/>
  <c r="EP91" i="3" s="1"/>
  <c r="DS91" i="3"/>
  <c r="DR91" i="3"/>
  <c r="DP91" i="3"/>
  <c r="DO91" i="3"/>
  <c r="DN91" i="3"/>
  <c r="DJ91" i="3"/>
  <c r="DI91" i="3"/>
  <c r="DH91" i="3"/>
  <c r="DG91" i="3"/>
  <c r="FA91" i="3" s="1"/>
  <c r="K91" i="3"/>
  <c r="J91" i="3"/>
  <c r="H91" i="3"/>
  <c r="B91" i="3"/>
  <c r="FA90" i="3"/>
  <c r="EL90" i="3"/>
  <c r="EW90" i="3" s="1"/>
  <c r="EK90" i="3"/>
  <c r="EV90" i="3" s="1"/>
  <c r="EJ90" i="3"/>
  <c r="EF90" i="3"/>
  <c r="EE90" i="3"/>
  <c r="EP90" i="3" s="1"/>
  <c r="ED90" i="3"/>
  <c r="EO90" i="3" s="1"/>
  <c r="EC90" i="3"/>
  <c r="EY90" i="3" s="1"/>
  <c r="EA90" i="3"/>
  <c r="DZ90" i="3"/>
  <c r="DY90" i="3"/>
  <c r="EU90" i="3" s="1"/>
  <c r="DU90" i="3"/>
  <c r="EQ90" i="3" s="1"/>
  <c r="DT90" i="3"/>
  <c r="DV90" i="3" s="1"/>
  <c r="DW90" i="3" s="1"/>
  <c r="DS90" i="3"/>
  <c r="DR90" i="3"/>
  <c r="EZ90" i="3" s="1"/>
  <c r="DP90" i="3"/>
  <c r="DO90" i="3"/>
  <c r="DN90" i="3"/>
  <c r="DJ90" i="3"/>
  <c r="DI90" i="3"/>
  <c r="DH90" i="3"/>
  <c r="DG90" i="3"/>
  <c r="K90" i="3"/>
  <c r="J90" i="3"/>
  <c r="B90" i="3"/>
  <c r="EZ89" i="3"/>
  <c r="EY89" i="3"/>
  <c r="EW89" i="3"/>
  <c r="EV89" i="3"/>
  <c r="EQ89" i="3"/>
  <c r="EN89" i="3"/>
  <c r="EL89" i="3"/>
  <c r="EK89" i="3"/>
  <c r="EJ89" i="3"/>
  <c r="EU89" i="3" s="1"/>
  <c r="EF89" i="3"/>
  <c r="EE89" i="3"/>
  <c r="ED89" i="3"/>
  <c r="EC89" i="3"/>
  <c r="EA89" i="3"/>
  <c r="DZ89" i="3"/>
  <c r="DY89" i="3"/>
  <c r="DV89" i="3"/>
  <c r="DX89" i="3" s="1"/>
  <c r="DU89" i="3"/>
  <c r="DT89" i="3"/>
  <c r="DS89" i="3"/>
  <c r="EO89" i="3" s="1"/>
  <c r="DR89" i="3"/>
  <c r="DP89" i="3"/>
  <c r="DO89" i="3"/>
  <c r="DN89" i="3"/>
  <c r="DJ89" i="3"/>
  <c r="DI89" i="3"/>
  <c r="EP89" i="3" s="1"/>
  <c r="DH89" i="3"/>
  <c r="DG89" i="3"/>
  <c r="K89" i="3"/>
  <c r="J89" i="3"/>
  <c r="H89" i="3"/>
  <c r="B89" i="3"/>
  <c r="EY88" i="3"/>
  <c r="EL88" i="3"/>
  <c r="EK88" i="3"/>
  <c r="EJ88" i="3"/>
  <c r="EF88" i="3"/>
  <c r="EQ88" i="3" s="1"/>
  <c r="EE88" i="3"/>
  <c r="EP88" i="3" s="1"/>
  <c r="ED88" i="3"/>
  <c r="EC88" i="3"/>
  <c r="EA88" i="3"/>
  <c r="EW88" i="3" s="1"/>
  <c r="DZ88" i="3"/>
  <c r="DY88" i="3"/>
  <c r="DU88" i="3"/>
  <c r="DT88" i="3"/>
  <c r="DS88" i="3"/>
  <c r="DR88" i="3"/>
  <c r="EZ88" i="3" s="1"/>
  <c r="DP88" i="3"/>
  <c r="DO88" i="3"/>
  <c r="DN88" i="3"/>
  <c r="DJ88" i="3"/>
  <c r="DI88" i="3"/>
  <c r="DH88" i="3"/>
  <c r="EO88" i="3" s="1"/>
  <c r="DG88" i="3"/>
  <c r="K88" i="3"/>
  <c r="J88" i="3"/>
  <c r="H88" i="3"/>
  <c r="B88" i="3"/>
  <c r="EZ87" i="3"/>
  <c r="EW87" i="3"/>
  <c r="EL87" i="3"/>
  <c r="EK87" i="3"/>
  <c r="EV87" i="3" s="1"/>
  <c r="EJ87" i="3"/>
  <c r="EU87" i="3" s="1"/>
  <c r="EG87" i="3"/>
  <c r="EI87" i="3" s="1"/>
  <c r="EF87" i="3"/>
  <c r="EE87" i="3"/>
  <c r="ED87" i="3"/>
  <c r="EC87" i="3"/>
  <c r="EA87" i="3"/>
  <c r="DZ87" i="3"/>
  <c r="DY87" i="3"/>
  <c r="DU87" i="3"/>
  <c r="DT87" i="3"/>
  <c r="EP87" i="3" s="1"/>
  <c r="DS87" i="3"/>
  <c r="DV87" i="3" s="1"/>
  <c r="DX87" i="3" s="1"/>
  <c r="DR87" i="3"/>
  <c r="DP87" i="3"/>
  <c r="DO87" i="3"/>
  <c r="DN87" i="3"/>
  <c r="DJ87" i="3"/>
  <c r="EQ87" i="3" s="1"/>
  <c r="DI87" i="3"/>
  <c r="DH87" i="3"/>
  <c r="DG87" i="3"/>
  <c r="K87" i="3"/>
  <c r="J87" i="3"/>
  <c r="H87" i="3"/>
  <c r="B87" i="3"/>
  <c r="EZ86" i="3"/>
  <c r="EY86" i="3"/>
  <c r="FB86" i="3" s="1"/>
  <c r="EU86" i="3"/>
  <c r="EN86" i="3"/>
  <c r="EL86" i="3"/>
  <c r="EK86" i="3"/>
  <c r="EV86" i="3" s="1"/>
  <c r="EJ86" i="3"/>
  <c r="EF86" i="3"/>
  <c r="EE86" i="3"/>
  <c r="ED86" i="3"/>
  <c r="EC86" i="3"/>
  <c r="EA86" i="3"/>
  <c r="DZ86" i="3"/>
  <c r="DY86" i="3"/>
  <c r="DV86" i="3"/>
  <c r="DU86" i="3"/>
  <c r="EQ86" i="3" s="1"/>
  <c r="DT86" i="3"/>
  <c r="EP86" i="3" s="1"/>
  <c r="DS86" i="3"/>
  <c r="DR86" i="3"/>
  <c r="DP86" i="3"/>
  <c r="DO86" i="3"/>
  <c r="DN86" i="3"/>
  <c r="DL86" i="3"/>
  <c r="DK86" i="3"/>
  <c r="DJ86" i="3"/>
  <c r="DI86" i="3"/>
  <c r="DH86" i="3"/>
  <c r="DG86" i="3"/>
  <c r="FA86" i="3" s="1"/>
  <c r="K86" i="3"/>
  <c r="J86" i="3"/>
  <c r="H86" i="3"/>
  <c r="B86" i="3"/>
  <c r="FA85" i="3"/>
  <c r="EL85" i="3"/>
  <c r="EK85" i="3"/>
  <c r="EJ85" i="3"/>
  <c r="EF85" i="3"/>
  <c r="EE85" i="3"/>
  <c r="ED85" i="3"/>
  <c r="EC85" i="3"/>
  <c r="EA85" i="3"/>
  <c r="DZ85" i="3"/>
  <c r="EV85" i="3" s="1"/>
  <c r="DY85" i="3"/>
  <c r="DU85" i="3"/>
  <c r="EQ85" i="3" s="1"/>
  <c r="DT85" i="3"/>
  <c r="DS85" i="3"/>
  <c r="DR85" i="3"/>
  <c r="DP85" i="3"/>
  <c r="DO85" i="3"/>
  <c r="DN85" i="3"/>
  <c r="DJ85" i="3"/>
  <c r="DI85" i="3"/>
  <c r="EP85" i="3" s="1"/>
  <c r="DH85" i="3"/>
  <c r="DK85" i="3" s="1"/>
  <c r="DG85" i="3"/>
  <c r="K85" i="3"/>
  <c r="J85" i="3"/>
  <c r="H85" i="3"/>
  <c r="B85" i="3"/>
  <c r="EW84" i="3"/>
  <c r="EV84" i="3"/>
  <c r="EP84" i="3"/>
  <c r="EL84" i="3"/>
  <c r="EK84" i="3"/>
  <c r="EJ84" i="3"/>
  <c r="EF84" i="3"/>
  <c r="EQ84" i="3" s="1"/>
  <c r="EE84" i="3"/>
  <c r="ED84" i="3"/>
  <c r="EO84" i="3" s="1"/>
  <c r="EC84" i="3"/>
  <c r="EA84" i="3"/>
  <c r="DZ84" i="3"/>
  <c r="DY84" i="3"/>
  <c r="DW84" i="3"/>
  <c r="DV84" i="3"/>
  <c r="DX84" i="3" s="1"/>
  <c r="DU84" i="3"/>
  <c r="DT84" i="3"/>
  <c r="DS84" i="3"/>
  <c r="DR84" i="3"/>
  <c r="EZ84" i="3" s="1"/>
  <c r="DP84" i="3"/>
  <c r="DO84" i="3"/>
  <c r="DN84" i="3"/>
  <c r="EU84" i="3" s="1"/>
  <c r="DJ84" i="3"/>
  <c r="DI84" i="3"/>
  <c r="DH84" i="3"/>
  <c r="DG84" i="3"/>
  <c r="EN84" i="3" s="1"/>
  <c r="K84" i="3"/>
  <c r="J84" i="3"/>
  <c r="H84" i="3"/>
  <c r="B84" i="3"/>
  <c r="EV83" i="3"/>
  <c r="EO83" i="3"/>
  <c r="EN83" i="3"/>
  <c r="EL83" i="3"/>
  <c r="EW83" i="3" s="1"/>
  <c r="EK83" i="3"/>
  <c r="EJ83" i="3"/>
  <c r="EU83" i="3" s="1"/>
  <c r="EF83" i="3"/>
  <c r="EQ83" i="3" s="1"/>
  <c r="EE83" i="3"/>
  <c r="EP83" i="3" s="1"/>
  <c r="ED83" i="3"/>
  <c r="EC83" i="3"/>
  <c r="EY83" i="3" s="1"/>
  <c r="FB83" i="3" s="1"/>
  <c r="EA83" i="3"/>
  <c r="DZ83" i="3"/>
  <c r="DY83" i="3"/>
  <c r="DV83" i="3"/>
  <c r="DU83" i="3"/>
  <c r="DT83" i="3"/>
  <c r="DS83" i="3"/>
  <c r="DR83" i="3"/>
  <c r="EZ83" i="3" s="1"/>
  <c r="DP83" i="3"/>
  <c r="DO83" i="3"/>
  <c r="DN83" i="3"/>
  <c r="DM83" i="3"/>
  <c r="DK83" i="3"/>
  <c r="DJ83" i="3"/>
  <c r="DI83" i="3"/>
  <c r="DH83" i="3"/>
  <c r="DG83" i="3"/>
  <c r="FA83" i="3" s="1"/>
  <c r="K83" i="3"/>
  <c r="J83" i="3"/>
  <c r="H83" i="3"/>
  <c r="B83" i="3"/>
  <c r="EW82" i="3"/>
  <c r="EP82" i="3"/>
  <c r="EO82" i="3"/>
  <c r="EN82" i="3"/>
  <c r="EL82" i="3"/>
  <c r="EK82" i="3"/>
  <c r="EV82" i="3" s="1"/>
  <c r="EJ82" i="3"/>
  <c r="EF82" i="3"/>
  <c r="EQ82" i="3" s="1"/>
  <c r="EE82" i="3"/>
  <c r="ED82" i="3"/>
  <c r="EC82" i="3"/>
  <c r="EY82" i="3" s="1"/>
  <c r="EA82" i="3"/>
  <c r="DZ82" i="3"/>
  <c r="DY82" i="3"/>
  <c r="DW82" i="3"/>
  <c r="DV82" i="3"/>
  <c r="DX82" i="3" s="1"/>
  <c r="DU82" i="3"/>
  <c r="DT82" i="3"/>
  <c r="DS82" i="3"/>
  <c r="DR82" i="3"/>
  <c r="EZ82" i="3" s="1"/>
  <c r="DP82" i="3"/>
  <c r="DO82" i="3"/>
  <c r="DN82" i="3"/>
  <c r="EU82" i="3" s="1"/>
  <c r="DJ82" i="3"/>
  <c r="DI82" i="3"/>
  <c r="DH82" i="3"/>
  <c r="DG82" i="3"/>
  <c r="FA82" i="3" s="1"/>
  <c r="K82" i="3"/>
  <c r="J82" i="3"/>
  <c r="H82" i="3"/>
  <c r="B82" i="3"/>
  <c r="EZ81" i="3"/>
  <c r="EY81" i="3"/>
  <c r="EV81" i="3"/>
  <c r="EQ81" i="3"/>
  <c r="EP81" i="3"/>
  <c r="EO81" i="3"/>
  <c r="EL81" i="3"/>
  <c r="EW81" i="3" s="1"/>
  <c r="EK81" i="3"/>
  <c r="EJ81" i="3"/>
  <c r="EU81" i="3" s="1"/>
  <c r="EG81" i="3"/>
  <c r="EF81" i="3"/>
  <c r="EE81" i="3"/>
  <c r="ED81" i="3"/>
  <c r="EC81" i="3"/>
  <c r="EA81" i="3"/>
  <c r="DZ81" i="3"/>
  <c r="DY81" i="3"/>
  <c r="DU81" i="3"/>
  <c r="DT81" i="3"/>
  <c r="DS81" i="3"/>
  <c r="DR81" i="3"/>
  <c r="DV81" i="3" s="1"/>
  <c r="DX81" i="3" s="1"/>
  <c r="DP81" i="3"/>
  <c r="DO81" i="3"/>
  <c r="DN81" i="3"/>
  <c r="DJ81" i="3"/>
  <c r="DI81" i="3"/>
  <c r="DH81" i="3"/>
  <c r="DG81" i="3"/>
  <c r="K81" i="3"/>
  <c r="J81" i="3"/>
  <c r="H81" i="3"/>
  <c r="B81" i="3"/>
  <c r="EZ80" i="3"/>
  <c r="EY80" i="3"/>
  <c r="EW80" i="3"/>
  <c r="EQ80" i="3"/>
  <c r="EP80" i="3"/>
  <c r="EL80" i="3"/>
  <c r="EK80" i="3"/>
  <c r="EV80" i="3" s="1"/>
  <c r="EJ80" i="3"/>
  <c r="EF80" i="3"/>
  <c r="EE80" i="3"/>
  <c r="EG80" i="3" s="1"/>
  <c r="EI80" i="3" s="1"/>
  <c r="ED80" i="3"/>
  <c r="EC80" i="3"/>
  <c r="EA80" i="3"/>
  <c r="DZ80" i="3"/>
  <c r="DY80" i="3"/>
  <c r="EU80" i="3" s="1"/>
  <c r="DX80" i="3"/>
  <c r="DV80" i="3"/>
  <c r="DW80" i="3" s="1"/>
  <c r="DU80" i="3"/>
  <c r="DT80" i="3"/>
  <c r="DS80" i="3"/>
  <c r="DR80" i="3"/>
  <c r="DP80" i="3"/>
  <c r="DO80" i="3"/>
  <c r="DN80" i="3"/>
  <c r="DJ80" i="3"/>
  <c r="DI80" i="3"/>
  <c r="DH80" i="3"/>
  <c r="DG80" i="3"/>
  <c r="K80" i="3"/>
  <c r="J80" i="3"/>
  <c r="B80" i="3"/>
  <c r="FA79" i="3"/>
  <c r="EY79" i="3"/>
  <c r="EL79" i="3"/>
  <c r="EW79" i="3" s="1"/>
  <c r="EK79" i="3"/>
  <c r="EJ79" i="3"/>
  <c r="EU79" i="3" s="1"/>
  <c r="EI79" i="3"/>
  <c r="EG79" i="3"/>
  <c r="EH79" i="3" s="1"/>
  <c r="EF79" i="3"/>
  <c r="EE79" i="3"/>
  <c r="EP79" i="3" s="1"/>
  <c r="ED79" i="3"/>
  <c r="EC79" i="3"/>
  <c r="EN79" i="3" s="1"/>
  <c r="EA79" i="3"/>
  <c r="DZ79" i="3"/>
  <c r="EV79" i="3" s="1"/>
  <c r="DY79" i="3"/>
  <c r="DU79" i="3"/>
  <c r="DT79" i="3"/>
  <c r="DS79" i="3"/>
  <c r="DR79" i="3"/>
  <c r="DP79" i="3"/>
  <c r="DO79" i="3"/>
  <c r="DN79" i="3"/>
  <c r="DJ79" i="3"/>
  <c r="EQ79" i="3" s="1"/>
  <c r="DI79" i="3"/>
  <c r="DH79" i="3"/>
  <c r="DG79" i="3"/>
  <c r="K79" i="3"/>
  <c r="J79" i="3"/>
  <c r="H79" i="3"/>
  <c r="B79" i="3"/>
  <c r="EZ78" i="3"/>
  <c r="EL78" i="3"/>
  <c r="EK78" i="3"/>
  <c r="EJ78" i="3"/>
  <c r="EU78" i="3" s="1"/>
  <c r="EF78" i="3"/>
  <c r="EE78" i="3"/>
  <c r="ED78" i="3"/>
  <c r="EC78" i="3"/>
  <c r="EA78" i="3"/>
  <c r="EW78" i="3" s="1"/>
  <c r="DZ78" i="3"/>
  <c r="DY78" i="3"/>
  <c r="DU78" i="3"/>
  <c r="DT78" i="3"/>
  <c r="DS78" i="3"/>
  <c r="DV78" i="3" s="1"/>
  <c r="DR78" i="3"/>
  <c r="DP78" i="3"/>
  <c r="DO78" i="3"/>
  <c r="DN78" i="3"/>
  <c r="DJ78" i="3"/>
  <c r="DK78" i="3" s="1"/>
  <c r="DI78" i="3"/>
  <c r="EP78" i="3" s="1"/>
  <c r="DH78" i="3"/>
  <c r="DG78" i="3"/>
  <c r="FA78" i="3" s="1"/>
  <c r="K78" i="3"/>
  <c r="J78" i="3"/>
  <c r="H78" i="3"/>
  <c r="B78" i="3"/>
  <c r="FA77" i="3"/>
  <c r="EU77" i="3"/>
  <c r="EL77" i="3"/>
  <c r="EK77" i="3"/>
  <c r="EV77" i="3" s="1"/>
  <c r="EJ77" i="3"/>
  <c r="EF77" i="3"/>
  <c r="EE77" i="3"/>
  <c r="EP77" i="3" s="1"/>
  <c r="ED77" i="3"/>
  <c r="EO77" i="3" s="1"/>
  <c r="EC77" i="3"/>
  <c r="EA77" i="3"/>
  <c r="DZ77" i="3"/>
  <c r="DY77" i="3"/>
  <c r="DU77" i="3"/>
  <c r="DT77" i="3"/>
  <c r="DS77" i="3"/>
  <c r="DR77" i="3"/>
  <c r="DV77" i="3" s="1"/>
  <c r="DP77" i="3"/>
  <c r="DO77" i="3"/>
  <c r="DN77" i="3"/>
  <c r="DJ77" i="3"/>
  <c r="DI77" i="3"/>
  <c r="DH77" i="3"/>
  <c r="DG77" i="3"/>
  <c r="K77" i="3"/>
  <c r="J77" i="3"/>
  <c r="H77" i="3"/>
  <c r="B77" i="3"/>
  <c r="EV76" i="3"/>
  <c r="EU76" i="3"/>
  <c r="EL76" i="3"/>
  <c r="EW76" i="3" s="1"/>
  <c r="EK76" i="3"/>
  <c r="EJ76" i="3"/>
  <c r="EF76" i="3"/>
  <c r="EQ76" i="3" s="1"/>
  <c r="EE76" i="3"/>
  <c r="EP76" i="3" s="1"/>
  <c r="ED76" i="3"/>
  <c r="EO76" i="3" s="1"/>
  <c r="EC76" i="3"/>
  <c r="EA76" i="3"/>
  <c r="DZ76" i="3"/>
  <c r="DY76" i="3"/>
  <c r="DU76" i="3"/>
  <c r="DT76" i="3"/>
  <c r="DS76" i="3"/>
  <c r="DR76" i="3"/>
  <c r="DP76" i="3"/>
  <c r="DO76" i="3"/>
  <c r="DN76" i="3"/>
  <c r="DK76" i="3"/>
  <c r="DJ76" i="3"/>
  <c r="DI76" i="3"/>
  <c r="DH76" i="3"/>
  <c r="DG76" i="3"/>
  <c r="FA76" i="3" s="1"/>
  <c r="K76" i="3"/>
  <c r="J76" i="3"/>
  <c r="H76" i="3"/>
  <c r="B76" i="3"/>
  <c r="FA75" i="3"/>
  <c r="EY75" i="3"/>
  <c r="EW75" i="3"/>
  <c r="EV75" i="3"/>
  <c r="EN75" i="3"/>
  <c r="EL75" i="3"/>
  <c r="EK75" i="3"/>
  <c r="EJ75" i="3"/>
  <c r="EF75" i="3"/>
  <c r="EQ75" i="3" s="1"/>
  <c r="EE75" i="3"/>
  <c r="EP75" i="3" s="1"/>
  <c r="ED75" i="3"/>
  <c r="EC75" i="3"/>
  <c r="EA75" i="3"/>
  <c r="DZ75" i="3"/>
  <c r="DY75" i="3"/>
  <c r="DV75" i="3"/>
  <c r="DU75" i="3"/>
  <c r="DT75" i="3"/>
  <c r="DS75" i="3"/>
  <c r="DR75" i="3"/>
  <c r="EZ75" i="3" s="1"/>
  <c r="DP75" i="3"/>
  <c r="DO75" i="3"/>
  <c r="DN75" i="3"/>
  <c r="EU75" i="3" s="1"/>
  <c r="DM75" i="3"/>
  <c r="DL75" i="3"/>
  <c r="DJ75" i="3"/>
  <c r="DI75" i="3"/>
  <c r="DH75" i="3"/>
  <c r="DG75" i="3"/>
  <c r="DK75" i="3" s="1"/>
  <c r="K75" i="3"/>
  <c r="J75" i="3"/>
  <c r="H75" i="3"/>
  <c r="B75" i="3"/>
  <c r="EZ74" i="3"/>
  <c r="EY74" i="3"/>
  <c r="EW74" i="3"/>
  <c r="EO74" i="3"/>
  <c r="EL74" i="3"/>
  <c r="EK74" i="3"/>
  <c r="EJ74" i="3"/>
  <c r="EG74" i="3"/>
  <c r="EF74" i="3"/>
  <c r="EQ74" i="3" s="1"/>
  <c r="EE74" i="3"/>
  <c r="EP74" i="3" s="1"/>
  <c r="ED74" i="3"/>
  <c r="EC74" i="3"/>
  <c r="EN74" i="3" s="1"/>
  <c r="EA74" i="3"/>
  <c r="DZ74" i="3"/>
  <c r="DY74" i="3"/>
  <c r="DW74" i="3"/>
  <c r="DU74" i="3"/>
  <c r="DV74" i="3" s="1"/>
  <c r="DX74" i="3" s="1"/>
  <c r="DT74" i="3"/>
  <c r="DS74" i="3"/>
  <c r="DR74" i="3"/>
  <c r="DP74" i="3"/>
  <c r="DO74" i="3"/>
  <c r="EV74" i="3" s="1"/>
  <c r="DN74" i="3"/>
  <c r="DM74" i="3"/>
  <c r="DK74" i="3"/>
  <c r="DL74" i="3" s="1"/>
  <c r="DJ74" i="3"/>
  <c r="DI74" i="3"/>
  <c r="DH74" i="3"/>
  <c r="DG74" i="3"/>
  <c r="FA74" i="3" s="1"/>
  <c r="K74" i="3"/>
  <c r="J74" i="3"/>
  <c r="H74" i="3"/>
  <c r="B74" i="3"/>
  <c r="EZ73" i="3"/>
  <c r="EY73" i="3"/>
  <c r="EW73" i="3"/>
  <c r="EP73" i="3"/>
  <c r="EL73" i="3"/>
  <c r="EK73" i="3"/>
  <c r="EV73" i="3" s="1"/>
  <c r="EJ73" i="3"/>
  <c r="EF73" i="3"/>
  <c r="EQ73" i="3" s="1"/>
  <c r="EE73" i="3"/>
  <c r="ED73" i="3"/>
  <c r="EO73" i="3" s="1"/>
  <c r="EC73" i="3"/>
  <c r="EA73" i="3"/>
  <c r="DZ73" i="3"/>
  <c r="DY73" i="3"/>
  <c r="DX73" i="3"/>
  <c r="DW73" i="3"/>
  <c r="DV73" i="3"/>
  <c r="DU73" i="3"/>
  <c r="DT73" i="3"/>
  <c r="DS73" i="3"/>
  <c r="DR73" i="3"/>
  <c r="DP73" i="3"/>
  <c r="DO73" i="3"/>
  <c r="DN73" i="3"/>
  <c r="EU73" i="3" s="1"/>
  <c r="DJ73" i="3"/>
  <c r="DI73" i="3"/>
  <c r="DH73" i="3"/>
  <c r="DG73" i="3"/>
  <c r="K73" i="3"/>
  <c r="J73" i="3"/>
  <c r="H73" i="3"/>
  <c r="B73" i="3"/>
  <c r="FA72" i="3"/>
  <c r="EZ72" i="3"/>
  <c r="EY72" i="3"/>
  <c r="EV72" i="3"/>
  <c r="EQ72" i="3"/>
  <c r="EL72" i="3"/>
  <c r="EW72" i="3" s="1"/>
  <c r="EK72" i="3"/>
  <c r="EJ72" i="3"/>
  <c r="EH72" i="3"/>
  <c r="EG72" i="3"/>
  <c r="EI72" i="3" s="1"/>
  <c r="EF72" i="3"/>
  <c r="EE72" i="3"/>
  <c r="EP72" i="3" s="1"/>
  <c r="ED72" i="3"/>
  <c r="EC72" i="3"/>
  <c r="EN72" i="3" s="1"/>
  <c r="EA72" i="3"/>
  <c r="DZ72" i="3"/>
  <c r="DY72" i="3"/>
  <c r="DU72" i="3"/>
  <c r="DT72" i="3"/>
  <c r="DS72" i="3"/>
  <c r="DR72" i="3"/>
  <c r="DV72" i="3" s="1"/>
  <c r="DP72" i="3"/>
  <c r="DO72" i="3"/>
  <c r="DN72" i="3"/>
  <c r="DJ72" i="3"/>
  <c r="DI72" i="3"/>
  <c r="DH72" i="3"/>
  <c r="EO72" i="3" s="1"/>
  <c r="DG72" i="3"/>
  <c r="DK72" i="3" s="1"/>
  <c r="K72" i="3"/>
  <c r="J72" i="3"/>
  <c r="H72" i="3"/>
  <c r="B72" i="3"/>
  <c r="FA71" i="3"/>
  <c r="EZ71" i="3"/>
  <c r="FB71" i="3" s="1"/>
  <c r="EL71" i="3"/>
  <c r="EK71" i="3"/>
  <c r="EJ71" i="3"/>
  <c r="EU71" i="3" s="1"/>
  <c r="EF71" i="3"/>
  <c r="EQ71" i="3" s="1"/>
  <c r="EE71" i="3"/>
  <c r="ED71" i="3"/>
  <c r="EC71" i="3"/>
  <c r="EY71" i="3" s="1"/>
  <c r="EA71" i="3"/>
  <c r="DZ71" i="3"/>
  <c r="DY71" i="3"/>
  <c r="DU71" i="3"/>
  <c r="DT71" i="3"/>
  <c r="DS71" i="3"/>
  <c r="EO71" i="3" s="1"/>
  <c r="DR71" i="3"/>
  <c r="DP71" i="3"/>
  <c r="EW71" i="3" s="1"/>
  <c r="DO71" i="3"/>
  <c r="DN71" i="3"/>
  <c r="DJ71" i="3"/>
  <c r="DI71" i="3"/>
  <c r="EP71" i="3" s="1"/>
  <c r="DH71" i="3"/>
  <c r="DG71" i="3"/>
  <c r="K71" i="3"/>
  <c r="J71" i="3"/>
  <c r="B71" i="3"/>
  <c r="FA70" i="3"/>
  <c r="EY70" i="3"/>
  <c r="EL70" i="3"/>
  <c r="EW70" i="3" s="1"/>
  <c r="EK70" i="3"/>
  <c r="EV70" i="3" s="1"/>
  <c r="EJ70" i="3"/>
  <c r="EU70" i="3" s="1"/>
  <c r="EI70" i="3"/>
  <c r="EG70" i="3"/>
  <c r="EH70" i="3" s="1"/>
  <c r="EF70" i="3"/>
  <c r="EE70" i="3"/>
  <c r="ED70" i="3"/>
  <c r="EC70" i="3"/>
  <c r="EA70" i="3"/>
  <c r="DZ70" i="3"/>
  <c r="DY70" i="3"/>
  <c r="DU70" i="3"/>
  <c r="DT70" i="3"/>
  <c r="EP70" i="3" s="1"/>
  <c r="DS70" i="3"/>
  <c r="EO70" i="3" s="1"/>
  <c r="DR70" i="3"/>
  <c r="DP70" i="3"/>
  <c r="DO70" i="3"/>
  <c r="DN70" i="3"/>
  <c r="DJ70" i="3"/>
  <c r="EQ70" i="3" s="1"/>
  <c r="DI70" i="3"/>
  <c r="DH70" i="3"/>
  <c r="DG70" i="3"/>
  <c r="DK70" i="3" s="1"/>
  <c r="K70" i="3"/>
  <c r="J70" i="3"/>
  <c r="H70" i="3"/>
  <c r="B70" i="3"/>
  <c r="EZ69" i="3"/>
  <c r="EL69" i="3"/>
  <c r="EW69" i="3" s="1"/>
  <c r="EK69" i="3"/>
  <c r="EV69" i="3" s="1"/>
  <c r="EJ69" i="3"/>
  <c r="EU69" i="3" s="1"/>
  <c r="EF69" i="3"/>
  <c r="EE69" i="3"/>
  <c r="ED69" i="3"/>
  <c r="EC69" i="3"/>
  <c r="EA69" i="3"/>
  <c r="DZ69" i="3"/>
  <c r="DY69" i="3"/>
  <c r="DU69" i="3"/>
  <c r="EQ69" i="3" s="1"/>
  <c r="DT69" i="3"/>
  <c r="EP69" i="3" s="1"/>
  <c r="DS69" i="3"/>
  <c r="DR69" i="3"/>
  <c r="DP69" i="3"/>
  <c r="DO69" i="3"/>
  <c r="DN69" i="3"/>
  <c r="DK69" i="3"/>
  <c r="DJ69" i="3"/>
  <c r="DI69" i="3"/>
  <c r="DH69" i="3"/>
  <c r="DG69" i="3"/>
  <c r="FA69" i="3" s="1"/>
  <c r="K69" i="3"/>
  <c r="J69" i="3"/>
  <c r="B69" i="3"/>
  <c r="FA68" i="3"/>
  <c r="EY68" i="3"/>
  <c r="EU68" i="3"/>
  <c r="EN68" i="3"/>
  <c r="EL68" i="3"/>
  <c r="EW68" i="3" s="1"/>
  <c r="EK68" i="3"/>
  <c r="EV68" i="3" s="1"/>
  <c r="EJ68" i="3"/>
  <c r="EF68" i="3"/>
  <c r="EE68" i="3"/>
  <c r="ED68" i="3"/>
  <c r="EC68" i="3"/>
  <c r="EA68" i="3"/>
  <c r="DZ68" i="3"/>
  <c r="DY68" i="3"/>
  <c r="DU68" i="3"/>
  <c r="EQ68" i="3" s="1"/>
  <c r="DT68" i="3"/>
  <c r="DV68" i="3" s="1"/>
  <c r="DS68" i="3"/>
  <c r="DR68" i="3"/>
  <c r="EZ68" i="3" s="1"/>
  <c r="DP68" i="3"/>
  <c r="DO68" i="3"/>
  <c r="DN68" i="3"/>
  <c r="DL68" i="3"/>
  <c r="DJ68" i="3"/>
  <c r="DI68" i="3"/>
  <c r="DH68" i="3"/>
  <c r="DK68" i="3" s="1"/>
  <c r="DM68" i="3" s="1"/>
  <c r="DG68" i="3"/>
  <c r="K68" i="3"/>
  <c r="J68" i="3"/>
  <c r="H68" i="3"/>
  <c r="B68" i="3"/>
  <c r="EZ67" i="3"/>
  <c r="EV67" i="3"/>
  <c r="EO67" i="3"/>
  <c r="EN67" i="3"/>
  <c r="EL67" i="3"/>
  <c r="EW67" i="3" s="1"/>
  <c r="EK67" i="3"/>
  <c r="EJ67" i="3"/>
  <c r="EU67" i="3" s="1"/>
  <c r="EF67" i="3"/>
  <c r="EQ67" i="3" s="1"/>
  <c r="EE67" i="3"/>
  <c r="EP67" i="3" s="1"/>
  <c r="ED67" i="3"/>
  <c r="EC67" i="3"/>
  <c r="EY67" i="3" s="1"/>
  <c r="FB67" i="3" s="1"/>
  <c r="EA67" i="3"/>
  <c r="DZ67" i="3"/>
  <c r="DY67" i="3"/>
  <c r="DV67" i="3"/>
  <c r="DX67" i="3" s="1"/>
  <c r="DU67" i="3"/>
  <c r="DT67" i="3"/>
  <c r="DS67" i="3"/>
  <c r="DR67" i="3"/>
  <c r="DP67" i="3"/>
  <c r="DO67" i="3"/>
  <c r="DN67" i="3"/>
  <c r="DM67" i="3"/>
  <c r="DJ67" i="3"/>
  <c r="DK67" i="3" s="1"/>
  <c r="DI67" i="3"/>
  <c r="DH67" i="3"/>
  <c r="DG67" i="3"/>
  <c r="FA67" i="3" s="1"/>
  <c r="K67" i="3"/>
  <c r="J67" i="3"/>
  <c r="H67" i="3"/>
  <c r="B67" i="3"/>
  <c r="EW66" i="3"/>
  <c r="EP66" i="3"/>
  <c r="EO66" i="3"/>
  <c r="EN66" i="3"/>
  <c r="EL66" i="3"/>
  <c r="EK66" i="3"/>
  <c r="EV66" i="3" s="1"/>
  <c r="EJ66" i="3"/>
  <c r="EF66" i="3"/>
  <c r="EQ66" i="3" s="1"/>
  <c r="EE66" i="3"/>
  <c r="ED66" i="3"/>
  <c r="EC66" i="3"/>
  <c r="EY66" i="3" s="1"/>
  <c r="EA66" i="3"/>
  <c r="DZ66" i="3"/>
  <c r="DY66" i="3"/>
  <c r="DW66" i="3"/>
  <c r="DV66" i="3"/>
  <c r="DX66" i="3" s="1"/>
  <c r="DU66" i="3"/>
  <c r="DT66" i="3"/>
  <c r="DS66" i="3"/>
  <c r="DR66" i="3"/>
  <c r="EZ66" i="3" s="1"/>
  <c r="DP66" i="3"/>
  <c r="DO66" i="3"/>
  <c r="DN66" i="3"/>
  <c r="EU66" i="3" s="1"/>
  <c r="DJ66" i="3"/>
  <c r="DI66" i="3"/>
  <c r="DH66" i="3"/>
  <c r="DG66" i="3"/>
  <c r="K66" i="3"/>
  <c r="J66" i="3"/>
  <c r="H66" i="3"/>
  <c r="B66" i="3"/>
  <c r="EZ65" i="3"/>
  <c r="EY65" i="3"/>
  <c r="EP65" i="3"/>
  <c r="EL65" i="3"/>
  <c r="EW65" i="3" s="1"/>
  <c r="EK65" i="3"/>
  <c r="EJ65" i="3"/>
  <c r="EG65" i="3"/>
  <c r="EF65" i="3"/>
  <c r="EE65" i="3"/>
  <c r="ED65" i="3"/>
  <c r="EC65" i="3"/>
  <c r="EN65" i="3" s="1"/>
  <c r="EA65" i="3"/>
  <c r="DZ65" i="3"/>
  <c r="DY65" i="3"/>
  <c r="EU65" i="3" s="1"/>
  <c r="DU65" i="3"/>
  <c r="EQ65" i="3" s="1"/>
  <c r="DT65" i="3"/>
  <c r="DS65" i="3"/>
  <c r="DR65" i="3"/>
  <c r="DV65" i="3" s="1"/>
  <c r="DX65" i="3" s="1"/>
  <c r="DP65" i="3"/>
  <c r="DO65" i="3"/>
  <c r="EV65" i="3" s="1"/>
  <c r="DN65" i="3"/>
  <c r="DJ65" i="3"/>
  <c r="DI65" i="3"/>
  <c r="DH65" i="3"/>
  <c r="EO65" i="3" s="1"/>
  <c r="DG65" i="3"/>
  <c r="K65" i="3"/>
  <c r="J65" i="3"/>
  <c r="H65" i="3"/>
  <c r="B65" i="3"/>
  <c r="EZ64" i="3"/>
  <c r="EY64" i="3"/>
  <c r="EW64" i="3"/>
  <c r="EQ64" i="3"/>
  <c r="EP64" i="3"/>
  <c r="EL64" i="3"/>
  <c r="EK64" i="3"/>
  <c r="EJ64" i="3"/>
  <c r="EF64" i="3"/>
  <c r="EE64" i="3"/>
  <c r="ED64" i="3"/>
  <c r="EO64" i="3" s="1"/>
  <c r="EC64" i="3"/>
  <c r="EA64" i="3"/>
  <c r="DZ64" i="3"/>
  <c r="EV64" i="3" s="1"/>
  <c r="DY64" i="3"/>
  <c r="DX64" i="3"/>
  <c r="DV64" i="3"/>
  <c r="DW64" i="3" s="1"/>
  <c r="DU64" i="3"/>
  <c r="DT64" i="3"/>
  <c r="DS64" i="3"/>
  <c r="DR64" i="3"/>
  <c r="DP64" i="3"/>
  <c r="DO64" i="3"/>
  <c r="DN64" i="3"/>
  <c r="DJ64" i="3"/>
  <c r="DI64" i="3"/>
  <c r="DH64" i="3"/>
  <c r="DG64" i="3"/>
  <c r="K64" i="3"/>
  <c r="J64" i="3"/>
  <c r="H64" i="3"/>
  <c r="B64" i="3"/>
  <c r="FA63" i="3"/>
  <c r="EY63" i="3"/>
  <c r="EO63" i="3"/>
  <c r="EL63" i="3"/>
  <c r="EK63" i="3"/>
  <c r="EJ63" i="3"/>
  <c r="EU63" i="3" s="1"/>
  <c r="EG63" i="3"/>
  <c r="EH63" i="3" s="1"/>
  <c r="EF63" i="3"/>
  <c r="EQ63" i="3" s="1"/>
  <c r="EE63" i="3"/>
  <c r="EP63" i="3" s="1"/>
  <c r="ED63" i="3"/>
  <c r="EC63" i="3"/>
  <c r="EA63" i="3"/>
  <c r="EW63" i="3" s="1"/>
  <c r="DZ63" i="3"/>
  <c r="EV63" i="3" s="1"/>
  <c r="DY63" i="3"/>
  <c r="DU63" i="3"/>
  <c r="DT63" i="3"/>
  <c r="DS63" i="3"/>
  <c r="DR63" i="3"/>
  <c r="DP63" i="3"/>
  <c r="DO63" i="3"/>
  <c r="DN63" i="3"/>
  <c r="DJ63" i="3"/>
  <c r="DI63" i="3"/>
  <c r="DH63" i="3"/>
  <c r="DG63" i="3"/>
  <c r="K63" i="3"/>
  <c r="J63" i="3"/>
  <c r="H63" i="3"/>
  <c r="B63" i="3"/>
  <c r="EZ62" i="3"/>
  <c r="EL62" i="3"/>
  <c r="EK62" i="3"/>
  <c r="EV62" i="3" s="1"/>
  <c r="EJ62" i="3"/>
  <c r="EU62" i="3" s="1"/>
  <c r="EG62" i="3"/>
  <c r="EI62" i="3" s="1"/>
  <c r="EF62" i="3"/>
  <c r="EE62" i="3"/>
  <c r="ED62" i="3"/>
  <c r="EO62" i="3" s="1"/>
  <c r="EC62" i="3"/>
  <c r="EN62" i="3" s="1"/>
  <c r="EA62" i="3"/>
  <c r="EW62" i="3" s="1"/>
  <c r="DZ62" i="3"/>
  <c r="DY62" i="3"/>
  <c r="DX62" i="3"/>
  <c r="DV62" i="3"/>
  <c r="DW62" i="3" s="1"/>
  <c r="DU62" i="3"/>
  <c r="DT62" i="3"/>
  <c r="DS62" i="3"/>
  <c r="DR62" i="3"/>
  <c r="DP62" i="3"/>
  <c r="DO62" i="3"/>
  <c r="DN62" i="3"/>
  <c r="DK62" i="3"/>
  <c r="DJ62" i="3"/>
  <c r="DI62" i="3"/>
  <c r="EP62" i="3" s="1"/>
  <c r="DH62" i="3"/>
  <c r="DG62" i="3"/>
  <c r="FA62" i="3" s="1"/>
  <c r="K62" i="3"/>
  <c r="J62" i="3"/>
  <c r="H62" i="3"/>
  <c r="B62" i="3"/>
  <c r="FA61" i="3"/>
  <c r="EL61" i="3"/>
  <c r="EW61" i="3" s="1"/>
  <c r="EK61" i="3"/>
  <c r="EV61" i="3" s="1"/>
  <c r="EJ61" i="3"/>
  <c r="EF61" i="3"/>
  <c r="EE61" i="3"/>
  <c r="EP61" i="3" s="1"/>
  <c r="ED61" i="3"/>
  <c r="EO61" i="3" s="1"/>
  <c r="EC61" i="3"/>
  <c r="EA61" i="3"/>
  <c r="DZ61" i="3"/>
  <c r="DY61" i="3"/>
  <c r="EU61" i="3" s="1"/>
  <c r="DU61" i="3"/>
  <c r="DT61" i="3"/>
  <c r="DS61" i="3"/>
  <c r="DR61" i="3"/>
  <c r="DP61" i="3"/>
  <c r="DO61" i="3"/>
  <c r="DN61" i="3"/>
  <c r="DJ61" i="3"/>
  <c r="EQ61" i="3" s="1"/>
  <c r="DI61" i="3"/>
  <c r="DH61" i="3"/>
  <c r="DG61" i="3"/>
  <c r="K61" i="3"/>
  <c r="J61" i="3"/>
  <c r="H61" i="3"/>
  <c r="B61" i="3"/>
  <c r="EV60" i="3"/>
  <c r="EP60" i="3"/>
  <c r="EL60" i="3"/>
  <c r="EW60" i="3" s="1"/>
  <c r="EK60" i="3"/>
  <c r="EJ60" i="3"/>
  <c r="EU60" i="3" s="1"/>
  <c r="EF60" i="3"/>
  <c r="EE60" i="3"/>
  <c r="ED60" i="3"/>
  <c r="EO60" i="3" s="1"/>
  <c r="EC60" i="3"/>
  <c r="EA60" i="3"/>
  <c r="DZ60" i="3"/>
  <c r="DY60" i="3"/>
  <c r="DU60" i="3"/>
  <c r="DT60" i="3"/>
  <c r="DS60" i="3"/>
  <c r="DR60" i="3"/>
  <c r="DP60" i="3"/>
  <c r="DO60" i="3"/>
  <c r="DN60" i="3"/>
  <c r="DJ60" i="3"/>
  <c r="DI60" i="3"/>
  <c r="DH60" i="3"/>
  <c r="DG60" i="3"/>
  <c r="DK60" i="3" s="1"/>
  <c r="K60" i="3"/>
  <c r="J60" i="3"/>
  <c r="H60" i="3"/>
  <c r="B60" i="3"/>
  <c r="FA59" i="3"/>
  <c r="EY59" i="3"/>
  <c r="EW59" i="3"/>
  <c r="EN59" i="3"/>
  <c r="EL59" i="3"/>
  <c r="EK59" i="3"/>
  <c r="EV59" i="3" s="1"/>
  <c r="EJ59" i="3"/>
  <c r="EU59" i="3" s="1"/>
  <c r="EF59" i="3"/>
  <c r="EQ59" i="3" s="1"/>
  <c r="EE59" i="3"/>
  <c r="EP59" i="3" s="1"/>
  <c r="ED59" i="3"/>
  <c r="EC59" i="3"/>
  <c r="EA59" i="3"/>
  <c r="DZ59" i="3"/>
  <c r="DY59" i="3"/>
  <c r="DV59" i="3"/>
  <c r="DU59" i="3"/>
  <c r="DT59" i="3"/>
  <c r="DS59" i="3"/>
  <c r="DR59" i="3"/>
  <c r="EZ59" i="3" s="1"/>
  <c r="FB59" i="3" s="1"/>
  <c r="DP59" i="3"/>
  <c r="DO59" i="3"/>
  <c r="DN59" i="3"/>
  <c r="DJ59" i="3"/>
  <c r="DI59" i="3"/>
  <c r="DH59" i="3"/>
  <c r="DG59" i="3"/>
  <c r="K59" i="3"/>
  <c r="J59" i="3"/>
  <c r="H59" i="3"/>
  <c r="B59" i="3"/>
  <c r="EZ58" i="3"/>
  <c r="EO58" i="3"/>
  <c r="EN58" i="3"/>
  <c r="EL58" i="3"/>
  <c r="EW58" i="3" s="1"/>
  <c r="EK58" i="3"/>
  <c r="EJ58" i="3"/>
  <c r="EU58" i="3" s="1"/>
  <c r="EF58" i="3"/>
  <c r="EQ58" i="3" s="1"/>
  <c r="EE58" i="3"/>
  <c r="ED58" i="3"/>
  <c r="EC58" i="3"/>
  <c r="EA58" i="3"/>
  <c r="DZ58" i="3"/>
  <c r="EV58" i="3" s="1"/>
  <c r="DY58" i="3"/>
  <c r="DU58" i="3"/>
  <c r="DT58" i="3"/>
  <c r="DV58" i="3" s="1"/>
  <c r="DS58" i="3"/>
  <c r="DR58" i="3"/>
  <c r="DP58" i="3"/>
  <c r="DO58" i="3"/>
  <c r="DN58" i="3"/>
  <c r="DM58" i="3"/>
  <c r="DK58" i="3"/>
  <c r="DL58" i="3" s="1"/>
  <c r="DJ58" i="3"/>
  <c r="DI58" i="3"/>
  <c r="DH58" i="3"/>
  <c r="DG58" i="3"/>
  <c r="FA58" i="3" s="1"/>
  <c r="K58" i="3"/>
  <c r="J58" i="3"/>
  <c r="H58" i="3"/>
  <c r="B58" i="3"/>
  <c r="EZ57" i="3"/>
  <c r="EY57" i="3"/>
  <c r="EO57" i="3"/>
  <c r="EN57" i="3"/>
  <c r="EL57" i="3"/>
  <c r="EK57" i="3"/>
  <c r="EV57" i="3" s="1"/>
  <c r="EJ57" i="3"/>
  <c r="EF57" i="3"/>
  <c r="EE57" i="3"/>
  <c r="ED57" i="3"/>
  <c r="EG57" i="3" s="1"/>
  <c r="EC57" i="3"/>
  <c r="EA57" i="3"/>
  <c r="EW57" i="3" s="1"/>
  <c r="DZ57" i="3"/>
  <c r="DY57" i="3"/>
  <c r="DV57" i="3"/>
  <c r="DU57" i="3"/>
  <c r="DT57" i="3"/>
  <c r="EP57" i="3" s="1"/>
  <c r="DS57" i="3"/>
  <c r="DR57" i="3"/>
  <c r="DP57" i="3"/>
  <c r="DO57" i="3"/>
  <c r="DN57" i="3"/>
  <c r="EU57" i="3" s="1"/>
  <c r="DJ57" i="3"/>
  <c r="DI57" i="3"/>
  <c r="DH57" i="3"/>
  <c r="DG57" i="3"/>
  <c r="K57" i="3"/>
  <c r="J57" i="3"/>
  <c r="H57" i="3"/>
  <c r="B57" i="3"/>
  <c r="FA56" i="3"/>
  <c r="EZ56" i="3"/>
  <c r="EV56" i="3"/>
  <c r="EO56" i="3"/>
  <c r="EL56" i="3"/>
  <c r="EW56" i="3" s="1"/>
  <c r="EK56" i="3"/>
  <c r="EJ56" i="3"/>
  <c r="EU56" i="3" s="1"/>
  <c r="EF56" i="3"/>
  <c r="EE56" i="3"/>
  <c r="EP56" i="3" s="1"/>
  <c r="ED56" i="3"/>
  <c r="EC56" i="3"/>
  <c r="EG56" i="3" s="1"/>
  <c r="EA56" i="3"/>
  <c r="DZ56" i="3"/>
  <c r="DY56" i="3"/>
  <c r="DU56" i="3"/>
  <c r="DT56" i="3"/>
  <c r="DS56" i="3"/>
  <c r="DR56" i="3"/>
  <c r="DP56" i="3"/>
  <c r="DO56" i="3"/>
  <c r="DN56" i="3"/>
  <c r="DM56" i="3"/>
  <c r="DJ56" i="3"/>
  <c r="DI56" i="3"/>
  <c r="DH56" i="3"/>
  <c r="DG56" i="3"/>
  <c r="DK56" i="3" s="1"/>
  <c r="K56" i="3"/>
  <c r="J56" i="3"/>
  <c r="H56" i="3"/>
  <c r="B56" i="3"/>
  <c r="FA55" i="3"/>
  <c r="EL55" i="3"/>
  <c r="EK55" i="3"/>
  <c r="EV55" i="3" s="1"/>
  <c r="EJ55" i="3"/>
  <c r="EF55" i="3"/>
  <c r="EQ55" i="3" s="1"/>
  <c r="EE55" i="3"/>
  <c r="ED55" i="3"/>
  <c r="EC55" i="3"/>
  <c r="EY55" i="3" s="1"/>
  <c r="EA55" i="3"/>
  <c r="DZ55" i="3"/>
  <c r="DY55" i="3"/>
  <c r="DX55" i="3"/>
  <c r="DV55" i="3"/>
  <c r="DW55" i="3" s="1"/>
  <c r="DU55" i="3"/>
  <c r="DT55" i="3"/>
  <c r="EP55" i="3" s="1"/>
  <c r="DS55" i="3"/>
  <c r="DR55" i="3"/>
  <c r="EZ55" i="3" s="1"/>
  <c r="FB55" i="3" s="1"/>
  <c r="DP55" i="3"/>
  <c r="EW55" i="3" s="1"/>
  <c r="DO55" i="3"/>
  <c r="DN55" i="3"/>
  <c r="DJ55" i="3"/>
  <c r="DI55" i="3"/>
  <c r="DH55" i="3"/>
  <c r="EO55" i="3" s="1"/>
  <c r="DG55" i="3"/>
  <c r="K55" i="3"/>
  <c r="J55" i="3"/>
  <c r="H55" i="3"/>
  <c r="B55" i="3"/>
  <c r="EY54" i="3"/>
  <c r="EQ54" i="3"/>
  <c r="EL54" i="3"/>
  <c r="EW54" i="3" s="1"/>
  <c r="EK54" i="3"/>
  <c r="EJ54" i="3"/>
  <c r="EU54" i="3" s="1"/>
  <c r="EF54" i="3"/>
  <c r="EE54" i="3"/>
  <c r="EG54" i="3" s="1"/>
  <c r="EH54" i="3" s="1"/>
  <c r="ED54" i="3"/>
  <c r="EC54" i="3"/>
  <c r="EA54" i="3"/>
  <c r="DZ54" i="3"/>
  <c r="EV54" i="3" s="1"/>
  <c r="DY54" i="3"/>
  <c r="DU54" i="3"/>
  <c r="DT54" i="3"/>
  <c r="DS54" i="3"/>
  <c r="EO54" i="3" s="1"/>
  <c r="DR54" i="3"/>
  <c r="DP54" i="3"/>
  <c r="DO54" i="3"/>
  <c r="DN54" i="3"/>
  <c r="DM54" i="3"/>
  <c r="DJ54" i="3"/>
  <c r="DI54" i="3"/>
  <c r="EP54" i="3" s="1"/>
  <c r="DH54" i="3"/>
  <c r="DG54" i="3"/>
  <c r="DK54" i="3" s="1"/>
  <c r="DL54" i="3" s="1"/>
  <c r="K54" i="3"/>
  <c r="J54" i="3"/>
  <c r="H54" i="3"/>
  <c r="B54" i="3"/>
  <c r="EZ53" i="3"/>
  <c r="EL53" i="3"/>
  <c r="EW53" i="3" s="1"/>
  <c r="EK53" i="3"/>
  <c r="EV53" i="3" s="1"/>
  <c r="EJ53" i="3"/>
  <c r="EF53" i="3"/>
  <c r="EQ53" i="3" s="1"/>
  <c r="EE53" i="3"/>
  <c r="ED53" i="3"/>
  <c r="EO53" i="3" s="1"/>
  <c r="EC53" i="3"/>
  <c r="EA53" i="3"/>
  <c r="DZ53" i="3"/>
  <c r="DY53" i="3"/>
  <c r="DX53" i="3"/>
  <c r="DU53" i="3"/>
  <c r="DT53" i="3"/>
  <c r="EP53" i="3" s="1"/>
  <c r="DS53" i="3"/>
  <c r="DV53" i="3" s="1"/>
  <c r="DW53" i="3" s="1"/>
  <c r="DR53" i="3"/>
  <c r="DP53" i="3"/>
  <c r="DO53" i="3"/>
  <c r="DN53" i="3"/>
  <c r="DK53" i="3"/>
  <c r="DJ53" i="3"/>
  <c r="DI53" i="3"/>
  <c r="DH53" i="3"/>
  <c r="DG53" i="3"/>
  <c r="FA53" i="3" s="1"/>
  <c r="K53" i="3"/>
  <c r="J53" i="3"/>
  <c r="B53" i="3"/>
  <c r="FA52" i="3"/>
  <c r="EQ52" i="3"/>
  <c r="EO52" i="3"/>
  <c r="EL52" i="3"/>
  <c r="EK52" i="3"/>
  <c r="EJ52" i="3"/>
  <c r="EI52" i="3"/>
  <c r="EG52" i="3"/>
  <c r="EH52" i="3" s="1"/>
  <c r="EF52" i="3"/>
  <c r="EE52" i="3"/>
  <c r="EP52" i="3" s="1"/>
  <c r="ED52" i="3"/>
  <c r="EC52" i="3"/>
  <c r="EY52" i="3" s="1"/>
  <c r="FB52" i="3" s="1"/>
  <c r="EA52" i="3"/>
  <c r="DZ52" i="3"/>
  <c r="DY52" i="3"/>
  <c r="EU52" i="3" s="1"/>
  <c r="DV52" i="3"/>
  <c r="DU52" i="3"/>
  <c r="DT52" i="3"/>
  <c r="DS52" i="3"/>
  <c r="DR52" i="3"/>
  <c r="EZ52" i="3" s="1"/>
  <c r="DP52" i="3"/>
  <c r="DO52" i="3"/>
  <c r="DN52" i="3"/>
  <c r="DK52" i="3"/>
  <c r="DM52" i="3" s="1"/>
  <c r="DJ52" i="3"/>
  <c r="DI52" i="3"/>
  <c r="DH52" i="3"/>
  <c r="DG52" i="3"/>
  <c r="K52" i="3"/>
  <c r="J52" i="3"/>
  <c r="B52" i="3"/>
  <c r="EZ51" i="3"/>
  <c r="EV51" i="3"/>
  <c r="EL51" i="3"/>
  <c r="EK51" i="3"/>
  <c r="EJ51" i="3"/>
  <c r="EU51" i="3" s="1"/>
  <c r="EF51" i="3"/>
  <c r="EQ51" i="3" s="1"/>
  <c r="EE51" i="3"/>
  <c r="EP51" i="3" s="1"/>
  <c r="ED51" i="3"/>
  <c r="EO51" i="3" s="1"/>
  <c r="EC51" i="3"/>
  <c r="EA51" i="3"/>
  <c r="DZ51" i="3"/>
  <c r="DY51" i="3"/>
  <c r="DX51" i="3"/>
  <c r="DV51" i="3"/>
  <c r="DW51" i="3" s="1"/>
  <c r="DU51" i="3"/>
  <c r="DT51" i="3"/>
  <c r="DS51" i="3"/>
  <c r="DR51" i="3"/>
  <c r="DP51" i="3"/>
  <c r="DO51" i="3"/>
  <c r="DN51" i="3"/>
  <c r="DJ51" i="3"/>
  <c r="DI51" i="3"/>
  <c r="DH51" i="3"/>
  <c r="DG51" i="3"/>
  <c r="K51" i="3"/>
  <c r="J51" i="3"/>
  <c r="H51" i="3"/>
  <c r="B51" i="3"/>
  <c r="FA50" i="3"/>
  <c r="EW50" i="3"/>
  <c r="EV50" i="3"/>
  <c r="EU50" i="3"/>
  <c r="EN50" i="3"/>
  <c r="EL50" i="3"/>
  <c r="EK50" i="3"/>
  <c r="EJ50" i="3"/>
  <c r="EF50" i="3"/>
  <c r="EQ50" i="3" s="1"/>
  <c r="EE50" i="3"/>
  <c r="ED50" i="3"/>
  <c r="EO50" i="3" s="1"/>
  <c r="EC50" i="3"/>
  <c r="EA50" i="3"/>
  <c r="DZ50" i="3"/>
  <c r="DY50" i="3"/>
  <c r="DU50" i="3"/>
  <c r="DT50" i="3"/>
  <c r="DS50" i="3"/>
  <c r="DR50" i="3"/>
  <c r="EZ50" i="3" s="1"/>
  <c r="DP50" i="3"/>
  <c r="DO50" i="3"/>
  <c r="DN50" i="3"/>
  <c r="DK50" i="3"/>
  <c r="DJ50" i="3"/>
  <c r="DI50" i="3"/>
  <c r="DH50" i="3"/>
  <c r="DG50" i="3"/>
  <c r="K50" i="3"/>
  <c r="J50" i="3"/>
  <c r="H50" i="3"/>
  <c r="B50" i="3"/>
  <c r="EZ49" i="3"/>
  <c r="EP49" i="3"/>
  <c r="EL49" i="3"/>
  <c r="EW49" i="3" s="1"/>
  <c r="EK49" i="3"/>
  <c r="EJ49" i="3"/>
  <c r="EU49" i="3" s="1"/>
  <c r="EF49" i="3"/>
  <c r="EQ49" i="3" s="1"/>
  <c r="EE49" i="3"/>
  <c r="ED49" i="3"/>
  <c r="EC49" i="3"/>
  <c r="EN49" i="3" s="1"/>
  <c r="EA49" i="3"/>
  <c r="DZ49" i="3"/>
  <c r="EV49" i="3" s="1"/>
  <c r="DY49" i="3"/>
  <c r="DU49" i="3"/>
  <c r="DT49" i="3"/>
  <c r="DS49" i="3"/>
  <c r="EO49" i="3" s="1"/>
  <c r="DR49" i="3"/>
  <c r="DP49" i="3"/>
  <c r="DO49" i="3"/>
  <c r="DN49" i="3"/>
  <c r="DJ49" i="3"/>
  <c r="DI49" i="3"/>
  <c r="DH49" i="3"/>
  <c r="DG49" i="3"/>
  <c r="FA49" i="3" s="1"/>
  <c r="K49" i="3"/>
  <c r="J49" i="3"/>
  <c r="H49" i="3"/>
  <c r="B49" i="3"/>
  <c r="EZ48" i="3"/>
  <c r="EY48" i="3"/>
  <c r="EU48" i="3"/>
  <c r="EL48" i="3"/>
  <c r="EK48" i="3"/>
  <c r="EV48" i="3" s="1"/>
  <c r="EJ48" i="3"/>
  <c r="EG48" i="3"/>
  <c r="EF48" i="3"/>
  <c r="EQ48" i="3" s="1"/>
  <c r="EE48" i="3"/>
  <c r="EP48" i="3" s="1"/>
  <c r="ED48" i="3"/>
  <c r="EO48" i="3" s="1"/>
  <c r="EC48" i="3"/>
  <c r="EA48" i="3"/>
  <c r="DZ48" i="3"/>
  <c r="DY48" i="3"/>
  <c r="DV48" i="3"/>
  <c r="DW48" i="3" s="1"/>
  <c r="DU48" i="3"/>
  <c r="DT48" i="3"/>
  <c r="DS48" i="3"/>
  <c r="DR48" i="3"/>
  <c r="DP48" i="3"/>
  <c r="EW48" i="3" s="1"/>
  <c r="DO48" i="3"/>
  <c r="DN48" i="3"/>
  <c r="DJ48" i="3"/>
  <c r="DI48" i="3"/>
  <c r="DH48" i="3"/>
  <c r="DG48" i="3"/>
  <c r="K48" i="3"/>
  <c r="J48" i="3"/>
  <c r="H48" i="3"/>
  <c r="B48" i="3"/>
  <c r="FA47" i="3"/>
  <c r="EZ47" i="3"/>
  <c r="EY47" i="3"/>
  <c r="FB47" i="3" s="1"/>
  <c r="EV47" i="3"/>
  <c r="EL47" i="3"/>
  <c r="EW47" i="3" s="1"/>
  <c r="EK47" i="3"/>
  <c r="EJ47" i="3"/>
  <c r="EF47" i="3"/>
  <c r="EE47" i="3"/>
  <c r="EP47" i="3" s="1"/>
  <c r="ED47" i="3"/>
  <c r="EC47" i="3"/>
  <c r="EN47" i="3" s="1"/>
  <c r="EA47" i="3"/>
  <c r="DZ47" i="3"/>
  <c r="DY47" i="3"/>
  <c r="DU47" i="3"/>
  <c r="DT47" i="3"/>
  <c r="DS47" i="3"/>
  <c r="DR47" i="3"/>
  <c r="DP47" i="3"/>
  <c r="DO47" i="3"/>
  <c r="DN47" i="3"/>
  <c r="DJ47" i="3"/>
  <c r="EQ47" i="3" s="1"/>
  <c r="DI47" i="3"/>
  <c r="DH47" i="3"/>
  <c r="DG47" i="3"/>
  <c r="K47" i="3"/>
  <c r="J47" i="3"/>
  <c r="H47" i="3"/>
  <c r="B47" i="3"/>
  <c r="EY46" i="3"/>
  <c r="EP46" i="3"/>
  <c r="EO46" i="3"/>
  <c r="EL46" i="3"/>
  <c r="EK46" i="3"/>
  <c r="EJ46" i="3"/>
  <c r="EI46" i="3"/>
  <c r="EH46" i="3"/>
  <c r="EF46" i="3"/>
  <c r="EQ46" i="3" s="1"/>
  <c r="EE46" i="3"/>
  <c r="ED46" i="3"/>
  <c r="EG46" i="3" s="1"/>
  <c r="EC46" i="3"/>
  <c r="EA46" i="3"/>
  <c r="DZ46" i="3"/>
  <c r="DY46" i="3"/>
  <c r="DU46" i="3"/>
  <c r="DT46" i="3"/>
  <c r="DS46" i="3"/>
  <c r="DR46" i="3"/>
  <c r="DP46" i="3"/>
  <c r="DO46" i="3"/>
  <c r="DN46" i="3"/>
  <c r="EU46" i="3" s="1"/>
  <c r="DJ46" i="3"/>
  <c r="DI46" i="3"/>
  <c r="DH46" i="3"/>
  <c r="DG46" i="3"/>
  <c r="FA46" i="3" s="1"/>
  <c r="K46" i="3"/>
  <c r="J46" i="3"/>
  <c r="H46" i="3"/>
  <c r="B46" i="3"/>
  <c r="FA45" i="3"/>
  <c r="EZ45" i="3"/>
  <c r="EQ45" i="3"/>
  <c r="EO45" i="3"/>
  <c r="EL45" i="3"/>
  <c r="EW45" i="3" s="1"/>
  <c r="EK45" i="3"/>
  <c r="EV45" i="3" s="1"/>
  <c r="EJ45" i="3"/>
  <c r="EG45" i="3"/>
  <c r="EF45" i="3"/>
  <c r="EE45" i="3"/>
  <c r="ED45" i="3"/>
  <c r="EC45" i="3"/>
  <c r="EA45" i="3"/>
  <c r="DZ45" i="3"/>
  <c r="DY45" i="3"/>
  <c r="EU45" i="3" s="1"/>
  <c r="DU45" i="3"/>
  <c r="DT45" i="3"/>
  <c r="EP45" i="3" s="1"/>
  <c r="DS45" i="3"/>
  <c r="DR45" i="3"/>
  <c r="DP45" i="3"/>
  <c r="DO45" i="3"/>
  <c r="DN45" i="3"/>
  <c r="DM45" i="3"/>
  <c r="DK45" i="3"/>
  <c r="DL45" i="3" s="1"/>
  <c r="DJ45" i="3"/>
  <c r="DI45" i="3"/>
  <c r="DH45" i="3"/>
  <c r="DG45" i="3"/>
  <c r="K45" i="3"/>
  <c r="J45" i="3"/>
  <c r="H45" i="3"/>
  <c r="B45" i="3"/>
  <c r="FA44" i="3"/>
  <c r="EY44" i="3"/>
  <c r="EW44" i="3"/>
  <c r="EN44" i="3"/>
  <c r="EL44" i="3"/>
  <c r="EK44" i="3"/>
  <c r="EV44" i="3" s="1"/>
  <c r="EJ44" i="3"/>
  <c r="EU44" i="3" s="1"/>
  <c r="EF44" i="3"/>
  <c r="EE44" i="3"/>
  <c r="EP44" i="3" s="1"/>
  <c r="ED44" i="3"/>
  <c r="EC44" i="3"/>
  <c r="EA44" i="3"/>
  <c r="DZ44" i="3"/>
  <c r="DY44" i="3"/>
  <c r="DU44" i="3"/>
  <c r="EQ44" i="3" s="1"/>
  <c r="DT44" i="3"/>
  <c r="DS44" i="3"/>
  <c r="DR44" i="3"/>
  <c r="EZ44" i="3" s="1"/>
  <c r="DP44" i="3"/>
  <c r="DO44" i="3"/>
  <c r="DN44" i="3"/>
  <c r="DK44" i="3"/>
  <c r="DJ44" i="3"/>
  <c r="DI44" i="3"/>
  <c r="DH44" i="3"/>
  <c r="DG44" i="3"/>
  <c r="K44" i="3"/>
  <c r="J44" i="3"/>
  <c r="H44" i="3"/>
  <c r="B44" i="3"/>
  <c r="FA43" i="3"/>
  <c r="EY43" i="3"/>
  <c r="FB43" i="3" s="1"/>
  <c r="EU43" i="3"/>
  <c r="EQ43" i="3"/>
  <c r="EL43" i="3"/>
  <c r="EK43" i="3"/>
  <c r="EV43" i="3" s="1"/>
  <c r="EJ43" i="3"/>
  <c r="EF43" i="3"/>
  <c r="EE43" i="3"/>
  <c r="ED43" i="3"/>
  <c r="EC43" i="3"/>
  <c r="EA43" i="3"/>
  <c r="DZ43" i="3"/>
  <c r="DY43" i="3"/>
  <c r="DU43" i="3"/>
  <c r="DT43" i="3"/>
  <c r="DS43" i="3"/>
  <c r="DR43" i="3"/>
  <c r="EZ43" i="3" s="1"/>
  <c r="DP43" i="3"/>
  <c r="DO43" i="3"/>
  <c r="DN43" i="3"/>
  <c r="DJ43" i="3"/>
  <c r="DI43" i="3"/>
  <c r="DH43" i="3"/>
  <c r="DG43" i="3"/>
  <c r="K43" i="3"/>
  <c r="J43" i="3"/>
  <c r="H43" i="3"/>
  <c r="B43" i="3"/>
  <c r="EZ42" i="3"/>
  <c r="EY42" i="3"/>
  <c r="EP42" i="3"/>
  <c r="EN42" i="3"/>
  <c r="EL42" i="3"/>
  <c r="EK42" i="3"/>
  <c r="EV42" i="3" s="1"/>
  <c r="EJ42" i="3"/>
  <c r="EF42" i="3"/>
  <c r="EQ42" i="3" s="1"/>
  <c r="EE42" i="3"/>
  <c r="ED42" i="3"/>
  <c r="EC42" i="3"/>
  <c r="EA42" i="3"/>
  <c r="DZ42" i="3"/>
  <c r="DY42" i="3"/>
  <c r="DV42" i="3"/>
  <c r="DW42" i="3" s="1"/>
  <c r="DU42" i="3"/>
  <c r="DT42" i="3"/>
  <c r="DS42" i="3"/>
  <c r="DR42" i="3"/>
  <c r="DP42" i="3"/>
  <c r="DO42" i="3"/>
  <c r="DN42" i="3"/>
  <c r="DJ42" i="3"/>
  <c r="DI42" i="3"/>
  <c r="DH42" i="3"/>
  <c r="DG42" i="3"/>
  <c r="K42" i="3"/>
  <c r="J42" i="3"/>
  <c r="H42" i="3"/>
  <c r="B42" i="3"/>
  <c r="FA41" i="3"/>
  <c r="EY41" i="3"/>
  <c r="EW41" i="3"/>
  <c r="EQ41" i="3"/>
  <c r="EO41" i="3"/>
  <c r="EL41" i="3"/>
  <c r="EK41" i="3"/>
  <c r="EJ41" i="3"/>
  <c r="EU41" i="3" s="1"/>
  <c r="EG41" i="3"/>
  <c r="EH41" i="3" s="1"/>
  <c r="EF41" i="3"/>
  <c r="EE41" i="3"/>
  <c r="EP41" i="3" s="1"/>
  <c r="ED41" i="3"/>
  <c r="EC41" i="3"/>
  <c r="EA41" i="3"/>
  <c r="DZ41" i="3"/>
  <c r="EV41" i="3" s="1"/>
  <c r="DY41" i="3"/>
  <c r="DU41" i="3"/>
  <c r="DT41" i="3"/>
  <c r="DS41" i="3"/>
  <c r="DR41" i="3"/>
  <c r="DP41" i="3"/>
  <c r="DO41" i="3"/>
  <c r="DN41" i="3"/>
  <c r="DJ41" i="3"/>
  <c r="DI41" i="3"/>
  <c r="DH41" i="3"/>
  <c r="DK41" i="3" s="1"/>
  <c r="DG41" i="3"/>
  <c r="K41" i="3"/>
  <c r="J41" i="3"/>
  <c r="H41" i="3"/>
  <c r="B41" i="3"/>
  <c r="EZ40" i="3"/>
  <c r="EY40" i="3"/>
  <c r="EP40" i="3"/>
  <c r="EL40" i="3"/>
  <c r="EK40" i="3"/>
  <c r="EJ40" i="3"/>
  <c r="EU40" i="3" s="1"/>
  <c r="EH40" i="3"/>
  <c r="EG40" i="3"/>
  <c r="EI40" i="3" s="1"/>
  <c r="EF40" i="3"/>
  <c r="EE40" i="3"/>
  <c r="ED40" i="3"/>
  <c r="EC40" i="3"/>
  <c r="EA40" i="3"/>
  <c r="EW40" i="3" s="1"/>
  <c r="DZ40" i="3"/>
  <c r="DY40" i="3"/>
  <c r="DU40" i="3"/>
  <c r="DT40" i="3"/>
  <c r="DS40" i="3"/>
  <c r="DR40" i="3"/>
  <c r="EN40" i="3" s="1"/>
  <c r="DP40" i="3"/>
  <c r="DO40" i="3"/>
  <c r="DN40" i="3"/>
  <c r="DJ40" i="3"/>
  <c r="DI40" i="3"/>
  <c r="DH40" i="3"/>
  <c r="DG40" i="3"/>
  <c r="K40" i="3"/>
  <c r="J40" i="3"/>
  <c r="H40" i="3"/>
  <c r="B40" i="3"/>
  <c r="FA39" i="3"/>
  <c r="EQ39" i="3"/>
  <c r="EL39" i="3"/>
  <c r="EW39" i="3" s="1"/>
  <c r="EK39" i="3"/>
  <c r="EV39" i="3" s="1"/>
  <c r="EJ39" i="3"/>
  <c r="EU39" i="3" s="1"/>
  <c r="EF39" i="3"/>
  <c r="EE39" i="3"/>
  <c r="ED39" i="3"/>
  <c r="EC39" i="3"/>
  <c r="EA39" i="3"/>
  <c r="DZ39" i="3"/>
  <c r="DY39" i="3"/>
  <c r="DU39" i="3"/>
  <c r="DT39" i="3"/>
  <c r="EP39" i="3" s="1"/>
  <c r="DS39" i="3"/>
  <c r="DR39" i="3"/>
  <c r="DP39" i="3"/>
  <c r="DO39" i="3"/>
  <c r="DN39" i="3"/>
  <c r="DJ39" i="3"/>
  <c r="DI39" i="3"/>
  <c r="DH39" i="3"/>
  <c r="EO39" i="3" s="1"/>
  <c r="DG39" i="3"/>
  <c r="K39" i="3"/>
  <c r="J39" i="3"/>
  <c r="H39" i="3"/>
  <c r="B39" i="3"/>
  <c r="EU38" i="3"/>
  <c r="EL38" i="3"/>
  <c r="EW38" i="3" s="1"/>
  <c r="EK38" i="3"/>
  <c r="EV38" i="3" s="1"/>
  <c r="EJ38" i="3"/>
  <c r="EF38" i="3"/>
  <c r="EE38" i="3"/>
  <c r="ED38" i="3"/>
  <c r="EO38" i="3" s="1"/>
  <c r="EC38" i="3"/>
  <c r="EA38" i="3"/>
  <c r="DZ38" i="3"/>
  <c r="DY38" i="3"/>
  <c r="DU38" i="3"/>
  <c r="EQ38" i="3" s="1"/>
  <c r="DT38" i="3"/>
  <c r="DS38" i="3"/>
  <c r="DR38" i="3"/>
  <c r="EZ38" i="3" s="1"/>
  <c r="DP38" i="3"/>
  <c r="DO38" i="3"/>
  <c r="DN38" i="3"/>
  <c r="DJ38" i="3"/>
  <c r="DI38" i="3"/>
  <c r="EP38" i="3" s="1"/>
  <c r="DH38" i="3"/>
  <c r="DG38" i="3"/>
  <c r="FA38" i="3" s="1"/>
  <c r="K38" i="3"/>
  <c r="J38" i="3"/>
  <c r="H38" i="3"/>
  <c r="B38" i="3"/>
  <c r="FA37" i="3"/>
  <c r="EY37" i="3"/>
  <c r="EN37" i="3"/>
  <c r="EL37" i="3"/>
  <c r="EW37" i="3" s="1"/>
  <c r="EK37" i="3"/>
  <c r="EV37" i="3" s="1"/>
  <c r="EJ37" i="3"/>
  <c r="EF37" i="3"/>
  <c r="EE37" i="3"/>
  <c r="ED37" i="3"/>
  <c r="EC37" i="3"/>
  <c r="EA37" i="3"/>
  <c r="DZ37" i="3"/>
  <c r="DY37" i="3"/>
  <c r="EU37" i="3" s="1"/>
  <c r="DU37" i="3"/>
  <c r="DT37" i="3"/>
  <c r="DV37" i="3" s="1"/>
  <c r="DS37" i="3"/>
  <c r="DR37" i="3"/>
  <c r="EZ37" i="3" s="1"/>
  <c r="DP37" i="3"/>
  <c r="DO37" i="3"/>
  <c r="DN37" i="3"/>
  <c r="DJ37" i="3"/>
  <c r="EQ37" i="3" s="1"/>
  <c r="DI37" i="3"/>
  <c r="DH37" i="3"/>
  <c r="DG37" i="3"/>
  <c r="K37" i="3"/>
  <c r="J37" i="3"/>
  <c r="H37" i="3"/>
  <c r="B37" i="3"/>
  <c r="EZ36" i="3"/>
  <c r="EW36" i="3"/>
  <c r="EV36" i="3"/>
  <c r="EO36" i="3"/>
  <c r="EL36" i="3"/>
  <c r="EK36" i="3"/>
  <c r="EJ36" i="3"/>
  <c r="EF36" i="3"/>
  <c r="EE36" i="3"/>
  <c r="EP36" i="3" s="1"/>
  <c r="ED36" i="3"/>
  <c r="EC36" i="3"/>
  <c r="EA36" i="3"/>
  <c r="DZ36" i="3"/>
  <c r="DY36" i="3"/>
  <c r="DU36" i="3"/>
  <c r="DT36" i="3"/>
  <c r="DS36" i="3"/>
  <c r="DR36" i="3"/>
  <c r="DP36" i="3"/>
  <c r="DO36" i="3"/>
  <c r="DN36" i="3"/>
  <c r="DJ36" i="3"/>
  <c r="DK36" i="3" s="1"/>
  <c r="DI36" i="3"/>
  <c r="DH36" i="3"/>
  <c r="DG36" i="3"/>
  <c r="FA36" i="3" s="1"/>
  <c r="K36" i="3"/>
  <c r="J36" i="3"/>
  <c r="H36" i="3"/>
  <c r="B36" i="3"/>
  <c r="EW35" i="3"/>
  <c r="EU35" i="3"/>
  <c r="EP35" i="3"/>
  <c r="EN35" i="3"/>
  <c r="EL35" i="3"/>
  <c r="EK35" i="3"/>
  <c r="EJ35" i="3"/>
  <c r="EF35" i="3"/>
  <c r="EE35" i="3"/>
  <c r="ED35" i="3"/>
  <c r="EO35" i="3" s="1"/>
  <c r="EC35" i="3"/>
  <c r="EG35" i="3" s="1"/>
  <c r="EA35" i="3"/>
  <c r="DZ35" i="3"/>
  <c r="DY35" i="3"/>
  <c r="DV35" i="3"/>
  <c r="DW35" i="3" s="1"/>
  <c r="DU35" i="3"/>
  <c r="DT35" i="3"/>
  <c r="DS35" i="3"/>
  <c r="DR35" i="3"/>
  <c r="EZ35" i="3" s="1"/>
  <c r="DP35" i="3"/>
  <c r="DO35" i="3"/>
  <c r="DN35" i="3"/>
  <c r="DJ35" i="3"/>
  <c r="DK35" i="3" s="1"/>
  <c r="DI35" i="3"/>
  <c r="DH35" i="3"/>
  <c r="DG35" i="3"/>
  <c r="FA35" i="3" s="1"/>
  <c r="K35" i="3"/>
  <c r="J35" i="3"/>
  <c r="H35" i="3"/>
  <c r="B35" i="3"/>
  <c r="EZ34" i="3"/>
  <c r="EV34" i="3"/>
  <c r="EQ34" i="3"/>
  <c r="EL34" i="3"/>
  <c r="EK34" i="3"/>
  <c r="EJ34" i="3"/>
  <c r="EF34" i="3"/>
  <c r="EE34" i="3"/>
  <c r="EP34" i="3" s="1"/>
  <c r="ED34" i="3"/>
  <c r="EO34" i="3" s="1"/>
  <c r="EC34" i="3"/>
  <c r="EN34" i="3" s="1"/>
  <c r="EA34" i="3"/>
  <c r="DZ34" i="3"/>
  <c r="DY34" i="3"/>
  <c r="EU34" i="3" s="1"/>
  <c r="DV34" i="3"/>
  <c r="DX34" i="3" s="1"/>
  <c r="DU34" i="3"/>
  <c r="DT34" i="3"/>
  <c r="DS34" i="3"/>
  <c r="DR34" i="3"/>
  <c r="DP34" i="3"/>
  <c r="DO34" i="3"/>
  <c r="DN34" i="3"/>
  <c r="DJ34" i="3"/>
  <c r="DI34" i="3"/>
  <c r="DH34" i="3"/>
  <c r="DK34" i="3" s="1"/>
  <c r="DG34" i="3"/>
  <c r="FA34" i="3" s="1"/>
  <c r="K34" i="3"/>
  <c r="J34" i="3"/>
  <c r="H34" i="3"/>
  <c r="B34" i="3"/>
  <c r="EW33" i="3"/>
  <c r="EU33" i="3"/>
  <c r="EO33" i="3"/>
  <c r="EL33" i="3"/>
  <c r="EK33" i="3"/>
  <c r="EV33" i="3" s="1"/>
  <c r="EJ33" i="3"/>
  <c r="EF33" i="3"/>
  <c r="EQ33" i="3" s="1"/>
  <c r="EE33" i="3"/>
  <c r="EP33" i="3" s="1"/>
  <c r="ED33" i="3"/>
  <c r="EC33" i="3"/>
  <c r="EY33" i="3" s="1"/>
  <c r="EA33" i="3"/>
  <c r="DZ33" i="3"/>
  <c r="DY33" i="3"/>
  <c r="DU33" i="3"/>
  <c r="DT33" i="3"/>
  <c r="DS33" i="3"/>
  <c r="DR33" i="3"/>
  <c r="DP33" i="3"/>
  <c r="DO33" i="3"/>
  <c r="DN33" i="3"/>
  <c r="DL33" i="3"/>
  <c r="DJ33" i="3"/>
  <c r="DI33" i="3"/>
  <c r="DH33" i="3"/>
  <c r="DG33" i="3"/>
  <c r="DK33" i="3" s="1"/>
  <c r="DM33" i="3" s="1"/>
  <c r="K33" i="3"/>
  <c r="J33" i="3"/>
  <c r="B33" i="3"/>
  <c r="FA32" i="3"/>
  <c r="EY32" i="3"/>
  <c r="EW32" i="3"/>
  <c r="EV32" i="3"/>
  <c r="EQ32" i="3"/>
  <c r="EL32" i="3"/>
  <c r="EK32" i="3"/>
  <c r="EJ32" i="3"/>
  <c r="EF32" i="3"/>
  <c r="EE32" i="3"/>
  <c r="EP32" i="3" s="1"/>
  <c r="ED32" i="3"/>
  <c r="EC32" i="3"/>
  <c r="EA32" i="3"/>
  <c r="DZ32" i="3"/>
  <c r="DY32" i="3"/>
  <c r="DU32" i="3"/>
  <c r="DT32" i="3"/>
  <c r="DS32" i="3"/>
  <c r="EO32" i="3" s="1"/>
  <c r="DR32" i="3"/>
  <c r="DP32" i="3"/>
  <c r="DO32" i="3"/>
  <c r="DN32" i="3"/>
  <c r="DJ32" i="3"/>
  <c r="DI32" i="3"/>
  <c r="DH32" i="3"/>
  <c r="DG32" i="3"/>
  <c r="K32" i="3"/>
  <c r="J32" i="3"/>
  <c r="H32" i="3"/>
  <c r="B32" i="3"/>
  <c r="EZ31" i="3"/>
  <c r="EY31" i="3"/>
  <c r="FB31" i="3" s="1"/>
  <c r="EL31" i="3"/>
  <c r="EK31" i="3"/>
  <c r="EJ31" i="3"/>
  <c r="EU31" i="3" s="1"/>
  <c r="EF31" i="3"/>
  <c r="EQ31" i="3" s="1"/>
  <c r="EE31" i="3"/>
  <c r="ED31" i="3"/>
  <c r="EC31" i="3"/>
  <c r="EN31" i="3" s="1"/>
  <c r="EA31" i="3"/>
  <c r="DZ31" i="3"/>
  <c r="DY31" i="3"/>
  <c r="DU31" i="3"/>
  <c r="DT31" i="3"/>
  <c r="EP31" i="3" s="1"/>
  <c r="DS31" i="3"/>
  <c r="DV31" i="3" s="1"/>
  <c r="DR31" i="3"/>
  <c r="DP31" i="3"/>
  <c r="EW31" i="3" s="1"/>
  <c r="DO31" i="3"/>
  <c r="DN31" i="3"/>
  <c r="DK31" i="3"/>
  <c r="DJ31" i="3"/>
  <c r="DI31" i="3"/>
  <c r="DH31" i="3"/>
  <c r="DG31" i="3"/>
  <c r="FA31" i="3" s="1"/>
  <c r="K31" i="3"/>
  <c r="J31" i="3"/>
  <c r="H31" i="3"/>
  <c r="B31" i="3"/>
  <c r="FA30" i="3"/>
  <c r="EZ30" i="3"/>
  <c r="EY30" i="3"/>
  <c r="EO30" i="3"/>
  <c r="EL30" i="3"/>
  <c r="EK30" i="3"/>
  <c r="EJ30" i="3"/>
  <c r="EF30" i="3"/>
  <c r="EE30" i="3"/>
  <c r="ED30" i="3"/>
  <c r="EG30" i="3" s="1"/>
  <c r="EC30" i="3"/>
  <c r="EN30" i="3" s="1"/>
  <c r="EA30" i="3"/>
  <c r="DZ30" i="3"/>
  <c r="DY30" i="3"/>
  <c r="EU30" i="3" s="1"/>
  <c r="DU30" i="3"/>
  <c r="EQ30" i="3" s="1"/>
  <c r="DT30" i="3"/>
  <c r="DS30" i="3"/>
  <c r="DR30" i="3"/>
  <c r="DP30" i="3"/>
  <c r="DO30" i="3"/>
  <c r="DN30" i="3"/>
  <c r="DJ30" i="3"/>
  <c r="DI30" i="3"/>
  <c r="DH30" i="3"/>
  <c r="DG30" i="3"/>
  <c r="K30" i="3"/>
  <c r="J30" i="3"/>
  <c r="H30" i="3"/>
  <c r="B30" i="3"/>
  <c r="EL29" i="3"/>
  <c r="EK29" i="3"/>
  <c r="EJ29" i="3"/>
  <c r="EU29" i="3" s="1"/>
  <c r="EF29" i="3"/>
  <c r="EE29" i="3"/>
  <c r="EP29" i="3" s="1"/>
  <c r="ED29" i="3"/>
  <c r="EO29" i="3" s="1"/>
  <c r="EC29" i="3"/>
  <c r="EN29" i="3" s="1"/>
  <c r="EA29" i="3"/>
  <c r="DZ29" i="3"/>
  <c r="EV29" i="3" s="1"/>
  <c r="DY29" i="3"/>
  <c r="DU29" i="3"/>
  <c r="DT29" i="3"/>
  <c r="DS29" i="3"/>
  <c r="DR29" i="3"/>
  <c r="EZ29" i="3" s="1"/>
  <c r="DP29" i="3"/>
  <c r="DO29" i="3"/>
  <c r="DN29" i="3"/>
  <c r="DJ29" i="3"/>
  <c r="DI29" i="3"/>
  <c r="DH29" i="3"/>
  <c r="DG29" i="3"/>
  <c r="FA29" i="3" s="1"/>
  <c r="K29" i="3"/>
  <c r="J29" i="3"/>
  <c r="H29" i="3"/>
  <c r="B29" i="3"/>
  <c r="FA28" i="3"/>
  <c r="EQ28" i="3"/>
  <c r="EL28" i="3"/>
  <c r="EK28" i="3"/>
  <c r="EV28" i="3" s="1"/>
  <c r="EJ28" i="3"/>
  <c r="EU28" i="3" s="1"/>
  <c r="EF28" i="3"/>
  <c r="EE28" i="3"/>
  <c r="ED28" i="3"/>
  <c r="EO28" i="3" s="1"/>
  <c r="EC28" i="3"/>
  <c r="EA28" i="3"/>
  <c r="EW28" i="3" s="1"/>
  <c r="DZ28" i="3"/>
  <c r="DY28" i="3"/>
  <c r="DU28" i="3"/>
  <c r="DT28" i="3"/>
  <c r="DS28" i="3"/>
  <c r="DR28" i="3"/>
  <c r="EZ28" i="3" s="1"/>
  <c r="DP28" i="3"/>
  <c r="DO28" i="3"/>
  <c r="DN28" i="3"/>
  <c r="DK28" i="3"/>
  <c r="DM28" i="3" s="1"/>
  <c r="DJ28" i="3"/>
  <c r="DI28" i="3"/>
  <c r="DH28" i="3"/>
  <c r="DG28" i="3"/>
  <c r="K28" i="3"/>
  <c r="J28" i="3"/>
  <c r="H28" i="3"/>
  <c r="B28" i="3"/>
  <c r="EZ27" i="3"/>
  <c r="EY27" i="3"/>
  <c r="FB27" i="3" s="1"/>
  <c r="EL27" i="3"/>
  <c r="EW27" i="3" s="1"/>
  <c r="EK27" i="3"/>
  <c r="EV27" i="3" s="1"/>
  <c r="EJ27" i="3"/>
  <c r="EU27" i="3" s="1"/>
  <c r="EG27" i="3"/>
  <c r="EF27" i="3"/>
  <c r="EQ27" i="3" s="1"/>
  <c r="EE27" i="3"/>
  <c r="ED27" i="3"/>
  <c r="EO27" i="3" s="1"/>
  <c r="ER27" i="3" s="1"/>
  <c r="EC27" i="3"/>
  <c r="EN27" i="3" s="1"/>
  <c r="EA27" i="3"/>
  <c r="DZ27" i="3"/>
  <c r="DY27" i="3"/>
  <c r="DU27" i="3"/>
  <c r="DT27" i="3"/>
  <c r="EP27" i="3" s="1"/>
  <c r="DS27" i="3"/>
  <c r="DR27" i="3"/>
  <c r="DP27" i="3"/>
  <c r="DO27" i="3"/>
  <c r="DN27" i="3"/>
  <c r="DJ27" i="3"/>
  <c r="DI27" i="3"/>
  <c r="DK27" i="3" s="1"/>
  <c r="DH27" i="3"/>
  <c r="DG27" i="3"/>
  <c r="FA27" i="3" s="1"/>
  <c r="K27" i="3"/>
  <c r="J27" i="3"/>
  <c r="H27" i="3"/>
  <c r="B27" i="3"/>
  <c r="EZ26" i="3"/>
  <c r="EY26" i="3"/>
  <c r="EV26" i="3"/>
  <c r="EL26" i="3"/>
  <c r="EK26" i="3"/>
  <c r="EJ26" i="3"/>
  <c r="EF26" i="3"/>
  <c r="EQ26" i="3" s="1"/>
  <c r="EE26" i="3"/>
  <c r="EP26" i="3" s="1"/>
  <c r="ED26" i="3"/>
  <c r="EC26" i="3"/>
  <c r="EA26" i="3"/>
  <c r="EW26" i="3" s="1"/>
  <c r="DZ26" i="3"/>
  <c r="DY26" i="3"/>
  <c r="EU26" i="3" s="1"/>
  <c r="DU26" i="3"/>
  <c r="DT26" i="3"/>
  <c r="DV26" i="3" s="1"/>
  <c r="DS26" i="3"/>
  <c r="DR26" i="3"/>
  <c r="DP26" i="3"/>
  <c r="DO26" i="3"/>
  <c r="DN26" i="3"/>
  <c r="DJ26" i="3"/>
  <c r="DI26" i="3"/>
  <c r="DH26" i="3"/>
  <c r="DG26" i="3"/>
  <c r="K26" i="3"/>
  <c r="J26" i="3"/>
  <c r="H26" i="3"/>
  <c r="B26" i="3"/>
  <c r="FA25" i="3"/>
  <c r="EV25" i="3"/>
  <c r="EN25" i="3"/>
  <c r="EL25" i="3"/>
  <c r="EW25" i="3" s="1"/>
  <c r="EK25" i="3"/>
  <c r="EJ25" i="3"/>
  <c r="EF25" i="3"/>
  <c r="EG25" i="3" s="1"/>
  <c r="EE25" i="3"/>
  <c r="ED25" i="3"/>
  <c r="EC25" i="3"/>
  <c r="EY25" i="3" s="1"/>
  <c r="EA25" i="3"/>
  <c r="DZ25" i="3"/>
  <c r="DY25" i="3"/>
  <c r="DU25" i="3"/>
  <c r="DT25" i="3"/>
  <c r="DS25" i="3"/>
  <c r="DR25" i="3"/>
  <c r="EZ25" i="3" s="1"/>
  <c r="DP25" i="3"/>
  <c r="DO25" i="3"/>
  <c r="DN25" i="3"/>
  <c r="DJ25" i="3"/>
  <c r="DI25" i="3"/>
  <c r="DH25" i="3"/>
  <c r="DK25" i="3" s="1"/>
  <c r="DG25" i="3"/>
  <c r="K25" i="3"/>
  <c r="J25" i="3"/>
  <c r="H25" i="3"/>
  <c r="B25" i="3"/>
  <c r="FA24" i="3"/>
  <c r="FB24" i="3" s="1"/>
  <c r="EZ24" i="3"/>
  <c r="EY24" i="3"/>
  <c r="EL24" i="3"/>
  <c r="EK24" i="3"/>
  <c r="EV24" i="3" s="1"/>
  <c r="EJ24" i="3"/>
  <c r="EU24" i="3" s="1"/>
  <c r="EF24" i="3"/>
  <c r="EQ24" i="3" s="1"/>
  <c r="EE24" i="3"/>
  <c r="ED24" i="3"/>
  <c r="EC24" i="3"/>
  <c r="EA24" i="3"/>
  <c r="DZ24" i="3"/>
  <c r="DY24" i="3"/>
  <c r="DV24" i="3"/>
  <c r="DX24" i="3" s="1"/>
  <c r="DU24" i="3"/>
  <c r="DT24" i="3"/>
  <c r="DS24" i="3"/>
  <c r="EO24" i="3" s="1"/>
  <c r="DR24" i="3"/>
  <c r="DP24" i="3"/>
  <c r="EW24" i="3" s="1"/>
  <c r="DO24" i="3"/>
  <c r="DN24" i="3"/>
  <c r="DJ24" i="3"/>
  <c r="DI24" i="3"/>
  <c r="EP24" i="3" s="1"/>
  <c r="DH24" i="3"/>
  <c r="DG24" i="3"/>
  <c r="DK24" i="3" s="1"/>
  <c r="K24" i="3"/>
  <c r="J24" i="3"/>
  <c r="H24" i="3"/>
  <c r="B24" i="3"/>
  <c r="EZ23" i="3"/>
  <c r="EV23" i="3"/>
  <c r="EL23" i="3"/>
  <c r="EW23" i="3" s="1"/>
  <c r="EK23" i="3"/>
  <c r="EJ23" i="3"/>
  <c r="EF23" i="3"/>
  <c r="EE23" i="3"/>
  <c r="ED23" i="3"/>
  <c r="EC23" i="3"/>
  <c r="EG23" i="3" s="1"/>
  <c r="EA23" i="3"/>
  <c r="DZ23" i="3"/>
  <c r="DY23" i="3"/>
  <c r="DU23" i="3"/>
  <c r="DT23" i="3"/>
  <c r="EP23" i="3" s="1"/>
  <c r="DS23" i="3"/>
  <c r="DR23" i="3"/>
  <c r="DP23" i="3"/>
  <c r="DO23" i="3"/>
  <c r="DN23" i="3"/>
  <c r="DJ23" i="3"/>
  <c r="EQ23" i="3" s="1"/>
  <c r="DI23" i="3"/>
  <c r="DH23" i="3"/>
  <c r="EO23" i="3" s="1"/>
  <c r="DG23" i="3"/>
  <c r="FA23" i="3" s="1"/>
  <c r="K23" i="3"/>
  <c r="J23" i="3"/>
  <c r="H23" i="3"/>
  <c r="B23" i="3"/>
  <c r="EL22" i="3"/>
  <c r="EW22" i="3" s="1"/>
  <c r="EK22" i="3"/>
  <c r="EV22" i="3" s="1"/>
  <c r="EJ22" i="3"/>
  <c r="EU22" i="3" s="1"/>
  <c r="EF22" i="3"/>
  <c r="EE22" i="3"/>
  <c r="ED22" i="3"/>
  <c r="EC22" i="3"/>
  <c r="EA22" i="3"/>
  <c r="DZ22" i="3"/>
  <c r="DY22" i="3"/>
  <c r="DU22" i="3"/>
  <c r="EQ22" i="3" s="1"/>
  <c r="DT22" i="3"/>
  <c r="EP22" i="3" s="1"/>
  <c r="DS22" i="3"/>
  <c r="DR22" i="3"/>
  <c r="EZ22" i="3" s="1"/>
  <c r="DP22" i="3"/>
  <c r="DO22" i="3"/>
  <c r="DN22" i="3"/>
  <c r="DK22" i="3"/>
  <c r="DM22" i="3" s="1"/>
  <c r="DJ22" i="3"/>
  <c r="DI22" i="3"/>
  <c r="DH22" i="3"/>
  <c r="DG22" i="3"/>
  <c r="FA22" i="3" s="1"/>
  <c r="K22" i="3"/>
  <c r="J22" i="3"/>
  <c r="H22" i="3"/>
  <c r="B22" i="3"/>
  <c r="FA21" i="3"/>
  <c r="FB21" i="3" s="1"/>
  <c r="EY21" i="3"/>
  <c r="EL21" i="3"/>
  <c r="EK21" i="3"/>
  <c r="EV21" i="3" s="1"/>
  <c r="EJ21" i="3"/>
  <c r="EF21" i="3"/>
  <c r="EE21" i="3"/>
  <c r="EP21" i="3" s="1"/>
  <c r="ED21" i="3"/>
  <c r="EO21" i="3" s="1"/>
  <c r="EC21" i="3"/>
  <c r="EA21" i="3"/>
  <c r="DZ21" i="3"/>
  <c r="DY21" i="3"/>
  <c r="EU21" i="3" s="1"/>
  <c r="DU21" i="3"/>
  <c r="EQ21" i="3" s="1"/>
  <c r="DT21" i="3"/>
  <c r="DS21" i="3"/>
  <c r="DR21" i="3"/>
  <c r="EZ21" i="3" s="1"/>
  <c r="DP21" i="3"/>
  <c r="DO21" i="3"/>
  <c r="DN21" i="3"/>
  <c r="DM21" i="3"/>
  <c r="DJ21" i="3"/>
  <c r="DI21" i="3"/>
  <c r="DH21" i="3"/>
  <c r="DG21" i="3"/>
  <c r="DK21" i="3" s="1"/>
  <c r="DL21" i="3" s="1"/>
  <c r="K21" i="3"/>
  <c r="J21" i="3"/>
  <c r="H21" i="3"/>
  <c r="B21" i="3"/>
  <c r="EZ20" i="3"/>
  <c r="EV20" i="3"/>
  <c r="EL20" i="3"/>
  <c r="EK20" i="3"/>
  <c r="EJ20" i="3"/>
  <c r="EF20" i="3"/>
  <c r="EQ20" i="3" s="1"/>
  <c r="EE20" i="3"/>
  <c r="EP20" i="3" s="1"/>
  <c r="ED20" i="3"/>
  <c r="EC20" i="3"/>
  <c r="EA20" i="3"/>
  <c r="EW20" i="3" s="1"/>
  <c r="DZ20" i="3"/>
  <c r="DY20" i="3"/>
  <c r="DU20" i="3"/>
  <c r="DT20" i="3"/>
  <c r="DV20" i="3" s="1"/>
  <c r="DS20" i="3"/>
  <c r="DR20" i="3"/>
  <c r="DP20" i="3"/>
  <c r="DO20" i="3"/>
  <c r="DN20" i="3"/>
  <c r="DJ20" i="3"/>
  <c r="DI20" i="3"/>
  <c r="DH20" i="3"/>
  <c r="EO20" i="3" s="1"/>
  <c r="DG20" i="3"/>
  <c r="FA20" i="3" s="1"/>
  <c r="K20" i="3"/>
  <c r="J20" i="3"/>
  <c r="H20" i="3"/>
  <c r="B20" i="3"/>
  <c r="EU19" i="3"/>
  <c r="EP19" i="3"/>
  <c r="EN19" i="3"/>
  <c r="EL19" i="3"/>
  <c r="EW19" i="3" s="1"/>
  <c r="EK19" i="3"/>
  <c r="EJ19" i="3"/>
  <c r="EG19" i="3"/>
  <c r="EH19" i="3" s="1"/>
  <c r="EF19" i="3"/>
  <c r="EE19" i="3"/>
  <c r="ED19" i="3"/>
  <c r="EC19" i="3"/>
  <c r="EY19" i="3" s="1"/>
  <c r="FB19" i="3" s="1"/>
  <c r="EA19" i="3"/>
  <c r="DZ19" i="3"/>
  <c r="DY19" i="3"/>
  <c r="DU19" i="3"/>
  <c r="EQ19" i="3" s="1"/>
  <c r="DT19" i="3"/>
  <c r="DS19" i="3"/>
  <c r="DR19" i="3"/>
  <c r="EZ19" i="3" s="1"/>
  <c r="DP19" i="3"/>
  <c r="DO19" i="3"/>
  <c r="DN19" i="3"/>
  <c r="DJ19" i="3"/>
  <c r="DI19" i="3"/>
  <c r="DH19" i="3"/>
  <c r="EO19" i="3" s="1"/>
  <c r="DG19" i="3"/>
  <c r="FA19" i="3" s="1"/>
  <c r="K19" i="3"/>
  <c r="J19" i="3"/>
  <c r="H19" i="3"/>
  <c r="B19" i="3"/>
  <c r="EZ18" i="3"/>
  <c r="EU18" i="3"/>
  <c r="EQ18" i="3"/>
  <c r="EL18" i="3"/>
  <c r="EK18" i="3"/>
  <c r="EJ18" i="3"/>
  <c r="EF18" i="3"/>
  <c r="EE18" i="3"/>
  <c r="EP18" i="3" s="1"/>
  <c r="ED18" i="3"/>
  <c r="EC18" i="3"/>
  <c r="EG18" i="3" s="1"/>
  <c r="EA18" i="3"/>
  <c r="DZ18" i="3"/>
  <c r="DY18" i="3"/>
  <c r="DU18" i="3"/>
  <c r="DT18" i="3"/>
  <c r="DS18" i="3"/>
  <c r="EO18" i="3" s="1"/>
  <c r="DR18" i="3"/>
  <c r="DP18" i="3"/>
  <c r="DO18" i="3"/>
  <c r="EV18" i="3" s="1"/>
  <c r="DN18" i="3"/>
  <c r="DK18" i="3"/>
  <c r="DM18" i="3" s="1"/>
  <c r="DJ18" i="3"/>
  <c r="DI18" i="3"/>
  <c r="DH18" i="3"/>
  <c r="DG18" i="3"/>
  <c r="FA18" i="3" s="1"/>
  <c r="K18" i="3"/>
  <c r="J18" i="3"/>
  <c r="H18" i="3"/>
  <c r="B18" i="3"/>
  <c r="FA17" i="3"/>
  <c r="EZ17" i="3"/>
  <c r="EO17" i="3"/>
  <c r="EL17" i="3"/>
  <c r="EK17" i="3"/>
  <c r="EV17" i="3" s="1"/>
  <c r="EJ17" i="3"/>
  <c r="EF17" i="3"/>
  <c r="EQ17" i="3" s="1"/>
  <c r="EE17" i="3"/>
  <c r="EP17" i="3" s="1"/>
  <c r="ED17" i="3"/>
  <c r="EC17" i="3"/>
  <c r="EN17" i="3" s="1"/>
  <c r="EA17" i="3"/>
  <c r="DZ17" i="3"/>
  <c r="DY17" i="3"/>
  <c r="DU17" i="3"/>
  <c r="DT17" i="3"/>
  <c r="DV17" i="3" s="1"/>
  <c r="DS17" i="3"/>
  <c r="DR17" i="3"/>
  <c r="DP17" i="3"/>
  <c r="EW17" i="3" s="1"/>
  <c r="DO17" i="3"/>
  <c r="DN17" i="3"/>
  <c r="EU17" i="3" s="1"/>
  <c r="DJ17" i="3"/>
  <c r="DI17" i="3"/>
  <c r="DK17" i="3" s="1"/>
  <c r="DH17" i="3"/>
  <c r="DG17" i="3"/>
  <c r="K17" i="3"/>
  <c r="J17" i="3"/>
  <c r="H17" i="3"/>
  <c r="B17" i="3"/>
  <c r="FA16" i="3"/>
  <c r="EW16" i="3"/>
  <c r="EV16" i="3"/>
  <c r="EL16" i="3"/>
  <c r="EK16" i="3"/>
  <c r="EJ16" i="3"/>
  <c r="EF16" i="3"/>
  <c r="EE16" i="3"/>
  <c r="EP16" i="3" s="1"/>
  <c r="ED16" i="3"/>
  <c r="EO16" i="3" s="1"/>
  <c r="EC16" i="3"/>
  <c r="EN16" i="3" s="1"/>
  <c r="EA16" i="3"/>
  <c r="DZ16" i="3"/>
  <c r="DY16" i="3"/>
  <c r="EU16" i="3" s="1"/>
  <c r="DU16" i="3"/>
  <c r="DT16" i="3"/>
  <c r="DS16" i="3"/>
  <c r="DR16" i="3"/>
  <c r="DP16" i="3"/>
  <c r="DO16" i="3"/>
  <c r="DN16" i="3"/>
  <c r="DJ16" i="3"/>
  <c r="EQ16" i="3" s="1"/>
  <c r="DI16" i="3"/>
  <c r="DH16" i="3"/>
  <c r="DG16" i="3"/>
  <c r="K16" i="3"/>
  <c r="J16" i="3"/>
  <c r="H16" i="3"/>
  <c r="B16" i="3"/>
  <c r="EZ15" i="3"/>
  <c r="EY15" i="3"/>
  <c r="FB15" i="3" s="1"/>
  <c r="EL15" i="3"/>
  <c r="EK15" i="3"/>
  <c r="EJ15" i="3"/>
  <c r="EF15" i="3"/>
  <c r="EQ15" i="3" s="1"/>
  <c r="EE15" i="3"/>
  <c r="EP15" i="3" s="1"/>
  <c r="ED15" i="3"/>
  <c r="EC15" i="3"/>
  <c r="EN15" i="3" s="1"/>
  <c r="EA15" i="3"/>
  <c r="EW15" i="3" s="1"/>
  <c r="DZ15" i="3"/>
  <c r="EV15" i="3" s="1"/>
  <c r="DY15" i="3"/>
  <c r="EU15" i="3" s="1"/>
  <c r="DU15" i="3"/>
  <c r="DT15" i="3"/>
  <c r="DS15" i="3"/>
  <c r="DV15" i="3" s="1"/>
  <c r="DR15" i="3"/>
  <c r="DP15" i="3"/>
  <c r="DO15" i="3"/>
  <c r="DN15" i="3"/>
  <c r="DJ15" i="3"/>
  <c r="DI15" i="3"/>
  <c r="DH15" i="3"/>
  <c r="DG15" i="3"/>
  <c r="FA15" i="3" s="1"/>
  <c r="K15" i="3"/>
  <c r="J15" i="3"/>
  <c r="H15" i="3"/>
  <c r="B15" i="3"/>
  <c r="FA14" i="3"/>
  <c r="EY14" i="3"/>
  <c r="EU14" i="3"/>
  <c r="EO14" i="3"/>
  <c r="EL14" i="3"/>
  <c r="EK14" i="3"/>
  <c r="EJ14" i="3"/>
  <c r="EF14" i="3"/>
  <c r="EE14" i="3"/>
  <c r="ED14" i="3"/>
  <c r="EC14" i="3"/>
  <c r="EN14" i="3" s="1"/>
  <c r="EA14" i="3"/>
  <c r="EW14" i="3" s="1"/>
  <c r="DZ14" i="3"/>
  <c r="EV14" i="3" s="1"/>
  <c r="DY14" i="3"/>
  <c r="DU14" i="3"/>
  <c r="EQ14" i="3" s="1"/>
  <c r="DT14" i="3"/>
  <c r="DS14" i="3"/>
  <c r="DR14" i="3"/>
  <c r="EZ14" i="3" s="1"/>
  <c r="DP14" i="3"/>
  <c r="DO14" i="3"/>
  <c r="DN14" i="3"/>
  <c r="DJ14" i="3"/>
  <c r="DI14" i="3"/>
  <c r="DH14" i="3"/>
  <c r="DK14" i="3" s="1"/>
  <c r="DG14" i="3"/>
  <c r="K14" i="3"/>
  <c r="J14" i="3"/>
  <c r="H14" i="3"/>
  <c r="B14" i="3"/>
  <c r="EY13" i="3"/>
  <c r="EQ13" i="3"/>
  <c r="EL13" i="3"/>
  <c r="EW13" i="3" s="1"/>
  <c r="EK13" i="3"/>
  <c r="EJ13" i="3"/>
  <c r="EU13" i="3" s="1"/>
  <c r="EF13" i="3"/>
  <c r="EE13" i="3"/>
  <c r="EG13" i="3" s="1"/>
  <c r="ED13" i="3"/>
  <c r="EC13" i="3"/>
  <c r="EA13" i="3"/>
  <c r="DZ13" i="3"/>
  <c r="EV13" i="3" s="1"/>
  <c r="DY13" i="3"/>
  <c r="DU13" i="3"/>
  <c r="DT13" i="3"/>
  <c r="DS13" i="3"/>
  <c r="DR13" i="3"/>
  <c r="EZ13" i="3" s="1"/>
  <c r="FB13" i="3" s="1"/>
  <c r="DP13" i="3"/>
  <c r="DO13" i="3"/>
  <c r="DN13" i="3"/>
  <c r="DJ13" i="3"/>
  <c r="DI13" i="3"/>
  <c r="DH13" i="3"/>
  <c r="DG13" i="3"/>
  <c r="FA13" i="3" s="1"/>
  <c r="K13" i="3"/>
  <c r="J13" i="3"/>
  <c r="H13" i="3"/>
  <c r="B13" i="3"/>
  <c r="FA12" i="3"/>
  <c r="EY12" i="3"/>
  <c r="EL12" i="3"/>
  <c r="EK12" i="3"/>
  <c r="EV12" i="3" s="1"/>
  <c r="EJ12" i="3"/>
  <c r="EU12" i="3" s="1"/>
  <c r="EF12" i="3"/>
  <c r="EQ12" i="3" s="1"/>
  <c r="EE12" i="3"/>
  <c r="ED12" i="3"/>
  <c r="EC12" i="3"/>
  <c r="EG12" i="3" s="1"/>
  <c r="EA12" i="3"/>
  <c r="DZ12" i="3"/>
  <c r="DY12" i="3"/>
  <c r="DU12" i="3"/>
  <c r="DT12" i="3"/>
  <c r="DS12" i="3"/>
  <c r="EO12" i="3" s="1"/>
  <c r="DR12" i="3"/>
  <c r="EZ12" i="3" s="1"/>
  <c r="FB12" i="3" s="1"/>
  <c r="DP12" i="3"/>
  <c r="EW12" i="3" s="1"/>
  <c r="DO12" i="3"/>
  <c r="DN12" i="3"/>
  <c r="DK12" i="3"/>
  <c r="DM12" i="3" s="1"/>
  <c r="DJ12" i="3"/>
  <c r="DI12" i="3"/>
  <c r="DH12" i="3"/>
  <c r="DG12" i="3"/>
  <c r="K12" i="3"/>
  <c r="J12" i="3"/>
  <c r="B12" i="3"/>
  <c r="FA11" i="3"/>
  <c r="EZ11" i="3"/>
  <c r="EP11" i="3"/>
  <c r="EL11" i="3"/>
  <c r="EW11" i="3" s="1"/>
  <c r="EK11" i="3"/>
  <c r="EV11" i="3" s="1"/>
  <c r="EJ11" i="3"/>
  <c r="EU11" i="3" s="1"/>
  <c r="EF11" i="3"/>
  <c r="EQ11" i="3" s="1"/>
  <c r="EE11" i="3"/>
  <c r="ED11" i="3"/>
  <c r="EC11" i="3"/>
  <c r="EA11" i="3"/>
  <c r="DZ11" i="3"/>
  <c r="DY11" i="3"/>
  <c r="DU11" i="3"/>
  <c r="DT11" i="3"/>
  <c r="DS11" i="3"/>
  <c r="EO11" i="3" s="1"/>
  <c r="DR11" i="3"/>
  <c r="DP11" i="3"/>
  <c r="DO11" i="3"/>
  <c r="DN11" i="3"/>
  <c r="DJ11" i="3"/>
  <c r="DI11" i="3"/>
  <c r="DH11" i="3"/>
  <c r="DG11" i="3"/>
  <c r="DK11" i="3" s="1"/>
  <c r="K11" i="3"/>
  <c r="J11" i="3"/>
  <c r="H11" i="3"/>
  <c r="B11" i="3"/>
  <c r="FA10" i="3"/>
  <c r="EZ10" i="3"/>
  <c r="EY10" i="3"/>
  <c r="FB10" i="3" s="1"/>
  <c r="EW10" i="3"/>
  <c r="EL10" i="3"/>
  <c r="EK10" i="3"/>
  <c r="EV10" i="3" s="1"/>
  <c r="EJ10" i="3"/>
  <c r="EU10" i="3" s="1"/>
  <c r="EF10" i="3"/>
  <c r="EQ10" i="3" s="1"/>
  <c r="EE10" i="3"/>
  <c r="EP10" i="3" s="1"/>
  <c r="ED10" i="3"/>
  <c r="EO10" i="3" s="1"/>
  <c r="EC10" i="3"/>
  <c r="EA10" i="3"/>
  <c r="DZ10" i="3"/>
  <c r="DY10" i="3"/>
  <c r="DU10" i="3"/>
  <c r="DT10" i="3"/>
  <c r="DS10" i="3"/>
  <c r="DR10" i="3"/>
  <c r="EN10" i="3" s="1"/>
  <c r="ER10" i="3" s="1"/>
  <c r="DP10" i="3"/>
  <c r="DO10" i="3"/>
  <c r="DN10" i="3"/>
  <c r="DJ10" i="3"/>
  <c r="DI10" i="3"/>
  <c r="DH10" i="3"/>
  <c r="DG10" i="3"/>
  <c r="DK10" i="3" s="1"/>
  <c r="K10" i="3"/>
  <c r="J10" i="3"/>
  <c r="H10" i="3"/>
  <c r="B10" i="3"/>
  <c r="FA9" i="3"/>
  <c r="EZ9" i="3"/>
  <c r="EY9" i="3"/>
  <c r="FB9" i="3" s="1"/>
  <c r="EW9" i="3"/>
  <c r="EL9" i="3"/>
  <c r="EK9" i="3"/>
  <c r="EV9" i="3" s="1"/>
  <c r="EJ9" i="3"/>
  <c r="EU9" i="3" s="1"/>
  <c r="EF9" i="3"/>
  <c r="EQ9" i="3" s="1"/>
  <c r="EE9" i="3"/>
  <c r="EG9" i="3" s="1"/>
  <c r="ED9" i="3"/>
  <c r="EO9" i="3" s="1"/>
  <c r="EC9" i="3"/>
  <c r="EA9" i="3"/>
  <c r="DZ9" i="3"/>
  <c r="DY9" i="3"/>
  <c r="DU9" i="3"/>
  <c r="DT9" i="3"/>
  <c r="DS9" i="3"/>
  <c r="DR9" i="3"/>
  <c r="DV9" i="3" s="1"/>
  <c r="DP9" i="3"/>
  <c r="DO9" i="3"/>
  <c r="DN9" i="3"/>
  <c r="DJ9" i="3"/>
  <c r="DI9" i="3"/>
  <c r="DH9" i="3"/>
  <c r="DG9" i="3"/>
  <c r="DK9" i="3" s="1"/>
  <c r="K9" i="3"/>
  <c r="J9" i="3"/>
  <c r="H9" i="3"/>
  <c r="B9" i="3"/>
  <c r="FA8" i="3"/>
  <c r="EZ8" i="3"/>
  <c r="EY8" i="3"/>
  <c r="FB8" i="3" s="1"/>
  <c r="EW8" i="3"/>
  <c r="EL8" i="3"/>
  <c r="EK8" i="3"/>
  <c r="EV8" i="3" s="1"/>
  <c r="EJ8" i="3"/>
  <c r="EU8" i="3" s="1"/>
  <c r="EF8" i="3"/>
  <c r="EQ8" i="3" s="1"/>
  <c r="EE8" i="3"/>
  <c r="EP8" i="3" s="1"/>
  <c r="ED8" i="3"/>
  <c r="EO8" i="3" s="1"/>
  <c r="EC8" i="3"/>
  <c r="EA8" i="3"/>
  <c r="DZ8" i="3"/>
  <c r="DY8" i="3"/>
  <c r="DU8" i="3"/>
  <c r="DT8" i="3"/>
  <c r="DS8" i="3"/>
  <c r="DR8" i="3"/>
  <c r="EN8" i="3" s="1"/>
  <c r="DP8" i="3"/>
  <c r="DO8" i="3"/>
  <c r="DN8" i="3"/>
  <c r="DM8" i="3"/>
  <c r="DJ8" i="3"/>
  <c r="DI8" i="3"/>
  <c r="DH8" i="3"/>
  <c r="DG8" i="3"/>
  <c r="DK8" i="3" s="1"/>
  <c r="DL8" i="3" s="1"/>
  <c r="K8" i="3"/>
  <c r="J8" i="3"/>
  <c r="H8" i="3"/>
  <c r="B8" i="3"/>
  <c r="FA7" i="3"/>
  <c r="EY7" i="3"/>
  <c r="EW7" i="3"/>
  <c r="EV7" i="3"/>
  <c r="EL7" i="3"/>
  <c r="EK7" i="3"/>
  <c r="EJ7" i="3"/>
  <c r="EF7" i="3"/>
  <c r="EQ7" i="3" s="1"/>
  <c r="EE7" i="3"/>
  <c r="EP7" i="3" s="1"/>
  <c r="ED7" i="3"/>
  <c r="EC7" i="3"/>
  <c r="EN7" i="3" s="1"/>
  <c r="EA7" i="3"/>
  <c r="DZ7" i="3"/>
  <c r="DY7" i="3"/>
  <c r="DU7" i="3"/>
  <c r="DT7" i="3"/>
  <c r="DS7" i="3"/>
  <c r="EO7" i="3" s="1"/>
  <c r="DR7" i="3"/>
  <c r="DV7" i="3" s="1"/>
  <c r="DP7" i="3"/>
  <c r="DO7" i="3"/>
  <c r="DN7" i="3"/>
  <c r="DK7" i="3"/>
  <c r="DL7" i="3" s="1"/>
  <c r="DJ7" i="3"/>
  <c r="DI7" i="3"/>
  <c r="DH7" i="3"/>
  <c r="DG7" i="3"/>
  <c r="K7" i="3"/>
  <c r="J7" i="3"/>
  <c r="H7" i="3"/>
  <c r="B7" i="3"/>
  <c r="FA6" i="3"/>
  <c r="EZ6" i="3"/>
  <c r="EW6" i="3"/>
  <c r="EU6" i="3"/>
  <c r="EL6" i="3"/>
  <c r="EK6" i="3"/>
  <c r="EJ6" i="3"/>
  <c r="EF6" i="3"/>
  <c r="EQ6" i="3" s="1"/>
  <c r="EE6" i="3"/>
  <c r="ED6" i="3"/>
  <c r="EO6" i="3" s="1"/>
  <c r="EC6" i="3"/>
  <c r="EN6" i="3" s="1"/>
  <c r="ER6" i="3" s="1"/>
  <c r="EA6" i="3"/>
  <c r="DZ6" i="3"/>
  <c r="DY6" i="3"/>
  <c r="DU6" i="3"/>
  <c r="DT6" i="3"/>
  <c r="EP6" i="3" s="1"/>
  <c r="DS6" i="3"/>
  <c r="DR6" i="3"/>
  <c r="DV6" i="3" s="1"/>
  <c r="DP6" i="3"/>
  <c r="DO6" i="3"/>
  <c r="DN6" i="3"/>
  <c r="DK6" i="3"/>
  <c r="DM6" i="3" s="1"/>
  <c r="DJ6" i="3"/>
  <c r="DI6" i="3"/>
  <c r="DH6" i="3"/>
  <c r="DG6" i="3"/>
  <c r="K6" i="3"/>
  <c r="J6" i="3"/>
  <c r="H6" i="3"/>
  <c r="B6" i="3"/>
  <c r="FA5" i="3"/>
  <c r="EY5" i="3"/>
  <c r="EW5" i="3"/>
  <c r="EV5" i="3"/>
  <c r="EU5" i="3"/>
  <c r="EL5" i="3"/>
  <c r="EK5" i="3"/>
  <c r="EJ5" i="3"/>
  <c r="EF5" i="3"/>
  <c r="EQ5" i="3" s="1"/>
  <c r="EE5" i="3"/>
  <c r="EP5" i="3" s="1"/>
  <c r="ED5" i="3"/>
  <c r="EO5" i="3" s="1"/>
  <c r="EC5" i="3"/>
  <c r="EN5" i="3" s="1"/>
  <c r="ER5" i="3" s="1"/>
  <c r="EA5" i="3"/>
  <c r="DZ5" i="3"/>
  <c r="DY5" i="3"/>
  <c r="DU5" i="3"/>
  <c r="DT5" i="3"/>
  <c r="DS5" i="3"/>
  <c r="DR5" i="3"/>
  <c r="DV5" i="3" s="1"/>
  <c r="DP5" i="3"/>
  <c r="DO5" i="3"/>
  <c r="DN5" i="3"/>
  <c r="DJ5" i="3"/>
  <c r="DI5" i="3"/>
  <c r="DH5" i="3"/>
  <c r="DG5" i="3"/>
  <c r="DK5" i="3" s="1"/>
  <c r="K5" i="3"/>
  <c r="J5" i="3"/>
  <c r="B5" i="3"/>
  <c r="FA4" i="3"/>
  <c r="EZ4" i="3"/>
  <c r="EY4" i="3"/>
  <c r="FB4" i="3" s="1"/>
  <c r="EW4" i="3"/>
  <c r="EV4" i="3"/>
  <c r="EL4" i="3"/>
  <c r="EK4" i="3"/>
  <c r="EJ4" i="3"/>
  <c r="EU4" i="3" s="1"/>
  <c r="EF4" i="3"/>
  <c r="EQ4" i="3" s="1"/>
  <c r="EE4" i="3"/>
  <c r="EG4" i="3" s="1"/>
  <c r="ED4" i="3"/>
  <c r="EO4" i="3" s="1"/>
  <c r="EC4" i="3"/>
  <c r="EA4" i="3"/>
  <c r="DZ4" i="3"/>
  <c r="DY4" i="3"/>
  <c r="DU4" i="3"/>
  <c r="DT4" i="3"/>
  <c r="DS4" i="3"/>
  <c r="DR4" i="3"/>
  <c r="DV4" i="3" s="1"/>
  <c r="DP4" i="3"/>
  <c r="DO4" i="3"/>
  <c r="DN4" i="3"/>
  <c r="DJ4" i="3"/>
  <c r="DI4" i="3"/>
  <c r="DH4" i="3"/>
  <c r="DG4" i="3"/>
  <c r="DK4" i="3" s="1"/>
  <c r="K4" i="3"/>
  <c r="J4" i="3"/>
  <c r="H4" i="3"/>
  <c r="B4" i="3"/>
  <c r="C18" i="4"/>
  <c r="C17" i="4"/>
  <c r="C16" i="4"/>
  <c r="C15" i="4"/>
  <c r="C19" i="4" s="1"/>
  <c r="C29" i="4"/>
  <c r="F18" i="2" l="1"/>
  <c r="F16" i="2"/>
  <c r="F19" i="2"/>
  <c r="F20" i="2"/>
  <c r="F17" i="2"/>
  <c r="DX9" i="3"/>
  <c r="DW9" i="3"/>
  <c r="EI30" i="3"/>
  <c r="EH30" i="3"/>
  <c r="EH35" i="3"/>
  <c r="EI35" i="3"/>
  <c r="ET10" i="3"/>
  <c r="ES10" i="3"/>
  <c r="EH12" i="3"/>
  <c r="EI12" i="3"/>
  <c r="DW26" i="3"/>
  <c r="DX26" i="3"/>
  <c r="EI23" i="3"/>
  <c r="EH23" i="3"/>
  <c r="ES27" i="3"/>
  <c r="ET27" i="3"/>
  <c r="DL5" i="3"/>
  <c r="DM5" i="3"/>
  <c r="DX17" i="3"/>
  <c r="DW17" i="3"/>
  <c r="DM27" i="3"/>
  <c r="DL27" i="3"/>
  <c r="DL36" i="3"/>
  <c r="DM36" i="3"/>
  <c r="DL11" i="3"/>
  <c r="DM11" i="3"/>
  <c r="ER34" i="3"/>
  <c r="ET5" i="3"/>
  <c r="H5" i="3" s="1"/>
  <c r="ES5" i="3"/>
  <c r="FC35" i="3"/>
  <c r="DM35" i="3"/>
  <c r="DL35" i="3"/>
  <c r="ER8" i="3"/>
  <c r="DL4" i="3"/>
  <c r="FC4" i="3"/>
  <c r="DM4" i="3"/>
  <c r="EI4" i="3"/>
  <c r="EH4" i="3"/>
  <c r="EI18" i="3"/>
  <c r="EH18" i="3"/>
  <c r="DX7" i="3"/>
  <c r="DW7" i="3"/>
  <c r="DM34" i="3"/>
  <c r="DL34" i="3"/>
  <c r="DX37" i="3"/>
  <c r="DW37" i="3"/>
  <c r="DM14" i="3"/>
  <c r="DL14" i="3"/>
  <c r="FB25" i="3"/>
  <c r="ER29" i="3"/>
  <c r="DW6" i="3"/>
  <c r="DX6" i="3"/>
  <c r="DW31" i="3"/>
  <c r="DX31" i="3"/>
  <c r="DL10" i="3"/>
  <c r="DM10" i="3"/>
  <c r="ER17" i="3"/>
  <c r="DX5" i="3"/>
  <c r="DW5" i="3"/>
  <c r="ER19" i="3"/>
  <c r="DX20" i="3"/>
  <c r="DW20" i="3"/>
  <c r="FB5" i="3"/>
  <c r="DL9" i="3"/>
  <c r="DM9" i="3"/>
  <c r="FC9" i="3"/>
  <c r="EI9" i="3"/>
  <c r="EH9" i="3"/>
  <c r="DL25" i="3"/>
  <c r="DM25" i="3"/>
  <c r="EI25" i="3"/>
  <c r="EH25" i="3"/>
  <c r="ES6" i="3"/>
  <c r="ET6" i="3"/>
  <c r="EI13" i="3"/>
  <c r="EH13" i="3"/>
  <c r="DW15" i="3"/>
  <c r="DX15" i="3"/>
  <c r="DX4" i="3"/>
  <c r="DW4" i="3"/>
  <c r="ER16" i="3"/>
  <c r="DM17" i="3"/>
  <c r="DL17" i="3"/>
  <c r="ER7" i="3"/>
  <c r="DL6" i="3"/>
  <c r="DM7" i="3"/>
  <c r="EG11" i="3"/>
  <c r="DK16" i="3"/>
  <c r="DV19" i="3"/>
  <c r="EG24" i="3"/>
  <c r="DV28" i="3"/>
  <c r="DK29" i="3"/>
  <c r="EG31" i="3"/>
  <c r="EY34" i="3"/>
  <c r="FB34" i="3" s="1"/>
  <c r="EV35" i="3"/>
  <c r="DK37" i="3"/>
  <c r="DV41" i="3"/>
  <c r="EZ41" i="3"/>
  <c r="DK47" i="3"/>
  <c r="EI57" i="3"/>
  <c r="EH57" i="3"/>
  <c r="FC70" i="3"/>
  <c r="ET121" i="3"/>
  <c r="ES121" i="3"/>
  <c r="ER50" i="3"/>
  <c r="DM44" i="3"/>
  <c r="EI45" i="3"/>
  <c r="EH45" i="3"/>
  <c r="EI56" i="3"/>
  <c r="EH56" i="3"/>
  <c r="EG10" i="3"/>
  <c r="EY16" i="3"/>
  <c r="EY23" i="3"/>
  <c r="FB23" i="3" s="1"/>
  <c r="EG5" i="3"/>
  <c r="EZ7" i="3"/>
  <c r="FB7" i="3" s="1"/>
  <c r="EW18" i="3"/>
  <c r="EY20" i="3"/>
  <c r="FB20" i="3" s="1"/>
  <c r="EG20" i="3"/>
  <c r="DV25" i="3"/>
  <c r="EO25" i="3"/>
  <c r="ER25" i="3" s="1"/>
  <c r="EO26" i="3"/>
  <c r="DV27" i="3"/>
  <c r="DK32" i="3"/>
  <c r="EN32" i="3"/>
  <c r="ER32" i="3" s="1"/>
  <c r="ER35" i="3"/>
  <c r="EQ36" i="3"/>
  <c r="EG37" i="3"/>
  <c r="EO37" i="3"/>
  <c r="EW43" i="3"/>
  <c r="DL44" i="3"/>
  <c r="DL56" i="3"/>
  <c r="DX68" i="3"/>
  <c r="DW68" i="3"/>
  <c r="EQ29" i="3"/>
  <c r="EY6" i="3"/>
  <c r="FB6" i="3" s="1"/>
  <c r="EG7" i="3"/>
  <c r="EN13" i="3"/>
  <c r="ER13" i="3" s="1"/>
  <c r="EZ5" i="3"/>
  <c r="EG6" i="3"/>
  <c r="DV11" i="3"/>
  <c r="EN12" i="3"/>
  <c r="DV13" i="3"/>
  <c r="EP13" i="3"/>
  <c r="DK15" i="3"/>
  <c r="EO15" i="3"/>
  <c r="ER15" i="3" s="1"/>
  <c r="EG16" i="3"/>
  <c r="EN18" i="3"/>
  <c r="ER18" i="3" s="1"/>
  <c r="DK20" i="3"/>
  <c r="DV22" i="3"/>
  <c r="DK23" i="3"/>
  <c r="EQ25" i="3"/>
  <c r="FB30" i="3"/>
  <c r="EV31" i="3"/>
  <c r="EU36" i="3"/>
  <c r="EP37" i="3"/>
  <c r="EP50" i="3"/>
  <c r="DV50" i="3"/>
  <c r="DX52" i="3"/>
  <c r="DW52" i="3"/>
  <c r="EN33" i="3"/>
  <c r="ER33" i="3" s="1"/>
  <c r="DV33" i="3"/>
  <c r="EG8" i="3"/>
  <c r="EN46" i="3"/>
  <c r="ER46" i="3" s="1"/>
  <c r="DV46" i="3"/>
  <c r="EZ46" i="3"/>
  <c r="FB46" i="3" s="1"/>
  <c r="FC78" i="3"/>
  <c r="DM78" i="3"/>
  <c r="DL78" i="3"/>
  <c r="EU7" i="3"/>
  <c r="EW21" i="3"/>
  <c r="EG26" i="3"/>
  <c r="EY28" i="3"/>
  <c r="FB28" i="3" s="1"/>
  <c r="EG28" i="3"/>
  <c r="DK30" i="3"/>
  <c r="EG34" i="3"/>
  <c r="DX35" i="3"/>
  <c r="EY38" i="3"/>
  <c r="FB38" i="3" s="1"/>
  <c r="EG38" i="3"/>
  <c r="EN38" i="3"/>
  <c r="ER38" i="3" s="1"/>
  <c r="EY39" i="3"/>
  <c r="FB39" i="3" s="1"/>
  <c r="EG39" i="3"/>
  <c r="EN39" i="3"/>
  <c r="ER39" i="3" s="1"/>
  <c r="FB41" i="3"/>
  <c r="EO43" i="3"/>
  <c r="ER49" i="3"/>
  <c r="EG21" i="3"/>
  <c r="EN21" i="3"/>
  <c r="ER21" i="3" s="1"/>
  <c r="EN24" i="3"/>
  <c r="ER24" i="3" s="1"/>
  <c r="EW29" i="3"/>
  <c r="EP30" i="3"/>
  <c r="ER30" i="3" s="1"/>
  <c r="EG32" i="3"/>
  <c r="FB44" i="3"/>
  <c r="DK26" i="3"/>
  <c r="FA26" i="3"/>
  <c r="FB26" i="3" s="1"/>
  <c r="EI48" i="3"/>
  <c r="EH48" i="3"/>
  <c r="FC6" i="3"/>
  <c r="EG15" i="3"/>
  <c r="EN4" i="3"/>
  <c r="ER4" i="3" s="1"/>
  <c r="EN9" i="3"/>
  <c r="DK19" i="3"/>
  <c r="EU20" i="3"/>
  <c r="DV21" i="3"/>
  <c r="DW24" i="3"/>
  <c r="DL28" i="3"/>
  <c r="EP28" i="3"/>
  <c r="EZ33" i="3"/>
  <c r="DK40" i="3"/>
  <c r="FA40" i="3"/>
  <c r="FB40" i="3" s="1"/>
  <c r="EO40" i="3"/>
  <c r="ER40" i="3" s="1"/>
  <c r="DX42" i="3"/>
  <c r="DV47" i="3"/>
  <c r="EO47" i="3"/>
  <c r="EZ70" i="3"/>
  <c r="FB70" i="3" s="1"/>
  <c r="DV70" i="3"/>
  <c r="EI27" i="3"/>
  <c r="EH27" i="3"/>
  <c r="DV18" i="3"/>
  <c r="DV16" i="3"/>
  <c r="EZ16" i="3"/>
  <c r="DV8" i="3"/>
  <c r="FB14" i="3"/>
  <c r="EY22" i="3"/>
  <c r="FB22" i="3" s="1"/>
  <c r="EG22" i="3"/>
  <c r="EN22" i="3"/>
  <c r="ER22" i="3" s="1"/>
  <c r="DV23" i="3"/>
  <c r="EU23" i="3"/>
  <c r="EU32" i="3"/>
  <c r="FA33" i="3"/>
  <c r="FB33" i="3" s="1"/>
  <c r="EY35" i="3"/>
  <c r="FB35" i="3" s="1"/>
  <c r="ER37" i="3"/>
  <c r="DK38" i="3"/>
  <c r="EN41" i="3"/>
  <c r="ER41" i="3" s="1"/>
  <c r="FA51" i="3"/>
  <c r="DK51" i="3"/>
  <c r="EN51" i="3"/>
  <c r="ER51" i="3" s="1"/>
  <c r="EU55" i="3"/>
  <c r="DK61" i="3"/>
  <c r="DM31" i="3"/>
  <c r="DL31" i="3"/>
  <c r="EV6" i="3"/>
  <c r="DV10" i="3"/>
  <c r="EP14" i="3"/>
  <c r="ER14" i="3" s="1"/>
  <c r="EP4" i="3"/>
  <c r="EP9" i="3"/>
  <c r="DK13" i="3"/>
  <c r="EO13" i="3"/>
  <c r="EG14" i="3"/>
  <c r="EO22" i="3"/>
  <c r="EP25" i="3"/>
  <c r="DV29" i="3"/>
  <c r="EW34" i="3"/>
  <c r="DV36" i="3"/>
  <c r="FC36" i="3" s="1"/>
  <c r="DK39" i="3"/>
  <c r="EQ40" i="3"/>
  <c r="EI54" i="3"/>
  <c r="DX58" i="3"/>
  <c r="DW58" i="3"/>
  <c r="FC69" i="3"/>
  <c r="EQ77" i="3"/>
  <c r="DK77" i="3"/>
  <c r="DM24" i="3"/>
  <c r="DV32" i="3"/>
  <c r="EZ32" i="3"/>
  <c r="FB32" i="3" s="1"/>
  <c r="DM41" i="3"/>
  <c r="DL41" i="3"/>
  <c r="FC41" i="3"/>
  <c r="EW42" i="3"/>
  <c r="FC22" i="3"/>
  <c r="EN26" i="3"/>
  <c r="ER26" i="3" s="1"/>
  <c r="DL12" i="3"/>
  <c r="EP12" i="3"/>
  <c r="DL18" i="3"/>
  <c r="EI19" i="3"/>
  <c r="DL22" i="3"/>
  <c r="DK42" i="3"/>
  <c r="FA42" i="3"/>
  <c r="FB42" i="3" s="1"/>
  <c r="EW46" i="3"/>
  <c r="DM53" i="3"/>
  <c r="DL53" i="3"/>
  <c r="DX57" i="3"/>
  <c r="DW57" i="3"/>
  <c r="DM60" i="3"/>
  <c r="DL60" i="3"/>
  <c r="EN20" i="3"/>
  <c r="ER20" i="3" s="1"/>
  <c r="EN11" i="3"/>
  <c r="ER11" i="3" s="1"/>
  <c r="EY17" i="3"/>
  <c r="FB17" i="3" s="1"/>
  <c r="EG17" i="3"/>
  <c r="FC17" i="3" s="1"/>
  <c r="EY18" i="3"/>
  <c r="FB18" i="3" s="1"/>
  <c r="DV30" i="3"/>
  <c r="EV30" i="3"/>
  <c r="EQ35" i="3"/>
  <c r="EO42" i="3"/>
  <c r="ER42" i="3" s="1"/>
  <c r="FA48" i="3"/>
  <c r="DK48" i="3"/>
  <c r="EN48" i="3"/>
  <c r="ER48" i="3" s="1"/>
  <c r="EY36" i="3"/>
  <c r="FB36" i="3" s="1"/>
  <c r="EG36" i="3"/>
  <c r="EN36" i="3"/>
  <c r="ER36" i="3" s="1"/>
  <c r="FB54" i="3"/>
  <c r="EN23" i="3"/>
  <c r="ER23" i="3" s="1"/>
  <c r="DV12" i="3"/>
  <c r="FC18" i="3"/>
  <c r="DV14" i="3"/>
  <c r="FC14" i="3" s="1"/>
  <c r="EV19" i="3"/>
  <c r="EN28" i="3"/>
  <c r="ER28" i="3" s="1"/>
  <c r="EW30" i="3"/>
  <c r="EO31" i="3"/>
  <c r="ER31" i="3" s="1"/>
  <c r="DW34" i="3"/>
  <c r="FB37" i="3"/>
  <c r="EZ39" i="3"/>
  <c r="DV39" i="3"/>
  <c r="EV40" i="3"/>
  <c r="EI41" i="3"/>
  <c r="ER47" i="3"/>
  <c r="FC50" i="3"/>
  <c r="EQ56" i="3"/>
  <c r="DV56" i="3"/>
  <c r="EY11" i="3"/>
  <c r="FB11" i="3" s="1"/>
  <c r="DL24" i="3"/>
  <c r="EU25" i="3"/>
  <c r="EY29" i="3"/>
  <c r="FB29" i="3" s="1"/>
  <c r="EG29" i="3"/>
  <c r="EO44" i="3"/>
  <c r="ER44" i="3" s="1"/>
  <c r="EG44" i="3"/>
  <c r="EG58" i="3"/>
  <c r="DV61" i="3"/>
  <c r="EZ61" i="3"/>
  <c r="EU74" i="3"/>
  <c r="EG42" i="3"/>
  <c r="EN56" i="3"/>
  <c r="ER56" i="3" s="1"/>
  <c r="FA60" i="3"/>
  <c r="FC62" i="3"/>
  <c r="DM62" i="3"/>
  <c r="DL62" i="3"/>
  <c r="EQ62" i="3"/>
  <c r="ER62" i="3" s="1"/>
  <c r="EN63" i="3"/>
  <c r="ER63" i="3" s="1"/>
  <c r="FB72" i="3"/>
  <c r="EV78" i="3"/>
  <c r="ET105" i="3"/>
  <c r="ES105" i="3"/>
  <c r="DW107" i="3"/>
  <c r="DX107" i="3"/>
  <c r="EY50" i="3"/>
  <c r="FB50" i="3" s="1"/>
  <c r="EG50" i="3"/>
  <c r="EU53" i="3"/>
  <c r="ER68" i="3"/>
  <c r="FC76" i="3"/>
  <c r="DV85" i="3"/>
  <c r="EN85" i="3"/>
  <c r="ER85" i="3" s="1"/>
  <c r="EZ85" i="3"/>
  <c r="DV91" i="3"/>
  <c r="EO91" i="3"/>
  <c r="EI93" i="3"/>
  <c r="EH93" i="3"/>
  <c r="EO99" i="3"/>
  <c r="EG99" i="3"/>
  <c r="DX105" i="3"/>
  <c r="DW105" i="3"/>
  <c r="ET137" i="3"/>
  <c r="ES137" i="3"/>
  <c r="DV38" i="3"/>
  <c r="DV44" i="3"/>
  <c r="DL50" i="3"/>
  <c r="EQ57" i="3"/>
  <c r="ER57" i="3" s="1"/>
  <c r="EH62" i="3"/>
  <c r="DK63" i="3"/>
  <c r="EU64" i="3"/>
  <c r="ER66" i="3"/>
  <c r="ER67" i="3"/>
  <c r="DL76" i="3"/>
  <c r="EW77" i="3"/>
  <c r="DV79" i="3"/>
  <c r="EZ79" i="3"/>
  <c r="FB79" i="3" s="1"/>
  <c r="EO85" i="3"/>
  <c r="DK88" i="3"/>
  <c r="FA88" i="3"/>
  <c r="DV96" i="3"/>
  <c r="FC96" i="3" s="1"/>
  <c r="EZ96" i="3"/>
  <c r="FB96" i="3" s="1"/>
  <c r="EU42" i="3"/>
  <c r="EN43" i="3"/>
  <c r="ER43" i="3" s="1"/>
  <c r="DM50" i="3"/>
  <c r="EW51" i="3"/>
  <c r="EN54" i="3"/>
  <c r="ER54" i="3" s="1"/>
  <c r="FA54" i="3"/>
  <c r="EN60" i="3"/>
  <c r="EY60" i="3"/>
  <c r="EG60" i="3"/>
  <c r="FB68" i="3"/>
  <c r="DV69" i="3"/>
  <c r="ER75" i="3"/>
  <c r="DM76" i="3"/>
  <c r="ER82" i="3"/>
  <c r="ER83" i="3"/>
  <c r="DX86" i="3"/>
  <c r="DW86" i="3"/>
  <c r="DM93" i="3"/>
  <c r="DL93" i="3"/>
  <c r="FC93" i="3"/>
  <c r="DM99" i="3"/>
  <c r="DL99" i="3"/>
  <c r="DV40" i="3"/>
  <c r="DV43" i="3"/>
  <c r="DK46" i="3"/>
  <c r="EG47" i="3"/>
  <c r="EN53" i="3"/>
  <c r="ER53" i="3" s="1"/>
  <c r="EY58" i="3"/>
  <c r="FB58" i="3" s="1"/>
  <c r="FA64" i="3"/>
  <c r="FB64" i="3" s="1"/>
  <c r="DK64" i="3"/>
  <c r="DW65" i="3"/>
  <c r="ER72" i="3"/>
  <c r="ER89" i="3"/>
  <c r="ET132" i="3"/>
  <c r="ES132" i="3"/>
  <c r="EN45" i="3"/>
  <c r="ER45" i="3" s="1"/>
  <c r="EN55" i="3"/>
  <c r="ER55" i="3" s="1"/>
  <c r="EI63" i="3"/>
  <c r="FC68" i="3"/>
  <c r="FB74" i="3"/>
  <c r="DX77" i="3"/>
  <c r="DW77" i="3"/>
  <c r="DX78" i="3"/>
  <c r="DW78" i="3"/>
  <c r="DW81" i="3"/>
  <c r="EY49" i="3"/>
  <c r="FB49" i="3" s="1"/>
  <c r="FC52" i="3"/>
  <c r="EY56" i="3"/>
  <c r="FB56" i="3" s="1"/>
  <c r="FC58" i="3"/>
  <c r="EQ60" i="3"/>
  <c r="EN70" i="3"/>
  <c r="ER70" i="3" s="1"/>
  <c r="DM72" i="3"/>
  <c r="DL72" i="3"/>
  <c r="FC72" i="3"/>
  <c r="FA87" i="3"/>
  <c r="DK87" i="3"/>
  <c r="FB123" i="3"/>
  <c r="EG33" i="3"/>
  <c r="FC33" i="3" s="1"/>
  <c r="DK43" i="3"/>
  <c r="EY45" i="3"/>
  <c r="FB45" i="3" s="1"/>
  <c r="EU47" i="3"/>
  <c r="DX48" i="3"/>
  <c r="DK49" i="3"/>
  <c r="DL52" i="3"/>
  <c r="EN61" i="3"/>
  <c r="ER61" i="3" s="1"/>
  <c r="EY61" i="3"/>
  <c r="FB61" i="3" s="1"/>
  <c r="EG61" i="3"/>
  <c r="DW67" i="3"/>
  <c r="DK71" i="3"/>
  <c r="DK73" i="3"/>
  <c r="EN73" i="3"/>
  <c r="ER73" i="3" s="1"/>
  <c r="FA73" i="3"/>
  <c r="FB73" i="3" s="1"/>
  <c r="FB75" i="3"/>
  <c r="DV76" i="3"/>
  <c r="EI92" i="3"/>
  <c r="DW121" i="3"/>
  <c r="DX121" i="3"/>
  <c r="EP58" i="3"/>
  <c r="ER58" i="3" s="1"/>
  <c r="DX59" i="3"/>
  <c r="DW59" i="3"/>
  <c r="DV63" i="3"/>
  <c r="EZ63" i="3"/>
  <c r="FA65" i="3"/>
  <c r="FB65" i="3" s="1"/>
  <c r="DK65" i="3"/>
  <c r="DM70" i="3"/>
  <c r="DL70" i="3"/>
  <c r="DX75" i="3"/>
  <c r="DW75" i="3"/>
  <c r="DX83" i="3"/>
  <c r="DW83" i="3"/>
  <c r="EO86" i="3"/>
  <c r="EG86" i="3"/>
  <c r="DX90" i="3"/>
  <c r="ER65" i="3"/>
  <c r="EY69" i="3"/>
  <c r="FB69" i="3" s="1"/>
  <c r="EG69" i="3"/>
  <c r="EN69" i="3"/>
  <c r="EN80" i="3"/>
  <c r="FA80" i="3"/>
  <c r="FB80" i="3" s="1"/>
  <c r="DK80" i="3"/>
  <c r="DX93" i="3"/>
  <c r="DW93" i="3"/>
  <c r="EN119" i="3"/>
  <c r="ER119" i="3" s="1"/>
  <c r="EY119" i="3"/>
  <c r="FB119" i="3" s="1"/>
  <c r="EG119" i="3"/>
  <c r="EG49" i="3"/>
  <c r="EZ54" i="3"/>
  <c r="DV54" i="3"/>
  <c r="FC54" i="3" s="1"/>
  <c r="DK55" i="3"/>
  <c r="EY62" i="3"/>
  <c r="FB62" i="3" s="1"/>
  <c r="FA66" i="3"/>
  <c r="FB66" i="3" s="1"/>
  <c r="DK66" i="3"/>
  <c r="EO69" i="3"/>
  <c r="ER74" i="3"/>
  <c r="EO80" i="3"/>
  <c r="FA81" i="3"/>
  <c r="FB81" i="3" s="1"/>
  <c r="DK81" i="3"/>
  <c r="EN81" i="3"/>
  <c r="ER81" i="3" s="1"/>
  <c r="ER84" i="3"/>
  <c r="DM86" i="3"/>
  <c r="FC86" i="3"/>
  <c r="EP43" i="3"/>
  <c r="EV46" i="3"/>
  <c r="EV52" i="3"/>
  <c r="DK59" i="3"/>
  <c r="DV60" i="3"/>
  <c r="FC60" i="3" s="1"/>
  <c r="EZ60" i="3"/>
  <c r="EG68" i="3"/>
  <c r="EO68" i="3"/>
  <c r="EU72" i="3"/>
  <c r="FC75" i="3"/>
  <c r="EN78" i="3"/>
  <c r="ER78" i="3" s="1"/>
  <c r="EY78" i="3"/>
  <c r="FB78" i="3" s="1"/>
  <c r="EG78" i="3"/>
  <c r="DM85" i="3"/>
  <c r="DL85" i="3"/>
  <c r="DV45" i="3"/>
  <c r="FB48" i="3"/>
  <c r="EY51" i="3"/>
  <c r="FB51" i="3" s="1"/>
  <c r="EG51" i="3"/>
  <c r="EW52" i="3"/>
  <c r="EY53" i="3"/>
  <c r="FB53" i="3" s="1"/>
  <c r="EG53" i="3"/>
  <c r="EP68" i="3"/>
  <c r="EV71" i="3"/>
  <c r="EG73" i="3"/>
  <c r="EN77" i="3"/>
  <c r="EY77" i="3"/>
  <c r="FB77" i="3" s="1"/>
  <c r="EG77" i="3"/>
  <c r="EO78" i="3"/>
  <c r="EO79" i="3"/>
  <c r="ER79" i="3" s="1"/>
  <c r="DK79" i="3"/>
  <c r="FB82" i="3"/>
  <c r="EU85" i="3"/>
  <c r="DX114" i="3"/>
  <c r="DW114" i="3"/>
  <c r="EG43" i="3"/>
  <c r="DV49" i="3"/>
  <c r="EN52" i="3"/>
  <c r="ER52" i="3" s="1"/>
  <c r="DK57" i="3"/>
  <c r="FA57" i="3"/>
  <c r="FB57" i="3" s="1"/>
  <c r="EO59" i="3"/>
  <c r="ER59" i="3" s="1"/>
  <c r="EG59" i="3"/>
  <c r="EN64" i="3"/>
  <c r="ER64" i="3" s="1"/>
  <c r="EI65" i="3"/>
  <c r="EH65" i="3"/>
  <c r="FC67" i="3"/>
  <c r="DL67" i="3"/>
  <c r="DX72" i="3"/>
  <c r="DW72" i="3"/>
  <c r="EO75" i="3"/>
  <c r="EG75" i="3"/>
  <c r="EH80" i="3"/>
  <c r="DK90" i="3"/>
  <c r="EN90" i="3"/>
  <c r="ER90" i="3" s="1"/>
  <c r="FB63" i="3"/>
  <c r="DM69" i="3"/>
  <c r="DL69" i="3"/>
  <c r="EN71" i="3"/>
  <c r="ER71" i="3" s="1"/>
  <c r="DV71" i="3"/>
  <c r="EI74" i="3"/>
  <c r="EH74" i="3"/>
  <c r="EN76" i="3"/>
  <c r="ER76" i="3" s="1"/>
  <c r="EY76" i="3"/>
  <c r="EG76" i="3"/>
  <c r="EQ78" i="3"/>
  <c r="EI81" i="3"/>
  <c r="EH81" i="3"/>
  <c r="ER86" i="3"/>
  <c r="EI98" i="3"/>
  <c r="DX106" i="3"/>
  <c r="DW106" i="3"/>
  <c r="DX117" i="3"/>
  <c r="DW117" i="3"/>
  <c r="EH127" i="3"/>
  <c r="EI127" i="3"/>
  <c r="EI131" i="3"/>
  <c r="EH131" i="3"/>
  <c r="EH98" i="3"/>
  <c r="DM109" i="3"/>
  <c r="DL109" i="3"/>
  <c r="FC109" i="3"/>
  <c r="EI109" i="3"/>
  <c r="EH109" i="3"/>
  <c r="ER110" i="3"/>
  <c r="DM129" i="3"/>
  <c r="DL129" i="3"/>
  <c r="FC129" i="3"/>
  <c r="DX135" i="3"/>
  <c r="DW135" i="3"/>
  <c r="ER136" i="3"/>
  <c r="EY85" i="3"/>
  <c r="FB85" i="3" s="1"/>
  <c r="EG85" i="3"/>
  <c r="EO87" i="3"/>
  <c r="FB88" i="3"/>
  <c r="EV92" i="3"/>
  <c r="EN94" i="3"/>
  <c r="ER94" i="3" s="1"/>
  <c r="DX97" i="3"/>
  <c r="DW97" i="3"/>
  <c r="DM108" i="3"/>
  <c r="DL108" i="3"/>
  <c r="DV113" i="3"/>
  <c r="EZ113" i="3"/>
  <c r="FB113" i="3"/>
  <c r="ET126" i="3"/>
  <c r="ES126" i="3"/>
  <c r="DM127" i="3"/>
  <c r="DL127" i="3"/>
  <c r="DW140" i="3"/>
  <c r="FB90" i="3"/>
  <c r="DK94" i="3"/>
  <c r="EO94" i="3"/>
  <c r="EN100" i="3"/>
  <c r="ER100" i="3" s="1"/>
  <c r="EY100" i="3"/>
  <c r="FB100" i="3" s="1"/>
  <c r="EG100" i="3"/>
  <c r="EP102" i="3"/>
  <c r="ER102" i="3" s="1"/>
  <c r="DK102" i="3"/>
  <c r="DK103" i="3"/>
  <c r="EI110" i="3"/>
  <c r="EH110" i="3"/>
  <c r="DM125" i="3"/>
  <c r="DL125" i="3"/>
  <c r="FC125" i="3"/>
  <c r="EZ76" i="3"/>
  <c r="DW87" i="3"/>
  <c r="EN92" i="3"/>
  <c r="EG94" i="3"/>
  <c r="EP94" i="3"/>
  <c r="EN95" i="3"/>
  <c r="ER95" i="3" s="1"/>
  <c r="DK100" i="3"/>
  <c r="FB107" i="3"/>
  <c r="EQ110" i="3"/>
  <c r="DV112" i="3"/>
  <c r="ER115" i="3"/>
  <c r="ER118" i="3"/>
  <c r="FC119" i="3"/>
  <c r="DM119" i="3"/>
  <c r="DL119" i="3"/>
  <c r="ER122" i="3"/>
  <c r="FC124" i="3"/>
  <c r="DM124" i="3"/>
  <c r="DL124" i="3"/>
  <c r="DW137" i="3"/>
  <c r="DX137" i="3"/>
  <c r="FC74" i="3"/>
  <c r="EZ77" i="3"/>
  <c r="DK82" i="3"/>
  <c r="DK84" i="3"/>
  <c r="EY84" i="3"/>
  <c r="FB84" i="3" s="1"/>
  <c r="EG84" i="3"/>
  <c r="EG95" i="3"/>
  <c r="EO95" i="3"/>
  <c r="DX98" i="3"/>
  <c r="DW98" i="3"/>
  <c r="EQ101" i="3"/>
  <c r="ER101" i="3" s="1"/>
  <c r="DK101" i="3"/>
  <c r="FA107" i="3"/>
  <c r="DK107" i="3"/>
  <c r="EN107" i="3"/>
  <c r="DX111" i="3"/>
  <c r="DW111" i="3"/>
  <c r="ER116" i="3"/>
  <c r="ER117" i="3"/>
  <c r="DX120" i="3"/>
  <c r="DW120" i="3"/>
  <c r="FB121" i="3"/>
  <c r="FA123" i="3"/>
  <c r="DK123" i="3"/>
  <c r="EN123" i="3"/>
  <c r="ER123" i="3" s="1"/>
  <c r="EI125" i="3"/>
  <c r="EH125" i="3"/>
  <c r="DV129" i="3"/>
  <c r="EZ129" i="3"/>
  <c r="FB129" i="3" s="1"/>
  <c r="DX130" i="3"/>
  <c r="DW130" i="3"/>
  <c r="FB130" i="3"/>
  <c r="DX131" i="3"/>
  <c r="DW131" i="3"/>
  <c r="EG88" i="3"/>
  <c r="DW89" i="3"/>
  <c r="DV92" i="3"/>
  <c r="EZ97" i="3"/>
  <c r="FB97" i="3" s="1"/>
  <c r="EV102" i="3"/>
  <c r="ER114" i="3"/>
  <c r="EI123" i="3"/>
  <c r="EH123" i="3"/>
  <c r="DX128" i="3"/>
  <c r="DW128" i="3"/>
  <c r="FB140" i="3"/>
  <c r="EG64" i="3"/>
  <c r="DL83" i="3"/>
  <c r="FA84" i="3"/>
  <c r="EW86" i="3"/>
  <c r="EN93" i="3"/>
  <c r="EU94" i="3"/>
  <c r="EQ107" i="3"/>
  <c r="FC111" i="3"/>
  <c r="DL115" i="3"/>
  <c r="FC115" i="3"/>
  <c r="DM115" i="3"/>
  <c r="EN135" i="3"/>
  <c r="ER135" i="3" s="1"/>
  <c r="EY135" i="3"/>
  <c r="FB135" i="3" s="1"/>
  <c r="EG135" i="3"/>
  <c r="FA139" i="3"/>
  <c r="FB139" i="3" s="1"/>
  <c r="DK139" i="3"/>
  <c r="EN139" i="3"/>
  <c r="ER139" i="3" s="1"/>
  <c r="EU88" i="3"/>
  <c r="EY91" i="3"/>
  <c r="FB91" i="3" s="1"/>
  <c r="EG91" i="3"/>
  <c r="EN96" i="3"/>
  <c r="ER96" i="3" s="1"/>
  <c r="DX99" i="3"/>
  <c r="DW99" i="3"/>
  <c r="DX103" i="3"/>
  <c r="DW103" i="3"/>
  <c r="EI115" i="3"/>
  <c r="EH115" i="3"/>
  <c r="DX133" i="3"/>
  <c r="DW133" i="3"/>
  <c r="EG66" i="3"/>
  <c r="EG82" i="3"/>
  <c r="EN87" i="3"/>
  <c r="ER87" i="3" s="1"/>
  <c r="EY87" i="3"/>
  <c r="FB87" i="3" s="1"/>
  <c r="EV88" i="3"/>
  <c r="FA89" i="3"/>
  <c r="FB89" i="3" s="1"/>
  <c r="DK89" i="3"/>
  <c r="EN97" i="3"/>
  <c r="ER97" i="3" s="1"/>
  <c r="ER108" i="3"/>
  <c r="EN113" i="3"/>
  <c r="ER113" i="3" s="1"/>
  <c r="DX119" i="3"/>
  <c r="DW119" i="3"/>
  <c r="ER138" i="3"/>
  <c r="EG67" i="3"/>
  <c r="EG83" i="3"/>
  <c r="FC83" i="3" s="1"/>
  <c r="EW85" i="3"/>
  <c r="DK91" i="3"/>
  <c r="EU106" i="3"/>
  <c r="DM114" i="3"/>
  <c r="DL114" i="3"/>
  <c r="EV121" i="3"/>
  <c r="DX136" i="3"/>
  <c r="DW136" i="3"/>
  <c r="EN88" i="3"/>
  <c r="ER88" i="3" s="1"/>
  <c r="EQ91" i="3"/>
  <c r="ER91" i="3" s="1"/>
  <c r="EZ94" i="3"/>
  <c r="FB94" i="3" s="1"/>
  <c r="DV94" i="3"/>
  <c r="DX101" i="3"/>
  <c r="DW101" i="3"/>
  <c r="EN104" i="3"/>
  <c r="ER104" i="3" s="1"/>
  <c r="FA104" i="3"/>
  <c r="FB104" i="3" s="1"/>
  <c r="DK104" i="3"/>
  <c r="EV105" i="3"/>
  <c r="EU122" i="3"/>
  <c r="ER124" i="3"/>
  <c r="DV88" i="3"/>
  <c r="EG89" i="3"/>
  <c r="DV95" i="3"/>
  <c r="FC95" i="3" s="1"/>
  <c r="DM96" i="3"/>
  <c r="DL96" i="3"/>
  <c r="EG96" i="3"/>
  <c r="DM97" i="3"/>
  <c r="DL97" i="3"/>
  <c r="FC97" i="3"/>
  <c r="DX109" i="3"/>
  <c r="DW109" i="3"/>
  <c r="EO112" i="3"/>
  <c r="ER112" i="3" s="1"/>
  <c r="ER120" i="3"/>
  <c r="ER129" i="3"/>
  <c r="ER130" i="3"/>
  <c r="ER131" i="3"/>
  <c r="ER133" i="3"/>
  <c r="ER134" i="3"/>
  <c r="FC135" i="3"/>
  <c r="DM135" i="3"/>
  <c r="DL135" i="3"/>
  <c r="EP92" i="3"/>
  <c r="ER106" i="3"/>
  <c r="EH111" i="3"/>
  <c r="EI111" i="3"/>
  <c r="DX115" i="3"/>
  <c r="DW115" i="3"/>
  <c r="EG55" i="3"/>
  <c r="EG71" i="3"/>
  <c r="EH87" i="3"/>
  <c r="DM92" i="3"/>
  <c r="DL92" i="3"/>
  <c r="EQ92" i="3"/>
  <c r="EP98" i="3"/>
  <c r="ER98" i="3" s="1"/>
  <c r="ER99" i="3"/>
  <c r="EN103" i="3"/>
  <c r="ER103" i="3" s="1"/>
  <c r="EY103" i="3"/>
  <c r="FB103" i="3" s="1"/>
  <c r="EG103" i="3"/>
  <c r="DM111" i="3"/>
  <c r="DL111" i="3"/>
  <c r="EP111" i="3"/>
  <c r="DM113" i="3"/>
  <c r="DL113" i="3"/>
  <c r="FB115" i="3"/>
  <c r="DX125" i="3"/>
  <c r="DW125" i="3"/>
  <c r="EO128" i="3"/>
  <c r="ER128" i="3" s="1"/>
  <c r="EH112" i="3"/>
  <c r="EG113" i="3"/>
  <c r="DL116" i="3"/>
  <c r="DK117" i="3"/>
  <c r="DV108" i="3"/>
  <c r="FC108" i="3" s="1"/>
  <c r="EG114" i="3"/>
  <c r="DM116" i="3"/>
  <c r="DK118" i="3"/>
  <c r="DV124" i="3"/>
  <c r="EG130" i="3"/>
  <c r="FC130" i="3" s="1"/>
  <c r="DL133" i="3"/>
  <c r="DK134" i="3"/>
  <c r="EN140" i="3"/>
  <c r="ER140" i="3" s="1"/>
  <c r="EO93" i="3"/>
  <c r="EO109" i="3"/>
  <c r="ER109" i="3" s="1"/>
  <c r="DV110" i="3"/>
  <c r="EZ115" i="3"/>
  <c r="EY116" i="3"/>
  <c r="FB116" i="3" s="1"/>
  <c r="DK120" i="3"/>
  <c r="DV126" i="3"/>
  <c r="FC128" i="3"/>
  <c r="EZ131" i="3"/>
  <c r="FB131" i="3" s="1"/>
  <c r="EG132" i="3"/>
  <c r="EY132" i="3"/>
  <c r="FB132" i="3" s="1"/>
  <c r="DK136" i="3"/>
  <c r="EG101" i="3"/>
  <c r="EY101" i="3"/>
  <c r="FB101" i="3" s="1"/>
  <c r="DK105" i="3"/>
  <c r="EG117" i="3"/>
  <c r="EY117" i="3"/>
  <c r="FB117" i="3" s="1"/>
  <c r="DK121" i="3"/>
  <c r="DV127" i="3"/>
  <c r="EG133" i="3"/>
  <c r="EY133" i="3"/>
  <c r="FB133" i="3" s="1"/>
  <c r="DK137" i="3"/>
  <c r="FC98" i="3"/>
  <c r="EG102" i="3"/>
  <c r="EY102" i="3"/>
  <c r="FB102" i="3" s="1"/>
  <c r="DK106" i="3"/>
  <c r="EP110" i="3"/>
  <c r="EO111" i="3"/>
  <c r="ER111" i="3" s="1"/>
  <c r="EG118" i="3"/>
  <c r="EY118" i="3"/>
  <c r="FB118" i="3" s="1"/>
  <c r="DK122" i="3"/>
  <c r="EQ125" i="3"/>
  <c r="ER125" i="3" s="1"/>
  <c r="EO127" i="3"/>
  <c r="ER127" i="3" s="1"/>
  <c r="EG134" i="3"/>
  <c r="EY134" i="3"/>
  <c r="FB134" i="3" s="1"/>
  <c r="DK138" i="3"/>
  <c r="EG104" i="3"/>
  <c r="EG120" i="3"/>
  <c r="EG136" i="3"/>
  <c r="EY136" i="3"/>
  <c r="FB136" i="3" s="1"/>
  <c r="DK140" i="3"/>
  <c r="EG105" i="3"/>
  <c r="EG121" i="3"/>
  <c r="EZ136" i="3"/>
  <c r="EG137" i="3"/>
  <c r="EY137" i="3"/>
  <c r="FB137" i="3" s="1"/>
  <c r="EG90" i="3"/>
  <c r="FA120" i="3"/>
  <c r="FB120" i="3" s="1"/>
  <c r="EG138" i="3"/>
  <c r="FA105" i="3"/>
  <c r="FB105" i="3" s="1"/>
  <c r="EG107" i="3"/>
  <c r="FA121" i="3"/>
  <c r="EG139" i="3"/>
  <c r="FA122" i="3"/>
  <c r="FB122" i="3" s="1"/>
  <c r="FA138" i="3"/>
  <c r="FB138" i="3" s="1"/>
  <c r="EG140" i="3"/>
  <c r="DW102" i="3"/>
  <c r="EH108" i="3"/>
  <c r="DL112" i="3"/>
  <c r="EH124" i="3"/>
  <c r="C30" i="4"/>
  <c r="D23" i="4"/>
  <c r="ET30" i="3" l="1"/>
  <c r="ES30" i="3"/>
  <c r="ET127" i="3"/>
  <c r="ES127" i="3"/>
  <c r="ET59" i="3"/>
  <c r="ES59" i="3"/>
  <c r="ET57" i="3"/>
  <c r="ES57" i="3"/>
  <c r="ES62" i="3"/>
  <c r="ET62" i="3"/>
  <c r="ET112" i="3"/>
  <c r="ES112" i="3"/>
  <c r="ET109" i="3"/>
  <c r="ES109" i="3"/>
  <c r="ET125" i="3"/>
  <c r="ES125" i="3"/>
  <c r="ES58" i="3"/>
  <c r="ET58" i="3"/>
  <c r="ES25" i="3"/>
  <c r="ET25" i="3"/>
  <c r="ET128" i="3"/>
  <c r="ES128" i="3"/>
  <c r="ET111" i="3"/>
  <c r="ES111" i="3"/>
  <c r="ES91" i="3"/>
  <c r="ET91" i="3"/>
  <c r="ET42" i="3"/>
  <c r="ES42" i="3"/>
  <c r="ET101" i="3"/>
  <c r="ES101" i="3"/>
  <c r="ES44" i="3"/>
  <c r="ET44" i="3"/>
  <c r="ES31" i="3"/>
  <c r="ET31" i="3"/>
  <c r="ET14" i="3"/>
  <c r="ES14" i="3"/>
  <c r="ET79" i="3"/>
  <c r="ES79" i="3"/>
  <c r="ET40" i="3"/>
  <c r="ES40" i="3"/>
  <c r="ES15" i="3"/>
  <c r="ET15" i="3"/>
  <c r="DX112" i="3"/>
  <c r="DW112" i="3"/>
  <c r="DX113" i="3"/>
  <c r="DW113" i="3"/>
  <c r="ET81" i="3"/>
  <c r="ES81" i="3"/>
  <c r="ET43" i="3"/>
  <c r="ES43" i="3"/>
  <c r="ET85" i="3"/>
  <c r="ES85" i="3"/>
  <c r="DX56" i="3"/>
  <c r="DW56" i="3"/>
  <c r="ET4" i="3"/>
  <c r="ES4" i="3"/>
  <c r="ET35" i="3"/>
  <c r="ES35" i="3"/>
  <c r="FC102" i="3"/>
  <c r="DM102" i="3"/>
  <c r="DL102" i="3"/>
  <c r="ET71" i="3"/>
  <c r="H71" i="3" s="1"/>
  <c r="ES71" i="3"/>
  <c r="ET64" i="3"/>
  <c r="ES64" i="3"/>
  <c r="EI140" i="3"/>
  <c r="EH140" i="3"/>
  <c r="ET104" i="3"/>
  <c r="ES104" i="3"/>
  <c r="ET87" i="3"/>
  <c r="ES87" i="3"/>
  <c r="EH88" i="3"/>
  <c r="EI88" i="3"/>
  <c r="ES117" i="3"/>
  <c r="ET117" i="3"/>
  <c r="FC84" i="3"/>
  <c r="DM84" i="3"/>
  <c r="DL84" i="3"/>
  <c r="ET102" i="3"/>
  <c r="ES102" i="3"/>
  <c r="EI59" i="3"/>
  <c r="EH59" i="3"/>
  <c r="ER77" i="3"/>
  <c r="ET78" i="3"/>
  <c r="ES78" i="3"/>
  <c r="FC81" i="3"/>
  <c r="DM81" i="3"/>
  <c r="DL81" i="3"/>
  <c r="ET73" i="3"/>
  <c r="ES73" i="3"/>
  <c r="FC87" i="3"/>
  <c r="DM87" i="3"/>
  <c r="DL87" i="3"/>
  <c r="FC64" i="3"/>
  <c r="DL64" i="3"/>
  <c r="DM64" i="3"/>
  <c r="ET83" i="3"/>
  <c r="ES83" i="3"/>
  <c r="DX85" i="3"/>
  <c r="DW85" i="3"/>
  <c r="DX12" i="3"/>
  <c r="DW12" i="3"/>
  <c r="FC12" i="3"/>
  <c r="ET11" i="3"/>
  <c r="ES11" i="3"/>
  <c r="EI15" i="3"/>
  <c r="EH15" i="3"/>
  <c r="ET13" i="3"/>
  <c r="ES13" i="3"/>
  <c r="ET32" i="3"/>
  <c r="ES32" i="3"/>
  <c r="EI31" i="3"/>
  <c r="EH31" i="3"/>
  <c r="ET29" i="3"/>
  <c r="ES29" i="3"/>
  <c r="EI136" i="3"/>
  <c r="EH136" i="3"/>
  <c r="ET139" i="3"/>
  <c r="ES139" i="3"/>
  <c r="FC32" i="3"/>
  <c r="DL32" i="3"/>
  <c r="DM32" i="3"/>
  <c r="EI120" i="3"/>
  <c r="EH120" i="3"/>
  <c r="DW44" i="3"/>
  <c r="DX44" i="3"/>
  <c r="ET68" i="3"/>
  <c r="ES68" i="3"/>
  <c r="ET26" i="3"/>
  <c r="ES26" i="3"/>
  <c r="DX10" i="3"/>
  <c r="DW10" i="3"/>
  <c r="EH39" i="3"/>
  <c r="EI39" i="3"/>
  <c r="DX27" i="3"/>
  <c r="DW27" i="3"/>
  <c r="DX28" i="3"/>
  <c r="DW28" i="3"/>
  <c r="DM57" i="3"/>
  <c r="FC57" i="3"/>
  <c r="DL57" i="3"/>
  <c r="ET74" i="3"/>
  <c r="ES74" i="3"/>
  <c r="ES53" i="3"/>
  <c r="ET53" i="3"/>
  <c r="H53" i="3" s="1"/>
  <c r="ET75" i="3"/>
  <c r="ES75" i="3"/>
  <c r="DW38" i="3"/>
  <c r="DX38" i="3"/>
  <c r="EI42" i="3"/>
  <c r="EH42" i="3"/>
  <c r="ES36" i="3"/>
  <c r="ET36" i="3"/>
  <c r="DX23" i="3"/>
  <c r="DW23" i="3"/>
  <c r="DL23" i="3"/>
  <c r="FC23" i="3"/>
  <c r="DM23" i="3"/>
  <c r="FC44" i="3"/>
  <c r="EI24" i="3"/>
  <c r="EH24" i="3"/>
  <c r="FC139" i="3"/>
  <c r="DM139" i="3"/>
  <c r="DL139" i="3"/>
  <c r="DM71" i="3"/>
  <c r="DL71" i="3"/>
  <c r="FC71" i="3"/>
  <c r="ET47" i="3"/>
  <c r="ES47" i="3"/>
  <c r="EI139" i="3"/>
  <c r="EH139" i="3"/>
  <c r="FC120" i="3"/>
  <c r="DM120" i="3"/>
  <c r="DL120" i="3"/>
  <c r="EI96" i="3"/>
  <c r="EH96" i="3"/>
  <c r="DX94" i="3"/>
  <c r="DW94" i="3"/>
  <c r="ET95" i="3"/>
  <c r="ES95" i="3"/>
  <c r="ES100" i="3"/>
  <c r="ET100" i="3"/>
  <c r="FC138" i="3"/>
  <c r="DM138" i="3"/>
  <c r="DL138" i="3"/>
  <c r="ET99" i="3"/>
  <c r="ES99" i="3"/>
  <c r="EI67" i="3"/>
  <c r="EH67" i="3"/>
  <c r="EI135" i="3"/>
  <c r="EH135" i="3"/>
  <c r="ER107" i="3"/>
  <c r="ET90" i="3"/>
  <c r="H90" i="3" s="1"/>
  <c r="ES90" i="3"/>
  <c r="ET52" i="3"/>
  <c r="H52" i="3" s="1"/>
  <c r="ES52" i="3"/>
  <c r="EI53" i="3"/>
  <c r="EH53" i="3"/>
  <c r="EI68" i="3"/>
  <c r="EH68" i="3"/>
  <c r="ER80" i="3"/>
  <c r="EI61" i="3"/>
  <c r="EH61" i="3"/>
  <c r="ET55" i="3"/>
  <c r="ES55" i="3"/>
  <c r="EI47" i="3"/>
  <c r="EH47" i="3"/>
  <c r="DL88" i="3"/>
  <c r="FC88" i="3"/>
  <c r="DM88" i="3"/>
  <c r="EH50" i="3"/>
  <c r="EI50" i="3"/>
  <c r="EI36" i="3"/>
  <c r="EH36" i="3"/>
  <c r="ES22" i="3"/>
  <c r="ET22" i="3"/>
  <c r="ES38" i="3"/>
  <c r="ET38" i="3"/>
  <c r="DW46" i="3"/>
  <c r="DX46" i="3"/>
  <c r="DW22" i="3"/>
  <c r="DX22" i="3"/>
  <c r="ET50" i="3"/>
  <c r="ES50" i="3"/>
  <c r="DX19" i="3"/>
  <c r="DW19" i="3"/>
  <c r="ET8" i="3"/>
  <c r="ES8" i="3"/>
  <c r="EI82" i="3"/>
  <c r="EH82" i="3"/>
  <c r="FC29" i="3"/>
  <c r="DL29" i="3"/>
  <c r="DM29" i="3"/>
  <c r="ES56" i="3"/>
  <c r="ET56" i="3"/>
  <c r="EI104" i="3"/>
  <c r="EH104" i="3"/>
  <c r="ES103" i="3"/>
  <c r="ET103" i="3"/>
  <c r="EI107" i="3"/>
  <c r="EH107" i="3"/>
  <c r="EI133" i="3"/>
  <c r="EH133" i="3"/>
  <c r="EH113" i="3"/>
  <c r="EI113" i="3"/>
  <c r="ET98" i="3"/>
  <c r="ES98" i="3"/>
  <c r="ET138" i="3"/>
  <c r="ES138" i="3"/>
  <c r="FC107" i="3"/>
  <c r="DM107" i="3"/>
  <c r="DL107" i="3"/>
  <c r="EH94" i="3"/>
  <c r="EI94" i="3"/>
  <c r="ET86" i="3"/>
  <c r="ES86" i="3"/>
  <c r="DM90" i="3"/>
  <c r="DL90" i="3"/>
  <c r="FC90" i="3"/>
  <c r="DX49" i="3"/>
  <c r="DW49" i="3"/>
  <c r="FC66" i="3"/>
  <c r="DM66" i="3"/>
  <c r="DL66" i="3"/>
  <c r="ER69" i="3"/>
  <c r="DX63" i="3"/>
  <c r="DW63" i="3"/>
  <c r="DM46" i="3"/>
  <c r="DL46" i="3"/>
  <c r="FC46" i="3"/>
  <c r="DX69" i="3"/>
  <c r="DW69" i="3"/>
  <c r="DX39" i="3"/>
  <c r="DW39" i="3"/>
  <c r="DM39" i="3"/>
  <c r="DL39" i="3"/>
  <c r="FC39" i="3"/>
  <c r="EI22" i="3"/>
  <c r="EH22" i="3"/>
  <c r="DM40" i="3"/>
  <c r="DL40" i="3"/>
  <c r="FC40" i="3"/>
  <c r="DM26" i="3"/>
  <c r="FC26" i="3"/>
  <c r="DL26" i="3"/>
  <c r="EI38" i="3"/>
  <c r="EH38" i="3"/>
  <c r="ET46" i="3"/>
  <c r="ES46" i="3"/>
  <c r="DL20" i="3"/>
  <c r="DM20" i="3"/>
  <c r="FC20" i="3"/>
  <c r="DX25" i="3"/>
  <c r="DW25" i="3"/>
  <c r="FC16" i="3"/>
  <c r="DL16" i="3"/>
  <c r="DM16" i="3"/>
  <c r="ES19" i="3"/>
  <c r="ET19" i="3"/>
  <c r="FC27" i="3"/>
  <c r="FC106" i="3"/>
  <c r="DM106" i="3"/>
  <c r="DL106" i="3"/>
  <c r="ET106" i="3"/>
  <c r="ES106" i="3"/>
  <c r="ET82" i="3"/>
  <c r="ES82" i="3"/>
  <c r="DX47" i="3"/>
  <c r="DW47" i="3"/>
  <c r="FC137" i="3"/>
  <c r="DM137" i="3"/>
  <c r="DL137" i="3"/>
  <c r="FC117" i="3"/>
  <c r="DL117" i="3"/>
  <c r="DM117" i="3"/>
  <c r="EI83" i="3"/>
  <c r="EH83" i="3"/>
  <c r="EI134" i="3"/>
  <c r="EH134" i="3"/>
  <c r="DX127" i="3"/>
  <c r="DW127" i="3"/>
  <c r="FC112" i="3"/>
  <c r="ET134" i="3"/>
  <c r="ES134" i="3"/>
  <c r="ET88" i="3"/>
  <c r="ES88" i="3"/>
  <c r="FC127" i="3"/>
  <c r="ES135" i="3"/>
  <c r="ET135" i="3"/>
  <c r="ER92" i="3"/>
  <c r="DL94" i="3"/>
  <c r="DM94" i="3"/>
  <c r="FC94" i="3"/>
  <c r="ET94" i="3"/>
  <c r="ES94" i="3"/>
  <c r="EH43" i="3"/>
  <c r="EI43" i="3"/>
  <c r="EI69" i="3"/>
  <c r="EH69" i="3"/>
  <c r="ET61" i="3"/>
  <c r="ES61" i="3"/>
  <c r="ET70" i="3"/>
  <c r="ES70" i="3"/>
  <c r="ET45" i="3"/>
  <c r="ES45" i="3"/>
  <c r="DX43" i="3"/>
  <c r="DW43" i="3"/>
  <c r="DX61" i="3"/>
  <c r="DW61" i="3"/>
  <c r="ET48" i="3"/>
  <c r="ES48" i="3"/>
  <c r="DX36" i="3"/>
  <c r="DW36" i="3"/>
  <c r="DM61" i="3"/>
  <c r="DL61" i="3"/>
  <c r="FC61" i="3"/>
  <c r="ET18" i="3"/>
  <c r="ES18" i="3"/>
  <c r="EI20" i="3"/>
  <c r="EH20" i="3"/>
  <c r="EH11" i="3"/>
  <c r="EI11" i="3"/>
  <c r="DM73" i="3"/>
  <c r="DL73" i="3"/>
  <c r="FC73" i="3"/>
  <c r="ES23" i="3"/>
  <c r="ET23" i="3"/>
  <c r="EI7" i="3"/>
  <c r="EH7" i="3"/>
  <c r="ET110" i="3"/>
  <c r="ES110" i="3"/>
  <c r="DX96" i="3"/>
  <c r="DW96" i="3"/>
  <c r="EI138" i="3"/>
  <c r="EH138" i="3"/>
  <c r="FC121" i="3"/>
  <c r="DM121" i="3"/>
  <c r="DL121" i="3"/>
  <c r="DX110" i="3"/>
  <c r="DW110" i="3"/>
  <c r="FC110" i="3"/>
  <c r="ES133" i="3"/>
  <c r="ET133" i="3"/>
  <c r="DW95" i="3"/>
  <c r="DX95" i="3"/>
  <c r="DX129" i="3"/>
  <c r="DW129" i="3"/>
  <c r="FC101" i="3"/>
  <c r="DM101" i="3"/>
  <c r="DL101" i="3"/>
  <c r="EI75" i="3"/>
  <c r="EH75" i="3"/>
  <c r="EI51" i="3"/>
  <c r="EH51" i="3"/>
  <c r="DW60" i="3"/>
  <c r="DX60" i="3"/>
  <c r="DW40" i="3"/>
  <c r="DX40" i="3"/>
  <c r="EH60" i="3"/>
  <c r="EI60" i="3"/>
  <c r="DX79" i="3"/>
  <c r="DW79" i="3"/>
  <c r="EI58" i="3"/>
  <c r="EH58" i="3"/>
  <c r="FC48" i="3"/>
  <c r="DM48" i="3"/>
  <c r="DL48" i="3"/>
  <c r="FC53" i="3"/>
  <c r="FC28" i="3"/>
  <c r="EH32" i="3"/>
  <c r="EI32" i="3"/>
  <c r="EI8" i="3"/>
  <c r="EH8" i="3"/>
  <c r="EH16" i="3"/>
  <c r="EI16" i="3"/>
  <c r="EI132" i="3"/>
  <c r="EH132" i="3"/>
  <c r="ET131" i="3"/>
  <c r="ES131" i="3"/>
  <c r="EI89" i="3"/>
  <c r="EH89" i="3"/>
  <c r="FC59" i="3"/>
  <c r="DM59" i="3"/>
  <c r="DL59" i="3"/>
  <c r="DM55" i="3"/>
  <c r="FC55" i="3"/>
  <c r="DL55" i="3"/>
  <c r="ET65" i="3"/>
  <c r="ES65" i="3"/>
  <c r="FC49" i="3"/>
  <c r="DL49" i="3"/>
  <c r="DM49" i="3"/>
  <c r="FB60" i="3"/>
  <c r="EI99" i="3"/>
  <c r="EH99" i="3"/>
  <c r="EI44" i="3"/>
  <c r="EH44" i="3"/>
  <c r="ES51" i="3"/>
  <c r="ET51" i="3"/>
  <c r="FC8" i="3"/>
  <c r="DX8" i="3"/>
  <c r="DW8" i="3"/>
  <c r="EI34" i="3"/>
  <c r="EH34" i="3"/>
  <c r="DX33" i="3"/>
  <c r="DW33" i="3"/>
  <c r="FC56" i="3"/>
  <c r="ES17" i="3"/>
  <c r="ET17" i="3"/>
  <c r="FC140" i="3"/>
  <c r="DM140" i="3"/>
  <c r="DL140" i="3"/>
  <c r="EI114" i="3"/>
  <c r="EH114" i="3"/>
  <c r="FC100" i="3"/>
  <c r="DM100" i="3"/>
  <c r="DL100" i="3"/>
  <c r="DX88" i="3"/>
  <c r="DW88" i="3"/>
  <c r="ET113" i="3"/>
  <c r="ES113" i="3"/>
  <c r="ET122" i="3"/>
  <c r="ES122" i="3"/>
  <c r="FC133" i="3"/>
  <c r="EI76" i="3"/>
  <c r="EH76" i="3"/>
  <c r="DW54" i="3"/>
  <c r="DX54" i="3"/>
  <c r="FC132" i="3"/>
  <c r="ER60" i="3"/>
  <c r="FC31" i="3"/>
  <c r="DW29" i="3"/>
  <c r="DX29" i="3"/>
  <c r="FC51" i="3"/>
  <c r="DM51" i="3"/>
  <c r="DL51" i="3"/>
  <c r="DM30" i="3"/>
  <c r="DL30" i="3"/>
  <c r="FC30" i="3"/>
  <c r="ET33" i="3"/>
  <c r="H33" i="3" s="1"/>
  <c r="ES33" i="3"/>
  <c r="DL15" i="3"/>
  <c r="FC15" i="3"/>
  <c r="DM15" i="3"/>
  <c r="ET7" i="3"/>
  <c r="ES7" i="3"/>
  <c r="FC34" i="3"/>
  <c r="FC82" i="3"/>
  <c r="DM82" i="3"/>
  <c r="DL82" i="3"/>
  <c r="EH90" i="3"/>
  <c r="EI90" i="3"/>
  <c r="EI85" i="3"/>
  <c r="EH85" i="3"/>
  <c r="FB76" i="3"/>
  <c r="FC45" i="3"/>
  <c r="DW45" i="3"/>
  <c r="DX45" i="3"/>
  <c r="EI86" i="3"/>
  <c r="EH86" i="3"/>
  <c r="ET89" i="3"/>
  <c r="ES89" i="3"/>
  <c r="FC99" i="3"/>
  <c r="ET67" i="3"/>
  <c r="ES67" i="3"/>
  <c r="EI29" i="3"/>
  <c r="EH29" i="3"/>
  <c r="DW32" i="3"/>
  <c r="DX32" i="3"/>
  <c r="DW16" i="3"/>
  <c r="DX16" i="3"/>
  <c r="ET24" i="3"/>
  <c r="ES24" i="3"/>
  <c r="EH28" i="3"/>
  <c r="EI28" i="3"/>
  <c r="EI5" i="3"/>
  <c r="EH5" i="3"/>
  <c r="FC47" i="3"/>
  <c r="DL47" i="3"/>
  <c r="DM47" i="3"/>
  <c r="FC10" i="3"/>
  <c r="FC5" i="3"/>
  <c r="FC118" i="3"/>
  <c r="DM118" i="3"/>
  <c r="DL118" i="3"/>
  <c r="EI102" i="3"/>
  <c r="EH102" i="3"/>
  <c r="EI100" i="3"/>
  <c r="EH100" i="3"/>
  <c r="FC122" i="3"/>
  <c r="DM122" i="3"/>
  <c r="DL122" i="3"/>
  <c r="ET140" i="3"/>
  <c r="ES140" i="3"/>
  <c r="ET129" i="3"/>
  <c r="ES129" i="3"/>
  <c r="ET124" i="3"/>
  <c r="ES124" i="3"/>
  <c r="ET108" i="3"/>
  <c r="ES108" i="3"/>
  <c r="ET114" i="3"/>
  <c r="ES114" i="3"/>
  <c r="EI137" i="3"/>
  <c r="EH137" i="3"/>
  <c r="FC134" i="3"/>
  <c r="DM134" i="3"/>
  <c r="DL134" i="3"/>
  <c r="FC113" i="3"/>
  <c r="EI55" i="3"/>
  <c r="EH55" i="3"/>
  <c r="ET120" i="3"/>
  <c r="ES120" i="3"/>
  <c r="ET97" i="3"/>
  <c r="ES97" i="3"/>
  <c r="FC123" i="3"/>
  <c r="DM123" i="3"/>
  <c r="DL123" i="3"/>
  <c r="ES76" i="3"/>
  <c r="ET76" i="3"/>
  <c r="FC79" i="3"/>
  <c r="DM79" i="3"/>
  <c r="DL79" i="3"/>
  <c r="EI49" i="3"/>
  <c r="EH49" i="3"/>
  <c r="ET66" i="3"/>
  <c r="ES66" i="3"/>
  <c r="FC24" i="3"/>
  <c r="ET41" i="3"/>
  <c r="ES41" i="3"/>
  <c r="DX18" i="3"/>
  <c r="DW18" i="3"/>
  <c r="DX21" i="3"/>
  <c r="DW21" i="3"/>
  <c r="FC21" i="3"/>
  <c r="ET21" i="3"/>
  <c r="ES21" i="3"/>
  <c r="DW13" i="3"/>
  <c r="DX13" i="3"/>
  <c r="FC25" i="3"/>
  <c r="EI73" i="3"/>
  <c r="EH73" i="3"/>
  <c r="DX126" i="3"/>
  <c r="DW126" i="3"/>
  <c r="FC126" i="3"/>
  <c r="EI66" i="3"/>
  <c r="EH66" i="3"/>
  <c r="FC65" i="3"/>
  <c r="DL65" i="3"/>
  <c r="DM65" i="3"/>
  <c r="FC105" i="3"/>
  <c r="DM105" i="3"/>
  <c r="DL105" i="3"/>
  <c r="EI71" i="3"/>
  <c r="EH71" i="3"/>
  <c r="ET123" i="3"/>
  <c r="ES123" i="3"/>
  <c r="EI118" i="3"/>
  <c r="EH118" i="3"/>
  <c r="EI101" i="3"/>
  <c r="EH101" i="3"/>
  <c r="FC114" i="3"/>
  <c r="FC89" i="3"/>
  <c r="DL89" i="3"/>
  <c r="DM89" i="3"/>
  <c r="ET136" i="3"/>
  <c r="ES136" i="3"/>
  <c r="EI119" i="3"/>
  <c r="EH119" i="3"/>
  <c r="DM43" i="3"/>
  <c r="DL43" i="3"/>
  <c r="FC43" i="3"/>
  <c r="ET54" i="3"/>
  <c r="ES54" i="3"/>
  <c r="ET63" i="3"/>
  <c r="ES63" i="3"/>
  <c r="ET28" i="3"/>
  <c r="ES28" i="3"/>
  <c r="DX30" i="3"/>
  <c r="DW30" i="3"/>
  <c r="DM42" i="3"/>
  <c r="DL42" i="3"/>
  <c r="FC42" i="3"/>
  <c r="EH14" i="3"/>
  <c r="EI14" i="3"/>
  <c r="DM38" i="3"/>
  <c r="FC38" i="3"/>
  <c r="DL38" i="3"/>
  <c r="EH21" i="3"/>
  <c r="EI21" i="3"/>
  <c r="EI26" i="3"/>
  <c r="EH26" i="3"/>
  <c r="DX50" i="3"/>
  <c r="DW50" i="3"/>
  <c r="ER12" i="3"/>
  <c r="FB16" i="3"/>
  <c r="DX41" i="3"/>
  <c r="DW41" i="3"/>
  <c r="EI103" i="3"/>
  <c r="EH103" i="3"/>
  <c r="ET116" i="3"/>
  <c r="ES116" i="3"/>
  <c r="ES39" i="3"/>
  <c r="ET39" i="3"/>
  <c r="FC80" i="3"/>
  <c r="DM80" i="3"/>
  <c r="DL80" i="3"/>
  <c r="EI121" i="3"/>
  <c r="EH121" i="3"/>
  <c r="FC136" i="3"/>
  <c r="DM136" i="3"/>
  <c r="DL136" i="3"/>
  <c r="EI95" i="3"/>
  <c r="EH95" i="3"/>
  <c r="FC85" i="3"/>
  <c r="DX76" i="3"/>
  <c r="DW76" i="3"/>
  <c r="EI33" i="3"/>
  <c r="EH33" i="3"/>
  <c r="ET72" i="3"/>
  <c r="ES72" i="3"/>
  <c r="DX91" i="3"/>
  <c r="DW91" i="3"/>
  <c r="ET37" i="3"/>
  <c r="ES37" i="3"/>
  <c r="DM19" i="3"/>
  <c r="FC19" i="3"/>
  <c r="DL19" i="3"/>
  <c r="DW11" i="3"/>
  <c r="DX11" i="3"/>
  <c r="EI37" i="3"/>
  <c r="EH37" i="3"/>
  <c r="EI10" i="3"/>
  <c r="EH10" i="3"/>
  <c r="FC37" i="3"/>
  <c r="DM37" i="3"/>
  <c r="DL37" i="3"/>
  <c r="ET16" i="3"/>
  <c r="ES16" i="3"/>
  <c r="ES34" i="3"/>
  <c r="ET34" i="3"/>
  <c r="DM91" i="3"/>
  <c r="DL91" i="3"/>
  <c r="FC91" i="3"/>
  <c r="ES20" i="3"/>
  <c r="ET20" i="3"/>
  <c r="DX108" i="3"/>
  <c r="DW108" i="3"/>
  <c r="EI64" i="3"/>
  <c r="EH64" i="3"/>
  <c r="EI117" i="3"/>
  <c r="EH117" i="3"/>
  <c r="ET130" i="3"/>
  <c r="ES130" i="3"/>
  <c r="EI130" i="3"/>
  <c r="EH130" i="3"/>
  <c r="ES96" i="3"/>
  <c r="ET96" i="3"/>
  <c r="ET118" i="3"/>
  <c r="ES118" i="3"/>
  <c r="EI105" i="3"/>
  <c r="EH105" i="3"/>
  <c r="DX124" i="3"/>
  <c r="DW124" i="3"/>
  <c r="FC104" i="3"/>
  <c r="DM104" i="3"/>
  <c r="DL104" i="3"/>
  <c r="EI91" i="3"/>
  <c r="EH91" i="3"/>
  <c r="ER93" i="3"/>
  <c r="DX92" i="3"/>
  <c r="FC92" i="3"/>
  <c r="DW92" i="3"/>
  <c r="EH84" i="3"/>
  <c r="EI84" i="3"/>
  <c r="ET115" i="3"/>
  <c r="ES115" i="3"/>
  <c r="FC103" i="3"/>
  <c r="DM103" i="3"/>
  <c r="DL103" i="3"/>
  <c r="DX71" i="3"/>
  <c r="DW71" i="3"/>
  <c r="EI77" i="3"/>
  <c r="EH77" i="3"/>
  <c r="EI78" i="3"/>
  <c r="EH78" i="3"/>
  <c r="ET84" i="3"/>
  <c r="ES84" i="3"/>
  <c r="ES119" i="3"/>
  <c r="ET119" i="3"/>
  <c r="FC63" i="3"/>
  <c r="DM63" i="3"/>
  <c r="DL63" i="3"/>
  <c r="DX14" i="3"/>
  <c r="DW14" i="3"/>
  <c r="EI17" i="3"/>
  <c r="EH17" i="3"/>
  <c r="DM77" i="3"/>
  <c r="FC77" i="3"/>
  <c r="DL77" i="3"/>
  <c r="FC13" i="3"/>
  <c r="DM13" i="3"/>
  <c r="DL13" i="3"/>
  <c r="DX70" i="3"/>
  <c r="DW70" i="3"/>
  <c r="ER9" i="3"/>
  <c r="ES49" i="3"/>
  <c r="ET49" i="3"/>
  <c r="FC7" i="3"/>
  <c r="EH6" i="3"/>
  <c r="EI6" i="3"/>
  <c r="FC11" i="3"/>
  <c r="ET12" i="3" l="1"/>
  <c r="H12" i="3" s="1"/>
  <c r="ES12" i="3"/>
  <c r="ET92" i="3"/>
  <c r="ES92" i="3"/>
  <c r="ES69" i="3"/>
  <c r="ET69" i="3"/>
  <c r="H69" i="3" s="1"/>
  <c r="ET80" i="3"/>
  <c r="H80" i="3" s="1"/>
  <c r="ES80" i="3"/>
  <c r="ES60" i="3"/>
  <c r="ET60" i="3"/>
  <c r="ES9" i="3"/>
  <c r="ET9" i="3"/>
  <c r="ET107" i="3"/>
  <c r="ES107" i="3"/>
  <c r="ET93" i="3"/>
  <c r="ES93" i="3"/>
  <c r="ET77" i="3"/>
  <c r="ES77" i="3"/>
</calcChain>
</file>

<file path=xl/sharedStrings.xml><?xml version="1.0" encoding="utf-8"?>
<sst xmlns="http://schemas.openxmlformats.org/spreadsheetml/2006/main" count="3842" uniqueCount="1391">
  <si>
    <t>#</t>
  </si>
  <si>
    <t>COMPANY</t>
  </si>
  <si>
    <t>FY2023 Status</t>
  </si>
  <si>
    <t>FY2022 Status</t>
  </si>
  <si>
    <r>
      <rPr>
        <b/>
        <sz val="10"/>
        <color theme="0"/>
        <rFont val="Calibri"/>
        <family val="2"/>
      </rPr>
      <t xml:space="preserve">2020-2022 </t>
    </r>
    <r>
      <rPr>
        <b/>
        <sz val="10"/>
        <color rgb="FFFF0000"/>
        <rFont val="Calibri"/>
        <family val="2"/>
      </rPr>
      <t>NCP</t>
    </r>
  </si>
  <si>
    <r>
      <rPr>
        <b/>
        <sz val="10"/>
        <color theme="0"/>
        <rFont val="Calibri"/>
        <family val="2"/>
      </rPr>
      <t xml:space="preserve">2019-2021 </t>
    </r>
    <r>
      <rPr>
        <b/>
        <sz val="10"/>
        <color rgb="FFFF0000"/>
        <rFont val="Calibri"/>
        <family val="2"/>
      </rPr>
      <t>NCP</t>
    </r>
  </si>
  <si>
    <t>Remarks</t>
  </si>
  <si>
    <t xml:space="preserve">Sales </t>
  </si>
  <si>
    <t>CoGS</t>
  </si>
  <si>
    <t>SG&amp;A</t>
  </si>
  <si>
    <t>Depreciation</t>
  </si>
  <si>
    <t>OP</t>
  </si>
  <si>
    <t>1</t>
  </si>
  <si>
    <t>2</t>
  </si>
  <si>
    <t>3</t>
  </si>
  <si>
    <t>4</t>
  </si>
  <si>
    <t>5</t>
  </si>
  <si>
    <t>6</t>
  </si>
  <si>
    <t>7</t>
  </si>
  <si>
    <t>9</t>
  </si>
  <si>
    <t>10</t>
  </si>
  <si>
    <t/>
  </si>
  <si>
    <t>2023</t>
  </si>
  <si>
    <t>2022</t>
  </si>
  <si>
    <t>MIN</t>
  </si>
  <si>
    <t>LQ</t>
  </si>
  <si>
    <t>MED</t>
  </si>
  <si>
    <t>UQ</t>
  </si>
  <si>
    <t>MAX</t>
  </si>
  <si>
    <t>Project Information</t>
  </si>
  <si>
    <t>Platform details</t>
  </si>
  <si>
    <t>Database Used</t>
  </si>
  <si>
    <t>Release/Version info</t>
  </si>
  <si>
    <t>Client Details</t>
  </si>
  <si>
    <t>Client Name</t>
  </si>
  <si>
    <t>Analysis Period</t>
  </si>
  <si>
    <t>Project Type</t>
  </si>
  <si>
    <t>Tested Party</t>
  </si>
  <si>
    <t>Location</t>
  </si>
  <si>
    <t>Countries or territories</t>
  </si>
  <si>
    <t>Potential Standard Industrial Classification Codes (“SIC codes”)</t>
  </si>
  <si>
    <t>SIC Code</t>
  </si>
  <si>
    <t>Description</t>
  </si>
  <si>
    <t>No. of Companies</t>
  </si>
  <si>
    <t xml:space="preserve">Total </t>
  </si>
  <si>
    <t>Screening of Comparable Compaines</t>
  </si>
  <si>
    <t>Search Step</t>
  </si>
  <si>
    <t>Search Criteria</t>
  </si>
  <si>
    <t>Number of Comps Eliminated</t>
  </si>
  <si>
    <t>Total</t>
  </si>
  <si>
    <t>Include</t>
  </si>
  <si>
    <t>Business Description and Other Information</t>
  </si>
  <si>
    <t>H</t>
  </si>
  <si>
    <t>2021</t>
  </si>
  <si>
    <t>2020</t>
  </si>
  <si>
    <t>2020-2022 Average</t>
  </si>
  <si>
    <r>
      <rPr>
        <b/>
        <sz val="10"/>
        <rFont val="等线 Light"/>
        <family val="3"/>
        <charset val="134"/>
      </rPr>
      <t>定量分析</t>
    </r>
  </si>
  <si>
    <t>Leverage Part</t>
  </si>
  <si>
    <t>OK</t>
  </si>
  <si>
    <t>ok</t>
  </si>
  <si>
    <r>
      <rPr>
        <b/>
        <sz val="10"/>
        <rFont val="等线 Light"/>
        <family val="3"/>
        <charset val="134"/>
      </rPr>
      <t>财务数据完整性</t>
    </r>
  </si>
  <si>
    <t>No</t>
  </si>
  <si>
    <t>status 2023</t>
  </si>
  <si>
    <t>general 2023</t>
  </si>
  <si>
    <t>detail 2023</t>
  </si>
  <si>
    <t>Lev
(Y/N)</t>
  </si>
  <si>
    <t>Segment</t>
  </si>
  <si>
    <t>Mock NCP</t>
  </si>
  <si>
    <t>Review</t>
  </si>
  <si>
    <t>status 2022</t>
  </si>
  <si>
    <t>general 2022</t>
  </si>
  <si>
    <t>detail 2022</t>
  </si>
  <si>
    <t>Overview</t>
  </si>
  <si>
    <t>Main activity</t>
  </si>
  <si>
    <t>Website address</t>
  </si>
  <si>
    <t>Trading address - Country</t>
  </si>
  <si>
    <t>Address of incorp. - Country</t>
  </si>
  <si>
    <t>Ticker symbol</t>
  </si>
  <si>
    <t>BvDEP Independence Indicator</t>
  </si>
  <si>
    <t>US SIC, Primary code(s) (M)</t>
  </si>
  <si>
    <t>Summary business description</t>
  </si>
  <si>
    <t>Description and history</t>
  </si>
  <si>
    <t>Previous company name</t>
  </si>
  <si>
    <t>Main brand names</t>
  </si>
  <si>
    <t>BVD ID number</t>
  </si>
  <si>
    <t>Total revenues,2022, Values in original currency (th)</t>
  </si>
  <si>
    <t>Total revenues,2021, Values in original currency (th)</t>
  </si>
  <si>
    <t>Total revenues,2020, Values in original currency (th)</t>
  </si>
  <si>
    <t>Total revenues,2019, Values in original currency (th)</t>
  </si>
  <si>
    <t>Gross sales,2022, Values in original currency (th)</t>
  </si>
  <si>
    <t>Gross sales,2021, Values in original currency (th)</t>
  </si>
  <si>
    <t>Gross sales,2020, Values in original currency (th)</t>
  </si>
  <si>
    <t>Gross sales,2019, Values in original currency (th)</t>
  </si>
  <si>
    <t>Adjustments/excise tax,2022, Values in original currency (th)</t>
  </si>
  <si>
    <t>Adjustments/excise tax,2021, Values in original currency (th)</t>
  </si>
  <si>
    <t>Adjustments/excise tax,2020, Values in original currency (th)</t>
  </si>
  <si>
    <t>Adjustments/excise tax,2019, Values in original currency (th)</t>
  </si>
  <si>
    <t>Net sales,2022, Values in original currency (th)</t>
  </si>
  <si>
    <t>Net sales,2021, Values in original currency (th)</t>
  </si>
  <si>
    <t>Net sales,2020, Values in original currency (th)</t>
  </si>
  <si>
    <t>Net sales,2019, Values in original currency (th)</t>
  </si>
  <si>
    <t>Other revenues,2022, Values in original currency (th)</t>
  </si>
  <si>
    <t>Other revenues,2021, Values in original currency (th)</t>
  </si>
  <si>
    <t>Other revenues,2020, Values in original currency (th)</t>
  </si>
  <si>
    <t>Other revenues,2019, Values in original currency (th)</t>
  </si>
  <si>
    <t>Cost of Goods Sold,2022, Values in original currency (th)</t>
  </si>
  <si>
    <t>Cost of Goods Sold,2021, Values in original currency (th)</t>
  </si>
  <si>
    <t>Cost of Goods Sold,2020, Values in original currency (th)</t>
  </si>
  <si>
    <t>Cost of Goods Sold,2019, Values in original currency (th)</t>
  </si>
  <si>
    <t>Research &amp; Development expenses,2022, Values in original currency (th)</t>
  </si>
  <si>
    <t>Research &amp; Development expenses,2021, Values in original currency (th)</t>
  </si>
  <si>
    <t>Research &amp; Development expenses,2020, Values in original currency (th)</t>
  </si>
  <si>
    <t>Research &amp; Development expenses,2019, Values in original currency (th)</t>
  </si>
  <si>
    <t>Other Operating Items,2022, Values in original currency (th)</t>
  </si>
  <si>
    <t>Other Operating Items,2021, Values in original currency (th)</t>
  </si>
  <si>
    <t>Other Operating Items,2020, Values in original currency (th)</t>
  </si>
  <si>
    <t>Other Operating Items,2019, Values in original currency (th)</t>
  </si>
  <si>
    <t>EBITDA,2022, Values in original currency (th)</t>
  </si>
  <si>
    <t>EBITDA,2021, Values in original currency (th)</t>
  </si>
  <si>
    <t>EBITDA,2020, Values in original currency (th)</t>
  </si>
  <si>
    <t>EBITDA,2019, Values in original currency (th)</t>
  </si>
  <si>
    <t>Total Depreciation, Amort. &amp; Depl.,2022, Values in original currency (th)</t>
  </si>
  <si>
    <t>Total Depreciation, Amort. &amp; Depl.,2021, Values in original currency (th)</t>
  </si>
  <si>
    <t>Total Depreciation, Amort. &amp; Depl.,2020, Values in original currency (th)</t>
  </si>
  <si>
    <t>Total Depreciation, Amort. &amp; Depl.,2019, Values in original currency (th)</t>
  </si>
  <si>
    <t>Depreciation,2022, Values in original currency (th)</t>
  </si>
  <si>
    <t>Depreciation,2021, Values in original currency (th)</t>
  </si>
  <si>
    <t>Depreciation,2020, Values in original currency (th)</t>
  </si>
  <si>
    <t>Depreciation,2019, Values in original currency (th)</t>
  </si>
  <si>
    <t>Amortization &amp; Depletion,2022, Values in original currency (th)</t>
  </si>
  <si>
    <t>Amortization &amp; Depletion,2021, Values in original currency (th)</t>
  </si>
  <si>
    <t>Amortization &amp; Depletion,2020, Values in original currency (th)</t>
  </si>
  <si>
    <t>Amortization &amp; Depletion,2019, Values in original currency (th)</t>
  </si>
  <si>
    <t>Net Profit,2022, Values in original currency (th)</t>
  </si>
  <si>
    <t>Net Profit,2021, Values in original currency (th)</t>
  </si>
  <si>
    <t>Net Profit,2020, Values in original currency (th)</t>
  </si>
  <si>
    <t>Net Profit,2019, Values in original currency (th)</t>
  </si>
  <si>
    <t>Total Current Assets,2022, Values in original currency (th)</t>
  </si>
  <si>
    <t>Total Current Assets,2021, Values in original currency (th)</t>
  </si>
  <si>
    <t>Total Current Assets,2020, Values in original currency (th)</t>
  </si>
  <si>
    <t>Total Current Assets,2019, Values in original currency (th)</t>
  </si>
  <si>
    <t>Net Stated Inventory,2022, Values in original currency (th)</t>
  </si>
  <si>
    <t>Net Stated Inventory,2021, Values in original currency (th)</t>
  </si>
  <si>
    <t>Net Stated Inventory,2020, Values in original currency (th)</t>
  </si>
  <si>
    <t>Net Stated Inventory,2019, Values in original currency (th)</t>
  </si>
  <si>
    <t>Net Accounts Receivable,2022, Values in original currency (th)</t>
  </si>
  <si>
    <t>Net Accounts Receivable,2021, Values in original currency (th)</t>
  </si>
  <si>
    <t>Net Accounts Receivable,2020, Values in original currency (th)</t>
  </si>
  <si>
    <t>Net Accounts Receivable,2019, Values in original currency (th)</t>
  </si>
  <si>
    <t>Other Current Assets,2022, Values in original currency (th)</t>
  </si>
  <si>
    <t>Other Current Assets,2021, Values in original currency (th)</t>
  </si>
  <si>
    <t>Other Current Assets,2020, Values in original currency (th)</t>
  </si>
  <si>
    <t>Other Current Assets,2019, Values in original currency (th)</t>
  </si>
  <si>
    <t>Total Cash &amp; Short Term Investment,2022, Values in original currency (th)</t>
  </si>
  <si>
    <t>Total Cash &amp; Short Term Investment,2021, Values in original currency (th)</t>
  </si>
  <si>
    <t>Total Cash &amp; Short Term Investment,2020, Values in original currency (th)</t>
  </si>
  <si>
    <t>Total Cash &amp; Short Term Investment,2019, Values in original currency (th)</t>
  </si>
  <si>
    <t>Short Term Investment,2022, Values in original currency (th)</t>
  </si>
  <si>
    <t>Short Term Investment,2021, Values in original currency (th)</t>
  </si>
  <si>
    <t>Short Term Investment,2020, Values in original currency (th)</t>
  </si>
  <si>
    <t>Short Term Investment,2019, Values in original currency (th)</t>
  </si>
  <si>
    <t>Net Property, Plant &amp; Equipment,2022, Values in original currency (th)</t>
  </si>
  <si>
    <t>Net Property, Plant &amp; Equipment,2021, Values in original currency (th)</t>
  </si>
  <si>
    <t>Net Property, Plant &amp; Equipment,2020, Values in original currency (th)</t>
  </si>
  <si>
    <t>Net Property, Plant &amp; Equipment,2019, Values in original currency (th)</t>
  </si>
  <si>
    <t>Total Assets,2022, Values in original currency (th)</t>
  </si>
  <si>
    <t>Total Assets,2021, Values in original currency (th)</t>
  </si>
  <si>
    <t>Total Assets,2020, Values in original currency (th)</t>
  </si>
  <si>
    <t>Total Assets,2019, Values in original currency (th)</t>
  </si>
  <si>
    <t>OM</t>
  </si>
  <si>
    <t>NCP</t>
  </si>
  <si>
    <t>Research &amp; Development expenses</t>
  </si>
  <si>
    <t>Inventory</t>
  </si>
  <si>
    <t>Fixed Assets</t>
  </si>
  <si>
    <t>2019</t>
  </si>
  <si>
    <r>
      <rPr>
        <b/>
        <sz val="10"/>
        <rFont val="等线 Light"/>
        <family val="3"/>
        <charset val="134"/>
      </rPr>
      <t>选择结果</t>
    </r>
  </si>
  <si>
    <r>
      <rPr>
        <b/>
        <sz val="10"/>
        <rFont val="等线 Light"/>
        <family val="3"/>
        <charset val="134"/>
      </rPr>
      <t>三年连亏或者只有两年数据并且两年均亏</t>
    </r>
  </si>
  <si>
    <t>8</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</si>
  <si>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</si>
  <si>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</si>
  <si>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</si>
  <si>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</si>
  <si>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</si>
  <si>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</si>
  <si>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</si>
  <si>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</si>
  <si>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</si>
  <si>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</si>
  <si>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</si>
  <si>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</si>
  <si>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</si>
  <si>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</si>
  <si>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</si>
  <si>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</si>
  <si>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</si>
  <si>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</si>
  <si>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</si>
  <si>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</si>
  <si>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</si>
  <si>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</si>
  <si>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</si>
  <si>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</si>
  <si>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</si>
  <si>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</si>
  <si>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</si>
  <si>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</si>
  <si>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</si>
  <si>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</si>
  <si>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</si>
  <si>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</si>
  <si>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</si>
  <si>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</si>
  <si>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</si>
  <si>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</si>
  <si>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</si>
  <si>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</si>
  <si>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</si>
  <si>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</si>
  <si>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</si>
  <si>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</si>
  <si>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</si>
  <si>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</si>
  <si>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</si>
  <si>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</si>
  <si>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</si>
  <si>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</si>
  <si>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</si>
  <si>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</si>
  <si>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</si>
  <si>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</si>
  <si>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</si>
  <si>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</si>
  <si>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</si>
  <si>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</si>
  <si>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</si>
  <si>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</si>
  <si>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</si>
  <si>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</si>
  <si>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</si>
  <si>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</si>
  <si>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</si>
  <si>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</si>
  <si>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</si>
  <si>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</si>
  <si>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</si>
  <si>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</si>
  <si>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</si>
  <si>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</si>
  <si>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</si>
  <si>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</si>
  <si>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</si>
  <si>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</si>
  <si>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</si>
  <si>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</si>
  <si>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</si>
  <si>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</si>
  <si>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</si>
  <si>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</si>
  <si>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</si>
  <si>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</si>
  <si>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</si>
  <si>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</si>
  <si>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</si>
  <si>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</si>
  <si>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</si>
  <si>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</si>
  <si>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</si>
  <si>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</si>
  <si>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</si>
  <si>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</si>
  <si>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</si>
  <si>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</si>
  <si>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</si>
  <si>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</si>
  <si>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</si>
  <si>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</si>
  <si>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</si>
  <si>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</si>
  <si>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</si>
  <si>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</si>
  <si>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</si>
  <si>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</si>
  <si>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</si>
  <si>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</si>
  <si>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</si>
  <si>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</si>
  <si>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</si>
  <si>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</si>
  <si>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</si>
  <si>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</si>
  <si>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</si>
  <si>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</si>
  <si>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</si>
  <si>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</si>
  <si>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</si>
  <si>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</si>
  <si>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</si>
  <si>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</si>
  <si>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</si>
  <si>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</si>
  <si>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</si>
  <si>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</si>
  <si>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</si>
  <si>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</si>
  <si>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</si>
  <si>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可比公司数量</t>
    <phoneticPr fontId="35" type="noConversion"/>
  </si>
  <si>
    <t>上四分位值</t>
  </si>
  <si>
    <t>中位值</t>
  </si>
  <si>
    <t>下四分位值</t>
  </si>
  <si>
    <t>Independence(A+, A, A-, U)</t>
  </si>
  <si>
    <t>Insufficient financial data</t>
  </si>
  <si>
    <t>Consecutive loss</t>
  </si>
  <si>
    <t>Lev SDA/SDP</t>
  </si>
  <si>
    <t>Significantly different activities</t>
  </si>
  <si>
    <t>Significantly different products/services</t>
  </si>
  <si>
    <t>2841</t>
  </si>
  <si>
    <t>Soap and Other Detergents, Except Specialty Cleaners</t>
  </si>
  <si>
    <t>2842</t>
  </si>
  <si>
    <t>Specialty Cleaning, Polishing, and Sanitation Preparations</t>
  </si>
  <si>
    <t>2843</t>
  </si>
  <si>
    <t>Surface Active Agents, Finishing Agents, Sulfonated Oils, and Assistants</t>
  </si>
  <si>
    <t>2844</t>
  </si>
  <si>
    <t>Perfumes, Cosmetics, and Other Toilet Preparations</t>
  </si>
  <si>
    <t>TP Catalyst</t>
  </si>
  <si>
    <t>TP Documentation</t>
  </si>
  <si>
    <t>Wholesales/Manufacturing/Services</t>
  </si>
  <si>
    <t>Asia Pacific</t>
  </si>
  <si>
    <t>Far East and Central Asia,Australia,New Zealand</t>
  </si>
  <si>
    <t>exclude</t>
  </si>
  <si>
    <t>KAO CORPORATION</t>
  </si>
  <si>
    <t>This company, incorporated in 1887, operates as manufacturer of household and industrial products. Its head office is located in Tokyo. It also has operations in approximately 27 countries in Asia, North America, Europe, and other parts of the world. The company has eight manufacturing plants; three research laboratories; two training centers and 21 logistics centers located in Japan. Its products include: disposable baby diapers, sanitary napkins, bath additives, skin care products, cooking oils, drinks, perfumes, laundry detergents, hair care products, cosmetics, house cleaning products, hair coloring agents, body shampoo, hand soaps, body soaps. Its brands include Enova, Jergens, Biore, John Frieda, Ban, Molton Brown and Kanebo. These products are distributed to wholesalers, chain stores and retailers globally. The company is recognized as one of the leading manufacturer of household and personal care products in Asia. It is also known as the world's number 44 advertiser. Its mission is to strive for the wholehearted satisfaction and enrichment of the lives of people globally through the company's core domains of cleanliness, beauty, health and chemicals.</t>
  </si>
  <si>
    <t>Manufacturing</t>
  </si>
  <si>
    <t>www.kao.co.jp</t>
  </si>
  <si>
    <t>Japan</t>
  </si>
  <si>
    <t>4452</t>
  </si>
  <si>
    <t>A+</t>
  </si>
  <si>
    <t>Operates as manufacturer of household and industrial products</t>
  </si>
  <si>
    <t>The Company is a Japan-based company engaged in the manufacture and sale of consumer products and chemical products.</t>
  </si>
  <si>
    <t>KAO SOAP COMPANY</t>
  </si>
  <si>
    <t>JP4010001034760</t>
  </si>
  <si>
    <t>n.a.</t>
  </si>
  <si>
    <t>include before</t>
  </si>
  <si>
    <t>SHISEIDO COMPANY LIMITED</t>
  </si>
  <si>
    <t>The company, based in Japan, operates as a major Japanese hair care and cosmetics producer and the oldest cosmetics company in the world. It was established as Japan's first Western-style pharmacy in Tokyo's Ginza district in 1872. Its registered corporate headquarters is located in Chuo-ku.The company's principal activities are the manufacture and sale of cosmetics, toiletries, and beauty products. It offers cosmetics under its own brands, such as AUPRES, Cle de Peau Beaute, PURE&amp;MILD, and Maquillage; and toiletries under Fino Premium Touch, Kuyura, and Sengan Senka brands. It also provides professional products, health and beauty foods, pharmaceuticals, and fine chemicals principally under the brand names of System QURL, Q10 series, and Bikei. The company's operations are carried out through the following divisions: domestic cosmetics, overseas cosmetics, and others. The domestic cosmetics segment offers cosmetics, toiletries, beauty products, health foods, beauty foods and pharmaceuticals in Japan through direct sale force, retailers, and wholesale distributors. The overseas cosmetic segment offers cosmetics, toiletries and beauty products in Europe, the United States, and Asia/Oceania through distribution centers. The others business segment includes the frontier science division, which manufactures and markets medical-use drugs and cosmetics, and conducts a variety of other activities including the sale of clothing and accessories, restaurant operation, and real estate management and sales.</t>
  </si>
  <si>
    <t>www.shiseido.co.jp</t>
  </si>
  <si>
    <t>4911</t>
  </si>
  <si>
    <t>Operates as a major Japanese hair care and cosmetics producer and the oldest cosmetics company in the world</t>
  </si>
  <si>
    <t>The Company is a Japan-based company engaged in the manufacture and sale of cosmetics, toiletries, personal care products, barber and beauty products.</t>
  </si>
  <si>
    <t>AUPRES, Cle de Peau Beaute, PURE&amp;MILD, and Maquillage; Fino Premium Touch, Kuyura, and Sengan Senka; System QURL, Q10 series, and Bikei</t>
  </si>
  <si>
    <t>JP1010001034813</t>
  </si>
  <si>
    <t>HINDUSTAN UNILEVER LIMITED</t>
  </si>
  <si>
    <t>This company is primarily engaged in the manufacture of fast moving consumer goods (home and personal care products, foods and beverages). The company, formerly known as Hindustan Lever Limited, was founded in 1956. The company has its registered head office in Mumbai, India.The company is considered as the largest producer of fast moving consumer goods in India. Its products are grouped into three categories namely, home and personal care, foods, and water. The home and personal care group Include personal body wash products under the brands Lux, Breeze, Lifebuoy, Dove, and Rexona, among others; laundry products under the brands Surf Excel, Rin and Wheel; skin care products under the brands Fair &amp; Lovely, Pond's, and Vaseline; hair care products under the brands Sunsilk Naturals and Clinic; oral care products under the brands Pepsodent and Closeup; deodorants under the brands Axe and Rexona; and colour cosmetics under the brand Lakme. The food group covers tea products under the brands Brooke Bond and Lipton; coffee under the brand Brooke Bond Bru; ice cream under the brand Kwality Wall's; and food products under the brands Kissan, Annapurna, and Knorr. The Water group is comprised of in-home water purifier under the brand Pureit. Hindustan Unilever further produces preserved marine products (e.g. surimi, crabsticks and shrimps) under the brands Ocean Diamond, Ocean Excellence, Shogun, Hima, Gold Seal, Tara and Prima; and rice products under the brands Gold Seal, Indus Valley, Rozana and Annapurna.The company exports its products in Europe, Asia, the Middle East, Africa, Australia, and North America, among others. The company's common shares are traded on the Bombay Stock Exchange under the ticker symbol HINDUNILVR.</t>
  </si>
  <si>
    <t>www.hul.co.in</t>
  </si>
  <si>
    <t>India</t>
  </si>
  <si>
    <t>HINDUNILVR</t>
  </si>
  <si>
    <t>C+</t>
  </si>
  <si>
    <t>Primarily engaged in the manufacture of fast moving consumer goods (home and personal care products, foods and beverages)</t>
  </si>
  <si>
    <t>The Company is engaged in the business of home care, beauty, personal care include products in the categories of oral care, foods, refreshment and others include exports, infant care products.</t>
  </si>
  <si>
    <t>HINDUSTAN LEVER LIMITED</t>
  </si>
  <si>
    <t>IN30019FI</t>
  </si>
  <si>
    <t>LG H&amp;H CO.,LTD.</t>
  </si>
  <si>
    <t>This company is engaged in the manufacture of household and cosmetic products. It was founded as Lucky Chemical Industrial Co. in 1947. Its registered headquarters is located in Seoul, Korea. The company is traded on the Korea Stock Exchange under the ticker symbol 051900.The company's business is categorized in two segments: household and cosmetics. Its household segment offers toothpastes, toothbrushes, oral rinses, soaps, body shampoos, hair shampoos, hair conditioners, powder detergents, fabric softeners, liquid detergents, disposable diapers, wet tissues, bathroom cleansers and other related products. Its cosmetic segment provides facial foams, facial moisturizers, anti wrinkle products, eye shadows, pressed powders, foundations, lipsticks, eye creams, ultraviolet (UV) products, and whitening products.The company has global operations in the United States, China, and Vietnam.</t>
  </si>
  <si>
    <t>www.lghnh.com</t>
  </si>
  <si>
    <t>Republic of Korea</t>
  </si>
  <si>
    <t>051900</t>
  </si>
  <si>
    <t>B+</t>
  </si>
  <si>
    <t>Engaged in the manufacture of household and cosmetic products</t>
  </si>
  <si>
    <t>- In April 2001, LGCI (LG Corp., LG Chem Co., Ltd., LG Chem Co., Ltd.) was newly established to manufacture and sell household goods and cosmetics as a main business and listed on the Dongwol Securities Market.Domestic market leader in the household goods division, cosmetics beauty division second in domestic market, and beverage refresher division second in domestic market.- Each brand has its own brand, Perio and Elastin in the household goods division, and mid to low priced brands such as Prestige, Maestage and The Face Shop.</t>
  </si>
  <si>
    <t>LG HOUSEHOLD &amp; HEALTHCARE LTD.</t>
  </si>
  <si>
    <t>KR1101112208000</t>
  </si>
  <si>
    <t>AMORE PACIFIC GROUP</t>
  </si>
  <si>
    <t>This Korean holding company is engaged in the manufacture of glass containers for cosmetics and fragrances. The company, formerly known as AmorePacific Corporation, was established in March 1959. It is headquartered in Seoul, Republic of Korea. It also manufactures cosmetics, personal care and healthcare products.The company aims to be a global provider of total care in beauty and health. It has strong presence in China, Japan, France and the United States. Through its major subsidiaries, the company offers skin care products, makeup products, men's products, fragrances, as well as medicinal tea products and an arthritis treatment medicine with the brand names of Etude, Odyssey, Primera, Espoir and Iplip. Its cosmetics are sold under the brand names of AmorePacific, Laneige, Hera, Iope, Mamonde, Innisfree, Sulwhasoo, Lirikos, Verite and Mise en scene. For personal care, the company offers the Dantrol, Dubore, Songyeom and Median brands. Other health care products are sold under the brands Sulloc and Ketotop.The company's R&amp;D Institute for Cosmetics is focused on identifying market trends and customer needs and analyzing new materials and publications. It also cooperates with individual brands' marketing teams, the company's factory's production and quality control teams, and a range of governmental agencies, including the Food and Drug Administration and the Korean Intellectual Property Office.</t>
  </si>
  <si>
    <t>www.apgroup.com</t>
  </si>
  <si>
    <t>002790</t>
  </si>
  <si>
    <t>D</t>
  </si>
  <si>
    <t>Engaged in the manufacture of glass containers for cosmetics and fragrances</t>
  </si>
  <si>
    <t>- The company was established in 1959 for the manufacture and sale of cosmetics and household goods. The company changed to a holding company in 2007, which has a controlling stake in subsidiaries and funds and management.- Major subsidiaries are AmorePacfic Co.,Ltd, Etude, and Innisfree Co.,Ltd, manufacturer and seller of cosmetics and there are subsidiary and affiliates such sa Estra Co.,Ltd(manufacturer and seller of pharmaceuticals). - AMOREPACIFIC and INNISFREE and Etude have strong brand power both domestically and internationally in cosmetics. The company secures group synergy by completing cosmetics value.</t>
  </si>
  <si>
    <t>PACIFIC CORPORATION</t>
  </si>
  <si>
    <t>KR1101110026644</t>
  </si>
  <si>
    <t>AMOREPACIFIC CORP.</t>
  </si>
  <si>
    <t>This company is engaged in the production and wholesale distribution of cosmetics, personal care goods, food, and other related products. It was founded in 1945. The registered head office of the company is located in Seoul, Republic of Korea.The company offers skin care products, makeup products and perfumes under the brand names of Sulwhasoo, Hera, IOPE, Laneige, MAMONDE, Haneul, and Odyssey. It also provides shampoos, body cleansers and toothpastes under the brand names of Mise-En-Scene, Happy Bath, Ryoe, Dantrol and Median. In addition, the company offers green tea products under the brand name of O'Sulloc.It is considered one of the world's largest cosmetics companies.The company is active and operational in the Republic of Korea.It serves discount stores, specialty stores, department stores, online shopping malls, and overseas markets.</t>
  </si>
  <si>
    <t>Manufacturing; Wholesale</t>
  </si>
  <si>
    <t>090430</t>
  </si>
  <si>
    <t>Engaged in the production and wholesale distribution of cosmetics, personal care goods, food, and other related products</t>
  </si>
  <si>
    <t>- In June 2006, the company was established as a subsidiary of AMOREPACIFIC Group to manufacture and sell cosmetics, household products, and food products.- Company have established various positioning brands such as Sulwhasoo, Hera, Primera, Laneige, and Mamonde, and have secured brand and service competitiveness with high recognition.- The company is continuing to expand its global market share in North America and Europe centering on Asia, and are developing market competitiveness by developing high value-added functional products and expanding sales channels.</t>
  </si>
  <si>
    <t>Sulwhasoo; Hera; IOPE; Laneige; MAMONDE; Haneul; Odyssey; Mise-En-Scene; Happy Bath; Ryoe; Dantrol; Median; O'Sulloc</t>
  </si>
  <si>
    <t>KR1101113471036</t>
  </si>
  <si>
    <t>LION CORPORATION</t>
  </si>
  <si>
    <t>This company is engaged in the production and wholesale distribution of oral care products, beauty care products, pharmaceutical products, household products, and chemical products. It was established by Tomijiro Kobayashi in 1918, and has its registered corporate headquarters located in Tokyo, Japan. It a leading manufacturer of household products. It aims to combine the power of people, the power of technology and the power of marketing to provide excellent products that are useful for its daily lives. The company's products include toothpastes, toothbrushes, mouthwashes and breath fresheners, shampoos, conditioners, and treatments, hair-styling products, hair-nourishment treatments, anti-diarrheic drugs, medicine for intestinal disorders, gastrointestinal medicine, allergy-care products, laundry detergents, pre-care products, bleaches, dishwashing detergents, and disinfectants. Some of its brands are Clinica, Dentor, Prime, Hitect, Between, Dent, Etiquette, Shokubutsu-Monotari, and Free &amp; Free. Through the operations of its affiliates, the company is also active in Taiwan, Hong Kong, Thailand, Malaysia, Singapore, Indonesia, China, and South Korea.</t>
  </si>
  <si>
    <t>www.lion.co.jp</t>
  </si>
  <si>
    <t>4912</t>
  </si>
  <si>
    <t>Engaged in the production and wholesale distribution of oral care products, beauty care products, pharmaceutical products, household products, and chemical products</t>
  </si>
  <si>
    <t>The Company is a Japan-based company mainly engaged in the manufacture and sale of consumable goods and industrial products.</t>
  </si>
  <si>
    <t>THE LION DENTIFRICE CO LTD</t>
  </si>
  <si>
    <t>Clinica; Dentor; Prime; Hitect; Between; Dent; Etiquette; Shokubutsu-Monotari; and Free &amp; Free</t>
  </si>
  <si>
    <t>JP1010601016863</t>
  </si>
  <si>
    <t>PT UNILEVER INDONESIA TBK</t>
  </si>
  <si>
    <t>This company is a consumer goods company engaged in the manufacture, marketing, and distribution of fast moving consumer goods in Indonesia. Its products include soaps, detergents, margarine, vegetable oil, ice cream, tea drinks, milk products and cosmetics, which are divided into four categories: cooking &amp; eating, healthy living, beauty and style and around the house. The company was founded in 1933 as Lever's Zeepfabrieken N.V.Based in Jakarta, Indonesia, the company offers its products under the Pepsodent, Pond's, Lux, Lifebuoy, Dove, Sunsilk, Clear, Rexona, Vaseline, Rinso, Surf, Molto, Sunlight, Wall's, Blue Band, Royco, Bango, and Close Up brand names. It is supported by one production facility in each of Bekasi in West Java, and Surabaya in East Java.</t>
  </si>
  <si>
    <t>www.unilever.co.id</t>
  </si>
  <si>
    <t>Indonesia</t>
  </si>
  <si>
    <t>UNVR</t>
  </si>
  <si>
    <t>Consumer goods company engaged in the manufacture, marketing, and distribution of fast moving consumer goods in Indonesia</t>
  </si>
  <si>
    <t>The scope of activities comprises manufacturing, trading and chemicals. Currently, the Company is engaged in the manufacture of paper, paper products, packaging and others</t>
  </si>
  <si>
    <t>ID30014FD</t>
  </si>
  <si>
    <t>KOSE CORPORATION</t>
  </si>
  <si>
    <t>This company is engaged in the manufacture and sale of cosmetics, skin care and hair care products. The company was founded by Kozaburo Kobayashi in 1946. Its corporate headquarters is located in Chuo-ku, Tokyo, Japan. It operates its business primarily in the domestic market.The company's principal brands include Astalution, Infinity, Cosme Decorte AQ, Cosme Decorte, Jill Stuart, Stephen Knoll, Awake, Beaute de KOSE, Espirique Precious, and Rimmel, among others. The company's products are sold in retail, department and general merchandise stores, and other sales channels through its subsidiaries. The company has active operations in China, Taiwan, South Korea, and the United States. The company serves as the parent company of the following companies: Intercosme Inc, engaged in the manufacture of plastic containers and cosmetics; Technolabo Co Ltd, specialized in the manufacture and processing of cosmetics; KOSE Sales Co., Ltd., engaged in the wholesale of cosmetics; Carte Laboratories Inc., focuses on the marketing of cosmetics on consignment; Advance Co., Ltd., an independent cosmetics manufacturer; Albion Co., Ltd., a manufacturer of cosmetics; and Taiwan KOSE Co., Ltd., involved in the manufacture, import and marketing of cosmetics.</t>
  </si>
  <si>
    <t>www.kose.co.jp</t>
  </si>
  <si>
    <t>4922</t>
  </si>
  <si>
    <t>Engaged in the manufacture and sale of cosmetics, skin care and hair care products</t>
  </si>
  <si>
    <t>The Company is a Japan-based company principally engaged in the manufacture and sale of cosmetic products.</t>
  </si>
  <si>
    <t>JP7010001043552</t>
  </si>
  <si>
    <t>GODREJ INDUSTRIES LIMITED</t>
  </si>
  <si>
    <t>The company is one of the Godrej Group's holding companies. It has significant interests in consumer goods, real estate, agriculture and gourmet retail through its subsidiary and associate companies, across 18 countries. It was established in the year 1897 and conducts its business from its registered head office which is strategically located in District Bharuch, India. The company is thus not separated into several divisions, but rather acts as a holding company owning companies such as Godrej Consumer Products; Godrej Properties; Godrej Agrovet, a diversified, Research &amp; Development backed agri-business company; and Godrej Nature’s Basket, India's foremost retail destination for fine foods from across the world. Its Chemicals division, ranks among India's leading manufacturers of oleochemicals and surfactants and its products are exported to more than 80 countries in North and South America, Asia, Europe, Australia and Africa.</t>
  </si>
  <si>
    <t>Services</t>
  </si>
  <si>
    <t>www.godrejinds.com</t>
  </si>
  <si>
    <t>GODREJIND</t>
  </si>
  <si>
    <t>One of the Godrej Group's holding companies</t>
  </si>
  <si>
    <t>The Company is engaged in the businesses of manufacture and marketing of oleo-chemicals, their precursors and derivatives, bulk edible oils, estate management and investment activities.  The Company operates in six segments: chemicals, estate, finance &amp; investments, animal feed, veg oils and others.</t>
  </si>
  <si>
    <t>GODREJ SOAPS LIMITED</t>
  </si>
  <si>
    <t>IN30195FI</t>
  </si>
  <si>
    <t>CHENGZHI CO.,LTD.</t>
  </si>
  <si>
    <t>The company is engaged in the management activities of holding companies. The company was incorporated in 1998. The registered head office of the company is located in Nanchang, China. 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 Lastly, the company is active in the operation of bank holding companies and management investment offices.</t>
  </si>
  <si>
    <t>www.chengzhi.com.cn</t>
  </si>
  <si>
    <t>China</t>
  </si>
  <si>
    <t>000990</t>
  </si>
  <si>
    <t>Engaged in the management activities of holding companies</t>
  </si>
  <si>
    <t>The Company is principally engaged in the three main businesses of 'Clean Energy', 'Display Materials' and 'Medical Health'.</t>
  </si>
  <si>
    <t>CHENGZHI SHAREHOLDING COMPANY LIMITED</t>
  </si>
  <si>
    <t>CN31699PC</t>
  </si>
  <si>
    <t>GODREJ CONSUMER PRODUCTS LIMITED</t>
  </si>
  <si>
    <t>This company is engaged in the manufacture and sale of personal and household products. It was incorporated in November 2000 and has its registered head office in the city of Mumbai, India. The company operates in two business segments: soap and personal care. It is among the largest marketer of toilet soaps in the country with leading brands such as CINTHOL, FAIRGLOW, and GODREJ NO 1. Its personal care segment offers hair color, shaving cream and gel, talcum powder, deodorant, fairness cream, liquid detergent and other toiletries. The company is also a leader in the hair color category in India and has a vast product under the brands: Godrej Renew Coloursoft Liquid Hair Colours, Godrej Liquid &amp; Powder Hair Dyes and Godrej Kesh Kala Oil. Its other brands include: Vigil, Allcare, Ezee and Nikhar. The company focuses on providing its customers with innovative value for money solutions for meeting their daily needs and improving the quality of their life. It employs approximately 950 people and has three state-of-the-art manufacturing facilities at Malanpur (M.P.), Guwahati (Assam) and Baddi (H.P.). It distributes its products in Asia, Africa, Australia, Europe, Middle East, and the Americas.</t>
  </si>
  <si>
    <t>www.godrejcp.com</t>
  </si>
  <si>
    <t>GODREJCP</t>
  </si>
  <si>
    <t>Engaged in the manufacture and sale of personal and household products</t>
  </si>
  <si>
    <t>The Company is engaged in fast-moving consumer goods business comprising home and personal care, foods and refreshments.  The Company is focused on manufacturing of personal and household care products.</t>
  </si>
  <si>
    <t>Vigil, Allcare, Ezee and Nikhar; Godrej Renew Coloursoft Liquid Hair Colours, Godrej Liquid &amp; Powder Hair Dyes and Godrej Kesh Kala Oil; CINTHOL, FAIRGLOW, and GODREJ NO 1</t>
  </si>
  <si>
    <t>IN30479FI</t>
  </si>
  <si>
    <t>分析测试服务</t>
  </si>
  <si>
    <t>ALS LIMITED</t>
  </si>
  <si>
    <t>The company is primarily engaged in the provision of analytical testing services. It commenced operations in Brisbane as Australian Laboratory Services (ALS) in 1974 as a privately owned company. Starting from humble beginnings, it initially provided analytical services for the oil shale and mineral exploration industries, and grew steadily in the first decade of operations. The company's corporate headquarters is located in Milton, Australia.As one of the world's largest and most diversified testing services providers, the company has sites strategically located around the world to provide accurate and timely services. It has operations in more than 350 locations, in 55 countries and on six continents. The company has teams of experts around the world available to provide specialised business solutions that align with client needs. Major hub facilities are located in Australia, Asia, North America, South America, Europe, the Middle East and Africa.Formerly known as Campbell Brothers Limited, the company's major business today is its international testing services business. In that business, it is focused on delivering superior services through four main divisions: Minerals (Geochemistry, Metallurgy, Mine Site and Inspection); Life Sciences (Environmental, Food and Pharmaceutical, Animal Health and Electronics); Energy (Coal, and Oil and Gas); and Industrial (Asset Care and Tribology); and offering a broad range of technical services to its clients that is unrivalled.</t>
  </si>
  <si>
    <t>www.alsglobal.com</t>
  </si>
  <si>
    <t>Australia</t>
  </si>
  <si>
    <t>ALQ</t>
  </si>
  <si>
    <t>Engaged in the provision of analytical testing services; Engaged in the provision of analytical testing services</t>
  </si>
  <si>
    <t>principal activities of the Group during the course of the financial year were the provision of professional technical services, primarily in the areas of testing, measurement and inspection, supporting:
  environmental monitoring,food and pharmaceutical quality assurance,mining and mineral exploration,commodity certification,equipment maintenance,asset care operations and,oil and gas exploration and production.</t>
  </si>
  <si>
    <t>CAMPBELL BROTHERS LIMITED</t>
  </si>
  <si>
    <t>AU009657489</t>
  </si>
  <si>
    <t>工业清洁剂，油漆室化学产品，预处理，食品和乳制品，金属加工润滑剂和冷却剂，特种化学品，纸浆和造纸化学品，塑料，清洁产品，水处理化学品</t>
  </si>
  <si>
    <t>ZANYU TECHNOLOGY GROUP CO., LTD.</t>
  </si>
  <si>
    <t>This company is engaged in the manufacture of industrial inorganic chemicals and allied products. It started its operations in 2000 and has its registered business office located in Hangzhou, China. The company offers a wide range of products that include industrial cleaners, paint booth chemistry products, pre-treatments, food and dairy products, metalworking lubricants and coolants, specialty chemicals, pulp and paper chemicals, plastics, janitorial products, water treatment chemicals and other related products. It also offers chemical formulating, custom processing and toll blending, packaging and private labeling services. The company conducts its business operations within the country.</t>
  </si>
  <si>
    <t>www.zzytech.com</t>
  </si>
  <si>
    <t>002637</t>
  </si>
  <si>
    <t>Engaged in the manufacture of industrial inorganic chemicals and allied products</t>
  </si>
  <si>
    <t>Our Company specializes in R &amp; D, production and marketing of fine chemicals such as surfactants and environmental protection industries.</t>
  </si>
  <si>
    <t>ZHEJIANG ZANYU TECHNOLOGY COMPANY LIMITED</t>
  </si>
  <si>
    <t>CN40519PC</t>
  </si>
  <si>
    <t>KOLMAR KOREA CO.,LTD.</t>
  </si>
  <si>
    <t>The company is engaged in the manufacture and wholesale distribution of perfumes and toilet preparations. It was incorporated in October of 2012 and conducts business in its registered head office located in Yeongi-gun, Republic of Korea.The company is primarily involved in producing and trading the following products: perfumes and cologne; soaps and other detergents, such as laundry detergents and dishwashing detergents; toothpaste gels and tooth powders; facial tissues; textile and leather finishing agents; deodorant; and other common items used in everyday maintenance of appearance.</t>
  </si>
  <si>
    <t>www.kolmar.co.kr</t>
  </si>
  <si>
    <t>161890</t>
  </si>
  <si>
    <t>Engaged in the manufacture and wholesale distribution of perfumes and toilet preparations</t>
  </si>
  <si>
    <t>- The company was split off from Kolmar Holdings Korea (formerly Korea Kolmar) in October, 2012, and is engaged in the manufacture and sale of cosmetics and pharmaceuticals.The company acquired ISO22716 certification, the international standard CGMP for the first time in Korea, and is the leader in the cosmetics ODM / OEM market. The company focuses on strengthening our position in the industry through continuous investment and technology development.- Cosmetics manufacturing and sales subsidiaries in China, the United States and Canada As a subsidiary, Company acquire CKM Corp. in April 2018 and CJ Healthcare in April 2018 and expect synergies in the pharmaceutical business.</t>
  </si>
  <si>
    <t>KR1647110030756</t>
  </si>
  <si>
    <t>COSMAX INC.</t>
  </si>
  <si>
    <t>This company is primarily engaged in the research, development and manufacture of cosmetics, health food products and medicines that offer health and beauty to its customers. It invests more than five percent of its total revenue into R&amp;D, and exports its products to more than 100 countries around the world. It was founded as Miroto Korea in November of 1992. The company's head office is located in Hwaseong-si, Gyeonggi-do, South Korea.The company operates an R&amp;I Center in Sungnam-si, Gyeonggi-do, South Korea. It is a company with specialised research laboratories that produce the best quality products, which are trusted and used all over the world. In its R&amp;I center, more than 350 researchers in the field of skincare, make-up, advanced tech, safety and regulatory, and global are working to develop innovative products with the highest quality standards in the world. Its key products include skincare, make-up, hair care, functional cosmetics, scent and mask sheet.Since its foundation, the company has been working to realize its corporate vision of being "Good, Different and Beautiful" based on the "creed of three apples that changed the world."</t>
  </si>
  <si>
    <t>www.cosmax.com</t>
  </si>
  <si>
    <t>192820</t>
  </si>
  <si>
    <t>Engaged in the research, development and manufacture of cosmetics, health food products and medicines that offer health and beauty to its customers</t>
  </si>
  <si>
    <t>- In March 2014, cosmetics manufacturing division of Cosmax BTIA (formerly Cosmax Co., Ltd.) was established as a personnel division.- Company supply its own R &amp; D cosmetics to more than 600 domestic and overseas brands through ODM, and Company have secured a number of global cosmetics brands.- Company have a production and quality control system that meets global standards and R &amp; D capabilities of the industry''s highest level. Company also secure competitiveness by building global production infrastructures such as China, Indonesia, and the United States.</t>
  </si>
  <si>
    <t>KR1348110294273</t>
  </si>
  <si>
    <t>MARICO LIMITED</t>
  </si>
  <si>
    <t>This company is engaged in the production and wholesale of beauty and wellness products. It was established in 1990 and has its corporate office located in Mumbai, India. It is a leading Indian company in consumer products and services in the global beauty and wellness sector. The company markets well-known brands such as Parachute, Saffola, Sweekar, Hair &amp; Care, Nihar, Shanti, Mediker, Revive, Kaya, Sundari, Aromatic Fiancee, and HairCode. Its brands and their extensions occupy leadership positions with significant market shares in most categories, including coconut oil, hair oils, anti-lice treatment, premium refined edible oils, and fabric care. The company's branded products are also present in Bangladesh, other SAARC (South Asian Association for Regional Cooperation) countries, the Middle East and Egypt. The company is present in the skin care services business through Kaya Limited, which has approximately 47 skin care clinics in India and the UAE; Sundari LLC (United States), the owner of the Sundari line of luxury Ayurvedic skin care products; and also through its nascent soap franchise in India and Bangladesh. The overseas sales franchise of its consumer products (whether as exports from India or as local operations in a foreign country) is one of the largest among Indian companies and is entirely in branded products and services.</t>
  </si>
  <si>
    <t>www.marico.com</t>
  </si>
  <si>
    <t>MARICO</t>
  </si>
  <si>
    <t>Engaged in the production and wholesale of beauty and wellness products</t>
  </si>
  <si>
    <t>Marico is a leading Indian Group in Consumer Products and Services in the Global Beauty and Wellness space. Marico's brands and their extensions occupy leadership positions with significant market shares in most categories- Coconut Oil, Hair Oils, Anti-lice Treatment, Premium Refined Edible Oils, Fabric Care etc.</t>
  </si>
  <si>
    <t>MARICO INDUSTRIES LIMITED</t>
  </si>
  <si>
    <t>Parachute; Saffola; Sweekar; Hair &amp; Care; Nihar; Shanti; Mediker; Revive; Kaya; Sundari; Aromatic Fiancee; and HairCode</t>
  </si>
  <si>
    <t>IN30615FI</t>
  </si>
  <si>
    <t>CHENGDU XINGRONG ENVIRONMENT CO., LTD.</t>
  </si>
  <si>
    <t>The company is primarily engaged in the research, manufacture and distribution of industrial detergents, chemical products, plastic modified materials and chemical new materials. Incorporated in May of 1996, the company was formerly known as Blue Star Cleaning Co. Ltd. It has a registered office located in Chengdu, China.The company and its subsidiaries are involved in the provision of detergents, toluenediisocyanate (TDI), polyether and propylene oxide as well as cleaning engineering services business, industrial membranes and water treatment business and technical services business. It provides its products and services in the domestic markets. The company operates principally in the People's Republic of China.</t>
  </si>
  <si>
    <t>www.cdxrec.com</t>
  </si>
  <si>
    <t>000598</t>
  </si>
  <si>
    <t>Primarily engaged in the research, manufacture and distribution of industrial detergents, chemical products, plastic modified materials and chemical new materials</t>
  </si>
  <si>
    <t>The Company's main business is water supply, sewage treatment and  landfill leachate treatment.</t>
  </si>
  <si>
    <t>CHENGDU XINGRONG INVESTMENT COMPANY LIMITED</t>
  </si>
  <si>
    <t>CN30597PC</t>
  </si>
  <si>
    <t>SHANGHAI JAHWA UNITED CO., LTD.</t>
  </si>
  <si>
    <t>This company is primarily engaged in the research, development, manufacture and distribution of daily-used cosmetic products. The company was incorporated in October 1999. The registered head office of the company is located in Shanghai, China.The company boasts abundant renowned brands including Liushen, MAXAM, Jia An, HERBOIST, CHINFIE, GF and COCOOL. Each brand is at the leading edge in its respective segment market, resembling colorful flowers and glaring crystal balls, competitively displaying their own beauty and leading a new beauty trend. The company's quality system is certified in accordance with ISO 9000. The company has established united laboratories integrating production, study and research with colleges and institutes like Fudan University, Dermatology Department of Huashan Hospital, Chinese Academy of Sciences, Shanghai Institute of Pharmaceutical Industry and Shanghai Second Medical.</t>
  </si>
  <si>
    <t>www.jahwa.com.cn</t>
  </si>
  <si>
    <t>600315</t>
  </si>
  <si>
    <t>Primarily engaged in the research, development, manufacture and distribution of daily-used cosmetic products</t>
  </si>
  <si>
    <t>The Company is mainly engaged in the research, development, manufacture and distribution of daily-used chemical products, as well as provide daily chemicals and cosmetic technology technical services.</t>
  </si>
  <si>
    <t>CN31073PC</t>
  </si>
  <si>
    <t>SAHA PATHANAPIBUL PCL</t>
  </si>
  <si>
    <t>This company operates as a Thailand-based firm engaged in the retail sale of consumer products in Thailand. Its corporate office is located in Bangkok, Thailand. It was incorporated in 1942. The company retails household products, food products, baby products, personal care products and others. The household products include laundry detergents, dishwashing liquids, stain removers and kitchen cleaners. The food products include instant noodles, rice congees and porridges, instant meals, crackers and biscuits, mineral water, iodized salt, distilled vinegar and other products. The baby products include such items as baby shampoos, toothpastes, toothbrushes, baby soaps, talcum powder, specialty detergents and fabric softeners for babies' clothing. The personal care products include skin creams, shampoos, facial cleansing foams, toothpastes, toothbrushes and others. In addition, the company offers other products, such as seasoning sauces, soaps, and instant powdered milk.</t>
  </si>
  <si>
    <t>Retail</t>
  </si>
  <si>
    <t>www.sahapat.co.th</t>
  </si>
  <si>
    <t>Thailand</t>
  </si>
  <si>
    <t>SPC</t>
  </si>
  <si>
    <t>Operates as a Thailand-based firm engaged in the retail sale of consumer products in Thailand</t>
  </si>
  <si>
    <t>The Company is engaged in the consumer goods distribution and property development businesses in Thailand. It distributes consumer products, including food and beverages, household products, personal care, and baby care products. The company offers its products through approximately 90,000 distribution channels. It also exports its products primarily to countries in the Indo-China region and North Europe.</t>
  </si>
  <si>
    <t>TH0107537001421</t>
  </si>
  <si>
    <t>PROYA COSMETICS CO.,LTD.</t>
  </si>
  <si>
    <t>This company is engaged in the manufacture of cosmetics for skin, body and hair care. It was founded in 2006, and it has its registered head office located in Hangzhou, China. The company's products include: facials (day cream, night cream, eye cream, tonic cleansing, scrubs and peels, masks, whey concentrates, creams, and lip balms); body care and hygiene (body cream and lotion, correction figures, products for hands, tools for the feet, deodorants, intimate hygiene, shower gel, bath foam, body scrubs, soap, and toothpaste); hair care (shampoo, balms and masks, and permanent tint); perfumery (fragrances for women, fragrances for men, and perfumed products); make up (mascara, eye shadow, eyeliners and eyebrow, pomade, lip gloss, lip liners, cream foundation, powder, rouge, corrector, nail polish, and manicure); for men (shaving cream, facials, and body care and hair care); for children (skin care, bath and shower, and toothpaste); accessories (cosmetic accessories, elements of style, accessories for men, bags, and gift wrap); and supplements (balms and supplements and functional food).</t>
  </si>
  <si>
    <t>www.proya-group.com</t>
  </si>
  <si>
    <t>603605</t>
  </si>
  <si>
    <t>Engaged in the manufacture of cosmetics for skin, body and hair care</t>
  </si>
  <si>
    <t>The Company is mainly engaged in the research and development, production and sale of cosmetics.</t>
  </si>
  <si>
    <t>CN46355PC</t>
  </si>
  <si>
    <t>FANCL CORPORATION</t>
  </si>
  <si>
    <t>This company is engaged in the research and development, manufacture and sale of cosmetic and health foods. It was established in August 1981 and conducts business from its registered business address located in Yokohama-Shi, Japan. The company operates in three business divisions, namely the cosmetic segment, which offers preservative-free cosmetic; the nutritional supplement, which offers health food; and the mail order business of health appliances and home miscellaneous goods and the manufacture and sale of germinated brown rice and kale juice.</t>
  </si>
  <si>
    <t>Manufacturing; Services</t>
  </si>
  <si>
    <t>www.fancl.co.jp</t>
  </si>
  <si>
    <t>4921</t>
  </si>
  <si>
    <t>Engaged in the research and development, manufacture and sale of cosmetic and health foods</t>
  </si>
  <si>
    <t>FANCL CORPORATION is mainly engaged in the manufacture and sale of cosmetics and nutritional supplements.</t>
  </si>
  <si>
    <t>JP3020001000366</t>
  </si>
  <si>
    <t>ZHEJIANG DAILY DIGITAL CULTURE GROUP CO.,LTD.</t>
  </si>
  <si>
    <t>The company is primarily engaged in the publishing of newspapers. It was incorporated in July of 1992. The registered business office of the company is located in Shanghai, China.The company's newspaper features articles on political events, crime, business, art and entertainment, society and sports. It also covers editorial opinions and op-eds; advice, gossip, food and other columns; weather news and forecasts; and classified ads.This publisher of newspapers is active and operational in China.</t>
  </si>
  <si>
    <t>www.600633.cn</t>
  </si>
  <si>
    <t>600633</t>
  </si>
  <si>
    <t>Primarily engaged in the publishing of newspapers</t>
  </si>
  <si>
    <t>The Company is a newspaper publishing group. The Company primarily operates Zhejiang Daily newspaper series, city news series, professional newspaper series, new media series, and printing business.</t>
  </si>
  <si>
    <t>ZHEJIANG DAILY MEDIA GROUP COMPANY LIMITED</t>
  </si>
  <si>
    <t>CN30575PC</t>
  </si>
  <si>
    <t>SYOUNG GROUP CO., LTD.</t>
  </si>
  <si>
    <t>This company is an entity based in China that is engaged in the production and distribution of perfumes, cosmetics and toilet preparations. It started its operations in 2012. The registered business office of the company is located in Changsha, Hunan. The company is principally involved in producing and dealing perfumes, colognes, body lotions, facial creams and other related cosmetic products. It also offers a wide range of other products, such as hair coloring products, shampoos, combs, nail coloring products, hair blowers, relaxers and texturizers, shapers and scissors, shaving creams and equipment, lotions, gels, wigs and other related products. These are offered to distributors, retailers and to the general public. The company has its active operations within the country.</t>
  </si>
  <si>
    <t>300740</t>
  </si>
  <si>
    <t>Engaged in the production and distribution of perfumes, cosmetics and toilet preparations. It</t>
  </si>
  <si>
    <t>The Company is mainly engaged in the research and development, production and sales of various types of skin care products. Product categories include facial masks, water cream creams, etc., of which mainly mask.</t>
  </si>
  <si>
    <t>YUJIAHUI CO., LTD.</t>
  </si>
  <si>
    <t>CN49067PC</t>
  </si>
  <si>
    <t>COLGATE-PALMOLIVE (INDIA) LIMITED</t>
  </si>
  <si>
    <t>This company is engaged in the manufacture and distribution of personal care products. It was founded in 1937 and it conducts business from its registered head office located in Mumbai, India.The company offers oral care, personal care, household products and specialized dental care products. Its oral care products consist of toothpastes, toothbrushes, toothpowder and whitening products. Personal products are shower gel, shower cream, bar soaps, liquid hand washes, shave creams and skin care products. Household products includes a dishing washing paste. Its specialized dental care products are provided for gingivitis treatment, sensitivity treatment, tooth whitening, fluoride therapy and mouth ulcer treatment. Further, the company's products are sold under the Ajax, Axion, Colgate, and Palmolive brands.</t>
  </si>
  <si>
    <t>www.colgate.co.in</t>
  </si>
  <si>
    <t>COLPAL</t>
  </si>
  <si>
    <t>Engaged in the manufacture and distribution of personal care products</t>
  </si>
  <si>
    <t>The Company is engaged in the personal care business, which includes oral care. The oral care products manufactured by the company include toothpastes, toothbrushes, toothpowder, whitening products and mouthwash.  The personal care products manufactured by the company include body wash, liquid hand wash, shave preps, skin care and hair care.</t>
  </si>
  <si>
    <t>Ajax; Axion; Colgate; Palmolive</t>
  </si>
  <si>
    <t>IN30306FI</t>
  </si>
  <si>
    <t>KOLMAR KOREA HOLDINGS CO.,LTD</t>
  </si>
  <si>
    <t>The company is engaged in the manufacture of cosmetics and pharmaceuticals. It was founded in 1990. The registered business office of the company is located in Yeonggi-gun, Republic of Korea.The company offers skin care products, such as milk lotion, skin lotion, eye cream, massage cream, serum, essence, powder type essence, mask pack, and cleansing products; make up products, including pressed and loose powder, foundation, liquid foundation, compact, two way cake, lip stick, lip gloss, lip cream, lip liner, blusher, eye shadow, liquid eye shadow, eye liner, mascara, eye brow, cosmetic pencil, and powder to cream; and various special care products comprising whitening, anti aging, and SPF products. It also provides pharmaceutical and quasi drugs, which consist of tooth paste and solutions, ointment, and liquid drinks; hair and body care products; and perfumes.The company is active and operational in the Republic of Korea.</t>
  </si>
  <si>
    <t>www.kolmarholdings.co.kr</t>
  </si>
  <si>
    <t>024720</t>
  </si>
  <si>
    <t>Engaged in the manufacture of cosmetics and pharmaceuticals</t>
  </si>
  <si>
    <t>- Established in 1990 to manufacture and sell cosmetics and pharmaceutical products to buyers and sellers, the cosmetics and pharmaceuticals division and investment division were split into business holding companies in October 2012.- The subsidiary to be consolidated includes Colma B &amp; H Co., Ltd., a manufacturer and distributor of health functional foods and cosmetics, and Colma Pharma Co., Ltd., and Kayo Agricultural Co., Ltd., which manufacture and sell pharmaceuticals.- In March 2016, Company will acquire the site of Naegok-dong in Seoul and construct an integrated technology institute. Company will integrate 14 research institutes scattered in Sejong and Ochang areas.</t>
  </si>
  <si>
    <t>KOREA KOLMAR CO.,LTD.</t>
  </si>
  <si>
    <t>KR1647110001591</t>
  </si>
  <si>
    <t>MANDOM CORPORATION</t>
  </si>
  <si>
    <t>This company, formerly known as Tancho Corporation, is engaged in the production and wholesale distribution of cosmetics, perfumes, and quasi-drugs. It was founded and incorporated in 1927. The registered business office of the company is located in Osaka, Japan.The company provides a range of make-up and skin care products for various women’s beauty routines primarily under the Bifesta and Pixy brands; and hair styling, and facial and body care products for women under the Lúcido-L and Pucelle brands. It also offers hair dyes, perming agents, and hair styling products to hair salons; and cosmetics and other products, as well as professional skills and techniques to esthetic salons under the Formulate and Docteur Renaud brands. In addition, the company covers a range of hair styling, and face and body care products, including hair coloring, hair styling, facial care, deodorant, fragrance, and scalp care products for men’s daily grooming and personal styling under the Gatsby and Lúcido brands.The company is active and operational in Japan.</t>
  </si>
  <si>
    <t>www.mandom.co.jp</t>
  </si>
  <si>
    <t>4917</t>
  </si>
  <si>
    <t>Engaged in the production and wholesale distribution of cosmetics, perfumes, and quasi-drugs</t>
  </si>
  <si>
    <t>The Company is a Japan-based company mainly engaged in the manufacture and sale of cosmetics.</t>
  </si>
  <si>
    <t>TANCHO CORPORATION</t>
  </si>
  <si>
    <t>JP1120001090234</t>
  </si>
  <si>
    <t>DKS CO LTD</t>
  </si>
  <si>
    <t>The company is engaged in the manufacture and sale of surface acting agents, amenity materials, urethane materials, functional materials and electronic device materials. Its registered office is located in Kyoto, Japan. It was formed in April 1909 by craftsmen Ohno Mohei, Nakamura Kakichiro, and Ono Mohei. The company has 15 subsidiaries and six associated companies. Its operations are organized in five business divisions: Surface Acting Agents, which provides nonionic agents, anion activators and cation agents; Amenity Material, which manufactures and sells vinyl polymeric materials and acrylic polymeric materials; Urethane Material, which offers polyester polyols, urethane prepolymers and urethane systems; Functional Material, which provides urethane resin, incombustible materials and amide lubricants; and Electronic Device Material, which provides conductive paste for electronic components, pellets for injection molding and ion conductive polymers. In addition, the company's surfactants are marketed under the Monogen and Pansofter brand names. These surfactant are used in various applications in the textile, food, construction, iron/steel, electronics, and energy industries. The company aims to be a prominent company with a strong presence in the 21st century.</t>
  </si>
  <si>
    <t>www.dks-web.co.jp</t>
  </si>
  <si>
    <t>4461</t>
  </si>
  <si>
    <t>Engaged in the manufacture and sale of surface acting agents, amenity materials, urethane materials, functional materials and electronic device materials</t>
  </si>
  <si>
    <t>The company is engaged in the manufacture and sale of surfactants, functional materials and electronic device materials.</t>
  </si>
  <si>
    <t>DAI-ICHI KOGYO SEIYAKU CO LTD</t>
  </si>
  <si>
    <t>JP7130001017809</t>
  </si>
  <si>
    <t>PROCTER &amp; GAMBLE HYGIENE AND HEALTH CARE LIMITED</t>
  </si>
  <si>
    <t>The company is primarily engaged in the manufacture and marketing of health and hygiene products. The company was formed in 1964 as Richardson Hindustan Limited which obtains an Industrial License to undertake manufacture of Menthol and de mentholised peppermint oil and VICKS range of products, such as Vicks VapoRub, Vicks Cough Drops and Vicks Inhaler. It has a registered office located in Mumbai, India.The company is one of India's fastest growing fast moving consumer goods companies that has in its portfolio P&amp;G's Billion dollar brands, such as Vicks and Whisper. Vicks is India's number one cough and cold brand. Its portfolio in India comprises Vicks Action500+, Vicks VapoRub, Vicks Cough Drops, Vicks Formula 44 Cough Syrup and Vicks Inhaler. Whisper is available in the following variants to meet the needs of different consumers: Whisper Maxi Regular, Whisper Maxi XL Wings, Whisper Ultra with Wings, Whisper Ultra XL Wings, and Whisper Choice.The company takes pride in being voted India's Best Employer 2003 in a survey of 200 companies conducted by International HR Consultancy Hewitt Associates in association with Business Today magazine. The company was voted India's Second Best Employer in previous editions of the survey in 2001 and 2002. The company's plants are located in Goa and Baddi in India. Procter &amp; Gamble is a global company that provides consumer products in the areas of pharmaceuticals, cleaning supplies, personal care, and pet supplies.</t>
  </si>
  <si>
    <t>www.pg.com/en_in</t>
  </si>
  <si>
    <t>PGHH</t>
  </si>
  <si>
    <t>Primarily engaged in the manufacture and marketing of health and hygiene products</t>
  </si>
  <si>
    <t>The Company is engaged in the manufacturing and selling of branded packaged fast moving consumer goods in the femcare and healthcare businesses.</t>
  </si>
  <si>
    <t>VICKS</t>
  </si>
  <si>
    <t>IN30850FI</t>
  </si>
  <si>
    <t>pending</t>
  </si>
  <si>
    <t>COSMAX BTI INC.</t>
  </si>
  <si>
    <t>The company, founded in 1992, is a Korean-based firm engaged in the manufacture of cosmetic products. It conducts business from its registered head office which is strategically located in Seoul, Republic of Korea and has overseas company in China.The company has factory located in HwaSung Kyunggi Province, Korea. It produces a wide range of products such as skin care products (lotion, emulsion, cream and mask), makeup products (foundation, concealer, powder, eye shadow and lipstick), hair care products (hair wax, hair gel, hair styling and shaving foam), and special function products (sun-care, whitening and anti-wrinkle). Its customers are Amorepacific Corp., TheFaceShop, Forever 21, Johnson &amp; Johnson, Cosway, L'Oreal and Maybelline. The company is recognized as a leader of cosmetic market. It has created partnerships with international cosmetic companies, including Intercos in Italy, ITC in Japan and CLC in France.</t>
  </si>
  <si>
    <t>044820</t>
  </si>
  <si>
    <t>Engaged in the manufacture of cosmetic products</t>
  </si>
  <si>
    <t>- Cosmetics was established in 1992 for sales purposes. In March 2014, the new company Cosmax and Cosmax BTIA, a subsidiary of Cosmax, were transferred to the holding company system.In June 2014, NUTRI Biotech, a manufacturer of health food products, was added as a subsidiary, creating a synergy with Cosmax Bio, which operates the health functional food business.- The Company has 14 subsidiaries, including the two companies mentioned above, including Three Apple Cosmetics, Cosmax Biotech, and Twin Pharma, and merged with Cycan iTiti in December 2017.</t>
  </si>
  <si>
    <t>KR1348110018641</t>
  </si>
  <si>
    <t>AEKYUNG INDUSTRIAL CO.,LTD.</t>
  </si>
  <si>
    <t>This company is primarily engaged in the manufacture and export of household and personal care consumer products to its consumers in South Korea. Its products include toothpaste, detergent, shampoo, soap and cosmetics. It was incorporated in April 1985. The company has a registered office located in Seoul, South Korea.The company introduced the nation's first facial soap 'Mihang Soap', longest-running dishwasher liquid 'Trio', and first super-concentrated laundry detergent 'Perfect' to the domestic market. In addition to various detergents, a wide range of personal care products and household necessities are being produced to help realize its objective of providing excellent care for people.The company is a subsidiary of the Aekyung Group, a conglomerate of 16 companies ranging from cosmetics to petrochemical producers. The Aekyung Group has an international presence in the United States, China, Japan and Europe.</t>
  </si>
  <si>
    <t>www.aekyung.co.kr</t>
  </si>
  <si>
    <t>018250</t>
  </si>
  <si>
    <t>Primarily engaged in the manufacture and export of household and personal care consumer products to its consumers in South Korea</t>
  </si>
  <si>
    <t>- Established in April 1985, the company manufactures and sells household goods such as toothpaste, soap and other detergents, cosmetics and personal care products and is listed on the securities market in March 2018.- Company maintain a high brand awareness of cosmetics brands such as Spark, Kerasys, 2080 toothpaste and trio, as well as cosmetics brands such as Aging Teenness, Luna and Point.- In September 2017, Company established Akay (Shanghai) Trading Co., Ltd., a distribution and distribution company for household goods and cosmetics, in Shanghai, China.</t>
  </si>
  <si>
    <t>KR1101110398275</t>
  </si>
  <si>
    <t>NOEVIR HOLDINGS CO LTD</t>
  </si>
  <si>
    <t>This company operates as a holding company with a diversified business activities in Japan and internationally. Established in 2011, the company has its registered headquarters located in Kobe, Japan.The company's main subsidiary is the Japan-based Noevir Co Ltd., which consists of 14 companies with five domestic subsidiaries and eight international subsidiaries. Noevir Co operates in four business segments. The Cosmetics segment manufactures and sells cosmetics and toiletries, as well as sells cosmetic sundries. The Pharmaceutical Products segment manufactures and sells pharmaceutical products. The Food Products segment manufactures and sells nutritional supplementary food. The Others segment is engaged in the purchase and sale of apparel, aircraft and ships, as well as the unscheduled passenger air transportation business.</t>
  </si>
  <si>
    <t>www.noevirholdings.co.jp</t>
  </si>
  <si>
    <t>4928</t>
  </si>
  <si>
    <t>Operates as a holding company with a diversified business activities</t>
  </si>
  <si>
    <t>The Company is a Japan-based company engaged in the manufacture and sale of cosmetics, toiletries, pharmaceuticals and foods, as well as the purchase and sale of cosmetic products.</t>
  </si>
  <si>
    <t>JP3140001034179</t>
  </si>
  <si>
    <t>TOHO CHEMICAL INDUSTRY COMPANY, LIMITED</t>
  </si>
  <si>
    <t>The company is engaged in the manufacture and sale of surface active organic boron compounds, soaps and other related detergents. Headquartered in Chuo-ku, Japan, the company was founded in 1938. The company's surfactant products include cosmetic ingredients detergents, pesticide formulation surfactants, auxiliaries for the textiles, and synthetic rubber and plastics; chemicals for paper and pulp industry; and aids for civil engineering. Its chemical products include boiling solvents, acrylate, metalworking fluids, electronic information materials, polyurethane, crude oil additive drug, resin emulsion, and precision cleaners.</t>
  </si>
  <si>
    <t>www.toho-chem.co.jp</t>
  </si>
  <si>
    <t>4409</t>
  </si>
  <si>
    <t>Manufacture and sale of surface active organic boron compounds, soaps and other related detergents</t>
  </si>
  <si>
    <t>The Company is a Japan-based company mainly engaged in the manufacture and sale of surfactants, resins, chemical products, specialty chemicals and others as a chemical industry product business.</t>
  </si>
  <si>
    <t>JP5010001034850</t>
  </si>
  <si>
    <t>TAYCA CORPORATION</t>
  </si>
  <si>
    <t>This company is engaged in the production and distribution of chemicals and chemical products, including titanium dioxide surfactants, sulfuric acid, phosphates, micro titanium dioxide, titanated mica, and surface treatment products. The company was established as Teikoku Jinzo Fertilizer Co. Ltd in 1919. The company's head offices is located in Osaka, Japan. It provides the following products: titanium dioxide, surfactants, sulfuric acid, and film sulfonation. It has developed and marketed sulfonated film and sheet materials designed mainly for use as separators in nickel-hydrogen secondary batteries. The company also offers specialty chemicals, such as micro titanium dioxide, surface treatment business, aluminum triphosphate, micro zinc oxide, and photocatalystic titanium dioxide. It aims to develop together with its customers, making full use of its chemistry-based creative technology and based on human respect and mutual trust, to make a broad contribution to society. The company is a member of Japan Responsible Care Council (JRCC), an association of companies that have made a commitment to implement Responsible Care (RC). It also has a branch office in Tokyo and factories are located in Osaka, Okayama, Kumayama, and Osafune.</t>
  </si>
  <si>
    <t>www.tayca.co.jp</t>
  </si>
  <si>
    <t>4027</t>
  </si>
  <si>
    <t>Engaged in the production and distribution of chemicals and chemical products, including titanium dioxide surfactants, sulfuric acid, phosphates, micro titanium dioxide, titanated mica, and surface treatment products</t>
  </si>
  <si>
    <t>The Company is a Japan-based company mainly engaged in the manufacture and sale of chemical products and electro ceramics.</t>
  </si>
  <si>
    <t>TEIKOKU KAKO CO LTD</t>
  </si>
  <si>
    <t>JP7120001027825</t>
  </si>
  <si>
    <t>PT UNGGUL INDAH CAHAYA TBK</t>
  </si>
  <si>
    <t>This company produces alkylbenzene, an active and raw ingredient for the production of detergents. It also produces linear alkyl benzene and branch alkyl benzene, as well as heavy alkylate and light alkylate as by-products.The company was founded in 1983 as PT Unggul Indah Corporation and changed its name to PT Unggul Indah Cahaya Tbk in 1999. It started its commercial operation in 1985 and became a publicly listed company in November 1989. Its mission is to participate in the Indonesian Social and Economic development program by providing a domestic supply of Alkylbenzene, to enhance a positive balance of trade, to introduce the development of downstream activities and to create employment for local society.Based in Jakarta, Indonesia, the company is the sole manufacturer of Alkylbenzene (AB) in Indonesia. It markets its products in Australia, France, Germany, Italy, Japan, Singapore, Taiwan, Vietnam, South Korea, and the United States. The company operates a production facility in Merak, Banten province.</t>
  </si>
  <si>
    <t>www.uic.co.id</t>
  </si>
  <si>
    <t>UNIC</t>
  </si>
  <si>
    <t>Produces alkylbenzene, an active and raw ingredient for the production of detergents</t>
  </si>
  <si>
    <t>The Company is an Indonesia-based manufacturing company. The Company is engaged in the manufacturing of alkylbenzene (AB), which is one of main raw substance for detergent. Its products are linear alkylbenzene (LAB) and branched alkylbenzene (BAB). It also produces heavy alkylate (HA) and light alkylate (LA).</t>
  </si>
  <si>
    <t>PT UNGGUL INDAH CORPORATION TBK</t>
  </si>
  <si>
    <t>ID30111FD</t>
  </si>
  <si>
    <t>SHANGHAI CHICMAX COSMETIC CO., LTD.</t>
  </si>
  <si>
    <t>This company is a Chinese based enterprise engaged in the manufacture and sale of perfumes, cosmetics and other toilet preparations. The company was incorporated in 2004. Its registered business office is based in Shanghai, China. The company's business activities include the manufacture and sale of perfumes (natural and synthetic), cosmetics, and other toilet preparations. It is also involved in blending and compounding perfume bases, as well as the manufacture and sale of shampoos and shaving products, whether from soap or synthetic detergents. It has a large inventory of goods as well as employs professional staff capable of retailing a large variety of goods from a single location.</t>
  </si>
  <si>
    <t>02145</t>
  </si>
  <si>
    <t>Engaged in the manufacture and sale of perfumes, cosmetics and other toilet preparations</t>
  </si>
  <si>
    <t>The company and its subsidiaries are principally engaged in the research, development, production and sales of skincare and maternity and childcare products. The Company has brands such as KANS, One Leaf, and Baby Elephant. The KANS focuses on the changing anti-aging needs of Asian women of all ages. The One Leaf focuses on plant technology and environmental protection skin care products for young consumers. The Baby Elephant focuses on specialized maternal and childcare products suitable for the skin of Chinese babies and children. The Company's products include skin care products, maternal and childcare products, toiletries, and others.</t>
  </si>
  <si>
    <t>CN32307PC</t>
  </si>
  <si>
    <t>HONGMIAN ZHIHUI SCIENCE AND TECHNOLOGY INNOVATION CO.,LTD.GUANGZHOU</t>
  </si>
  <si>
    <t>The company is engaged in the manufacture and sale of soaps and other detergents. It was incorporated in the year 1959. The registered head office of the company is located in the city of Guangzhou, People's Republic of China. The company is primarily involved in manufacturing and packaging soaps and other detergents, such as laundry detergents; dishwashing detergents; toothpaste gels, and tooth powders; and natural glycerin. It principally conducts its business operations within the country.</t>
  </si>
  <si>
    <t>www.lonkey.com.cn</t>
  </si>
  <si>
    <t>000523</t>
  </si>
  <si>
    <t>Engaged in the manufacture and sale of soaps and other detergents</t>
  </si>
  <si>
    <t>The Company's principal activities are the production and sale of daily used chemical products.  The Company is also involved in the development, production and distribution of chemical raw materials.</t>
  </si>
  <si>
    <t>LONKEY INDUSTRIAL CO.,LTD.GUANGZHOU</t>
  </si>
  <si>
    <t>CN30338PC</t>
  </si>
  <si>
    <t>HEMAS HOLDINGS PLC</t>
  </si>
  <si>
    <t>This investment holding company manufactures, distributes, imports, and exports products and services in fast moving consumer goods (FMCG), pharmaceutical, hospital, transportation, leisure, and power sectors in Sri Lanka and internationally. It was founded in 1948 by Sheikh Hasannally Esufally (MBE) as a pharmaceuticals and trading enterprise. It is based in Colombo, Sri Lanka.The company is recognized as one of Sri Lanka's largest firms that distributes recognizable brands including Baby Cheramy, Clogard and ProSport. It offers personal care products under the Baby Cheramy, Clogard, Dandex, Pro Sport, Kumarika, Gold, Goya, Paris, Fems, and Capri brands; home care products under the Diva brand; skin care products under the Velevt brand; paper products; personal wash products under the Velvet brand; and products under the Godrej brand. The company also distributes pharmaceuticals, and surgical and diagnostic products; operates hospitals; markets over-the-counter health and wellness products; operates hotels and resorts; and offers destination management services. In addition, it provides airline representation and outbound travel, logistics, shipping agency, and maritime services; business process outsourcing services; and IT development and training services. Further, the company trades in and distributes FMCG products; imports and sells food products, consumer products, pharmaceuticals and medical aid; manufactures and trades in pharmaceuticals; provides research and development, travel agency, break bulk casual caller and cargo handling, general carrier and warehousing, corporate secretary, and property development services. Additionally, it is involved in the operation of GSA Emirates and GSA Malaysian airlines; import and distribution of agro chemicals; and promotional and wharf clearing activities.</t>
  </si>
  <si>
    <t>Manufacturing; Wholesale; Services</t>
  </si>
  <si>
    <t>www.hemas.com</t>
  </si>
  <si>
    <t>Sri Lanka</t>
  </si>
  <si>
    <t>HHL.N0000</t>
  </si>
  <si>
    <t>Investment holding company manufactures, distributes, imports, and exports products and services in fast moving consumer goods (FMCG), pharmaceutical, hospital, transportation, leisure, and power sectors in Sri Lanka and internationally</t>
  </si>
  <si>
    <t>The Company is mainly engaged in investment activities and providing management and administration services to other companies in the group.</t>
  </si>
  <si>
    <t>HEMAS (DRUGS) LIMITED</t>
  </si>
  <si>
    <t>Baby Cheramy, Clogard, Dandex, Pro Sport, Kumarika, Gold, Goya, Paris, Fems, and Capri; Diva; Velevt; Velvet; Godrej</t>
  </si>
  <si>
    <t>LK30229FS</t>
  </si>
  <si>
    <t>MIWON COMMERCIAL CO.,LTD.</t>
  </si>
  <si>
    <t>This company is engaged in the manufacture of chemical products. It was established in 1959 and conducts its business from its registered headquarters located in Ansan-si, Republic of Korea.The company has five main businesses: performance chemical business, which provides sulfur, refined and fuming sulfuric acid, sulphonic acid and rubber chemicals; personal care ingredients business, which produces hair, skin, oral and home care products, peptide cosmeceuticals and natural cosmeceuticals; specialty chemical business, which provides photo initiators, functional monomers, oligomers and epoxy diluents; electronic chemical business, which provides photoactive compounds, raw materials for photoactive compounds and photo sensitizers for negative photo resist used in cathode ray tube (CRT) devices, and polymer additive business, which produces antioxidants and ultraviolet (UV) stabilizers. It aims to be the world-renowned producer and supplier of chemical products.</t>
  </si>
  <si>
    <t>www.mwc.co.kr</t>
  </si>
  <si>
    <t>002840</t>
  </si>
  <si>
    <t>Engaged in the manufacture of chemical products</t>
  </si>
  <si>
    <t>- The company was established in November 1959 and it is engaged in the manufacture and sale of chemical agents such as surfactants and electronic materials, and was listed on the Korea Exchange''s stock market in September, 1989.- Major products include electronic materials such as surfactant, antioxidant, UV stabilizer, photosensitizer, polymer, sensitizer etc. Subject has high market shares. - Subject''s subsidiaries to be consolidated includes Gyedong Chungunjung Sehwagong Corp. In August. 2016, Dongnam Chemical Co., Ltd. merged with subsidiary Miwon EOD Co., Ltd to subsidiary.</t>
  </si>
  <si>
    <t>KR1301110007707</t>
  </si>
  <si>
    <t>MILBON CO LTD</t>
  </si>
  <si>
    <t>The company is involved in the manufacture and marketing of perming chemicals, shampoos, treatments, hair styling chemicals, hair coloring chemicals, medical trichogens and perming appliances. It was founded in July of 1960, and has its headquarters in Miyakojima-ku, Osaka, Japan.The company offers a wide range of products, including permanent wave lotions such as cysteine permanent wave lotion, thioglycolic permanent wave lotion and anti-frizz straightening lotion; hair care products, including shampoos, conditioners, hair treatment, hair tonic, hair creams, liquid and foamy hair styling products, setting lotions and hair sprays; hair colorants, encompassing hair dyes and hair manicures, and others, including hair rods, rollers and perm irons. The company operates a production facility located in Iga-shi, Mie, and office branches in Tokyo, Nagoya, Osaka, Fukuoka, Sendai, Saitama, Yokohama, Kanazawa, Kobe and Hiroshima.</t>
  </si>
  <si>
    <t>www.milbon.co.jp</t>
  </si>
  <si>
    <t>4919</t>
  </si>
  <si>
    <t>Involved in the manufacture and marketing of perming chemicals, shampoos, treatments, hair styling chemicals, hair coloring chemicals, medical trichogens and perming appliances</t>
  </si>
  <si>
    <t>The Company is a Japan-based company mainly engaged in the manufacture and sale of hair cosmetics, as well as the provision of related services.</t>
  </si>
  <si>
    <t>YUTAKA BEAUTY CHEMICALS COMPANY LIMITED</t>
  </si>
  <si>
    <t>JP3120001001206</t>
  </si>
  <si>
    <t>YA-MAN LTD</t>
  </si>
  <si>
    <t>This company specializes in the distribution and development of health and fitness products as well as semiconductor test equipment distributed throughout Japan, China, Europe and North America. It was founded in 1969 and has a registered head office located in Tokyo, Japan. The company has developed and patented the technology for a variety of handheld bio-impedance devices, which permit easy and accurate measurement of body fat. It also makes a complete line of Health and Beauty Products for lifestyle. Its NaviSlim product line, which includes the SlimStep Personal Fitness System, offers a combination of features to help people worldwide maintain a healthy, fit lifestyle. The company has several offices in Japan and in San Jose, California, United States.</t>
  </si>
  <si>
    <t>www.ya-man.com</t>
  </si>
  <si>
    <t>6630</t>
  </si>
  <si>
    <t>Specializes in the distribution and development of health and fitness products as well as semiconductor test equipment distributed throughout Japan, China, Europe and North America</t>
  </si>
  <si>
    <t>The Company is a Japan-based company mainly engaged in the beauty and health related business.</t>
  </si>
  <si>
    <t>JP5010601020184</t>
  </si>
  <si>
    <t>ARTNATURE INC</t>
  </si>
  <si>
    <t>This company is primarily engaged in the manufacture and sale of wigs and hairpieces, the provision of haircare and hair-addition products and services, and the sale of haircare products. It was founded as a sole proprietorship in April 1965. The company's head office is located in Tokyo, Japan. It operates production sites in the Philippines (Sto. Tomas, Batangas; San Pedoro, Laguna) and Cambodia (Phnom Penh).</t>
  </si>
  <si>
    <t>www.artnature.co.jp</t>
  </si>
  <si>
    <t>7823</t>
  </si>
  <si>
    <t>Engaged in the manufacture and sale of wigs and hairpieces, the provision of haircare and hair-addition products and services, and the sale of haircare products</t>
  </si>
  <si>
    <t>The Company is a Japan-based company mainly engaged in the manufacture and sale of wigs.</t>
  </si>
  <si>
    <t>JP9011001000392</t>
  </si>
  <si>
    <t>COLGATE-PALMOLIVE (PAKISTAN) LTD</t>
  </si>
  <si>
    <t>The company is engaged in the manufacture and sale of detergents, personal care and other related products. It was incorporated in the year 1977 and conducts business in its registered head office located in Karachi, Pakistan. The company's oral care products include toothpastes and toothbrushes. Its range of toothpastes includes Colgate Maximum Cavity Protection, Colgate Sensitive Pro-Relief and Colgate MaxFresh, among others. Its range of toothbrushes includes Colgate SlimSoft, Colgate SlimSoft Charcoal and Colgate Navigator. Its personal care products include beauty soap and hand wash. The company's range of beauty soaps includes Palmolive Naturals Balanced &amp; Mild, and Palmolive Naturals Luxurious Softness. Its range of hand wash includes Palmolive-Aloe Vera with Chamomile and Palmolive-Antibacterial Sea Minerals. Its fabric care products include laundry detergents and laundry bar. Its surface care products include dishwash bar, dishwash liquid, dishwash paste, dishwash powder and all-purpose cleaner.</t>
  </si>
  <si>
    <t>colgate.com.pk</t>
  </si>
  <si>
    <t>Pakistan</t>
  </si>
  <si>
    <t>COLG</t>
  </si>
  <si>
    <t>Engaged in the manufacture and sale of detergents, personal care and other related products</t>
  </si>
  <si>
    <t>The Company is mainly engaged in the manufacture and sale of detergents, personal and other products.</t>
  </si>
  <si>
    <t>NATIONAL DETERGENTS LIMITED</t>
  </si>
  <si>
    <t>Colgate Maximum Cavity Protection; Colgate Sensitive Pro-Relief; Colgate MaxFresh; Colgate SlimSoft; Colgate SlimSoft Charcoal; Colgate Navigator; Palmolive Naturals Balanced &amp; Mild; Palmolive Naturals Luxurious Softness; Palmolive-Aloe Vera with Chamomile; Palmolive-Antibacterial Sea Minerals</t>
  </si>
  <si>
    <t>PK0005832</t>
  </si>
  <si>
    <t>COSMECCA KOREA CO.,LTD.</t>
  </si>
  <si>
    <t>The company is primarily engaged in the research, development, and manufacture of functional cosmetics. It was established and incorporated in 1999. The registered business office of the company is located in Eumseong-Gun, Republic of Korea.The company offers a wide range of products such as skin care products, hair products, travel-grooming kits, and sunblock. It also provides products to whiten skin, as well as for atopy and sensitive skin. In addition, the company covers various types of perfume such as single or combination of flower scents and fresh and exhilarating scent of citrus.The company is active and operational in the Republic of Korea.</t>
  </si>
  <si>
    <t>www.cosmecca.com</t>
  </si>
  <si>
    <t>241710</t>
  </si>
  <si>
    <t>Engaged in the research, development, and manufacture of functional cosmetics</t>
  </si>
  <si>
    <t>- Cosmetics manufacturing and sales business was established in October 1999, and it was listed on KOSDAQ in October, 2016. It has subsidiaries such as Endorphin Cosmetics Co., Ltd. and Cym Global Co., Ltd.- As a cosmetics OEM / ODM company, Company developed the world''s first triple functional bibby cream, tonic cream, DPF technology, and secured various product distribution channels worldwide by securing product competitiveness and advanced production system.- The company is commencing operation of the Foshan plant in Guangzhou, China in April 2017 and are building a success story in Zhejiang. The company is expecting to expand production capacity in Korea as The company is expanding production capacity by three times the current production capacity.</t>
  </si>
  <si>
    <t>KR1545110016091</t>
  </si>
  <si>
    <t>JYOTHY LABS LIMITED</t>
  </si>
  <si>
    <t>This company is engaged in the production and wholesale disdtribution of detergents, soaps, and mosquito repellents. It was incorporated in 1992. The registered business office of the company is located in Mumbai, India.The company offers dish wash scrubbers and scrubber steel, as well as dish wash bars, liquids, and powders. It also provides fabric whiteners, fabric enhancers, bar soaps, and detergent powders. In addition, the company offers mosquito repellent coils, liquids, and cards, as well as insect repellents and air care products. Further, it provides body soaps, face washes, toothpastes, deodorants, talcum powders, after shave products, and moisturizers. Furthermore, the company provides dry cleaning and laundry services; and incense sticks and floor shine products.It strives to create an impact by touching people's lives; and to develop innovative brands, tap high growth categories, reach untapped markets and explore untapped segments to meet the day-to-day requirements of every Indian household.</t>
  </si>
  <si>
    <t>www.jyothylaboratories.com</t>
  </si>
  <si>
    <t>JYOTHYLAB</t>
  </si>
  <si>
    <t>Engaged in the production and wholesale disdtribution of detergents, soaps, and mosquito repellents</t>
  </si>
  <si>
    <t>The Company is engaged in in manufacturing and marketing of fabric care, dishwashing, personal care, household insecticides products and also provides laundry and dry cleaning services.</t>
  </si>
  <si>
    <t>JYOTHY LABORATORIES LIMITED</t>
  </si>
  <si>
    <t>IN33772FI</t>
  </si>
  <si>
    <t>SOFT99CORPORATION</t>
  </si>
  <si>
    <t>This company, through its subsidiaries and affiliates, is engaged in the manufacture and sale of chemical products for auto and home care primarily in Japan. It was founded in 1954 and has its registered head office in Osaka, Japan.The company specialises in the production and distribution of body wax and polish as water block wax, cleaners, shampoo, car wash equipment, GlACO water repellant series, DIY (do-it-yourself) repair paint and chemical products, synthetic snow tire chain, air freshener, eye glass cleaner and home care products. It also exports to China, Taiwan, Singapore, Thailand, Malaysia, Indonesia, Vietnam, South Korea, Sri Lanka, Brunei, Myanmar, Russia, Ukraine, Germany, Poland, the United Kingdom, U.A.E., Saudi Arabia, U.S.A, Brazil, Paraguay, Australia, and others.</t>
  </si>
  <si>
    <t>www.soft99.co.jp</t>
  </si>
  <si>
    <t>4464</t>
  </si>
  <si>
    <t>Engaged in the manufacture and sale of chemical products for auto and home care primarily in Japan</t>
  </si>
  <si>
    <t>The Company is mainly engaged in fine chemical business.</t>
  </si>
  <si>
    <t>JP8120001083009</t>
  </si>
  <si>
    <t>CLIO COSMETICS CO.,LTD.</t>
  </si>
  <si>
    <t>The company is engaged in the manufacture and sale of perfumes, cosmetics and other toilet preparations. It operates its business primarily in the domestic market. The company was incorporated in the year 1997. Its registered business office is based in the city of Seoul, Republic of Korea. The company's business activities include the manufacture and sale of perfumes (natural and synthetic), cosmetics, and other toilet preparations. It is also involved in blending and compounding perfume bases, as well as the manufacture and sale of shampoos and shaving products, whether from soap or synthetic detergents.</t>
  </si>
  <si>
    <t>company.cliocosmetic.com</t>
  </si>
  <si>
    <t>237880</t>
  </si>
  <si>
    <t>- Established in May 1997 for sales and distribution of cosmetics and cosmetics, it was listed on KOSDAQ in November, 2016, and has brands such as Clio, Ferafera and Goodal.- The company is supplying products from top OEM / ODM companies in Korea, such as Cosmax, Korea Colma, and Chemicus. We are expanding overseas exports such as China, Taiwan and Japan based on marketing and quality competitiveness.- The subsidiary to be consolidated includes the Clio (Shanghai) Cosmetics Co., Ltd., a subsidiary in China, which sells cosmetics and toiletries.</t>
  </si>
  <si>
    <t>CLIO COSMETICS LTD.</t>
  </si>
  <si>
    <t>KR1101111421273</t>
  </si>
  <si>
    <t>ABLE C &amp; C CO.,LTD.</t>
  </si>
  <si>
    <t>This company is engaged in the manufacture and wholesale distribution of cosmetic products. It was founded in 2000. The company has a registered office located in Seoul, South Korea.The company offers approximately 700 products for skin care, body care, make-up, fragrance and hair care. Its skin care products include cleansers, toners, emulsions, moisturizers and masks. Body care products comprise shower gels, body cleansers and body moisturizers. Its make-up products consist of foundations, concealers, powders, blush, mascaras, lip-sticks and nail colors. The company's hair care products include shampoos, treatments and conditioners.</t>
  </si>
  <si>
    <t>www.able-cnc.co.kr</t>
  </si>
  <si>
    <t>078520</t>
  </si>
  <si>
    <t>Engaged in the manufacture and wholesale distribution of cosmetic products</t>
  </si>
  <si>
    <t>- Established in January 2000, it is engaged in manufacturing and sales of cosmetics and household goods, distribution and sales business, Internet commerce business, etc., and has subsidiaries in Japan and China.- As a representative brand, Misha is a leader in the brand shop market and operates over 3,400 overseas stores in 40 countries including the US, Japan, and China.- Dec. 2018 In order to increase management efficiency and create synergy of cosmetics manufacturing and sales business, the company acquired a stake in cosmetics manufacturing and sales company, US factory, and incorporated it as a subsidiary.</t>
  </si>
  <si>
    <t>KR1101111846174</t>
  </si>
  <si>
    <t>AFC-HD AMS LIFE SCIENCE CO.,LTD.</t>
  </si>
  <si>
    <t>The company is engaged in the manufacture of health foods and cosmetics in Japan and internationally. Its activities include planning, research, development, processing, and completion of dietary supplements and cosmetics. The company offers health foods in various forms, such as tablets, soft and hard capsules, granulation, soft drinks, share parcels, PTP packing, and filling and finish packing. Its cosmetic products include facial cleansing oil, face lotion, milky lotion, makeup oil, cleansing cream, and liquid cosmetics. The company was founded in the year 1969 and is based in Shizuoka, Japan.</t>
  </si>
  <si>
    <t>www.ams-life.com</t>
  </si>
  <si>
    <t>2927</t>
  </si>
  <si>
    <t>Engaged in the manufacture of health foods and cosmetics in Japan and internationally</t>
  </si>
  <si>
    <t>AMS Life Science Co., Ltd., a Japan-based company along with its subsidiaries, mainly manufactures and wholesales cosmetics, as well as health food products, such as health foods that contain beer yeast, vitamin, calcium, zinc, glucosamine, lutein and collagen.</t>
  </si>
  <si>
    <t>AMS LIFE SCIENCE CO LTD</t>
  </si>
  <si>
    <t>JP3080001005054</t>
  </si>
  <si>
    <t>S &amp; J INTERNATIONAL ENTERPRISES PCL</t>
  </si>
  <si>
    <t>This company, based in Thailand, operates as a contract manufacturer that manufactures, sells, and exports cosmetic formulations and personal care products for various brands in Thailand and internationally. It was incorporated in 1980 and conducts business from its registered head office located in Bangkok.The company is principally involved in producing and dealing perfumes, colognes, body lotions, facial creams and other related cosmetic products. It also offers a wide range of other products, such as hair coloring products, shampoos, combs, nail coloring products, hair blowers, relaxers and texturizers, shapers and scissors, shaving creams and equipment, lotions, gels, wigs and other related products.</t>
  </si>
  <si>
    <t>www.snjinter.com</t>
  </si>
  <si>
    <t>S &amp; J</t>
  </si>
  <si>
    <t>Operates as a contract manufacturer that manufactures, sells, and exports cosmetic formulations and personal care products for various brands in Thailand and internationally</t>
  </si>
  <si>
    <t>The Company is a  leading contract manufacturer of high quality cosmetic and personal care products.  Furthermore company is committed to providing creative cost effective solutions to each of its customers requirements, so the fullest service can be provided, from developing product and packaging concepts, through to manufacturing, shipping, and even brand awareness building programmes.</t>
  </si>
  <si>
    <t>S &amp; J INTERNATIONAL ENTERPRISES CO LTD</t>
  </si>
  <si>
    <t>TH0107537001366</t>
  </si>
  <si>
    <t>PAOS HOLDINGS BERHAD</t>
  </si>
  <si>
    <t>This company is an investment holding company for a group active in the manufacture and marketing of soaps and detergent products. The company was incorporated in November 1997. The registered head office of the company is located in Petaling Jaya, Malaysia.The company exercises financial control over its subsidiaries and provides central services. The company also provides financial support and control function for the board and is responsible for managing the group and its overall legal structure, tax planning, financial and equity structures. The company's subsidiaries include Paos Industries Sdn Bhd, one of the leading soap manufacturers in Malaysia; Premier Oil Industries Sdn Bhd, which is negaged in rental of investment properties; Alpine Legacy (M) Sdn Bhd, which is engaged in property investment holding; and The 5 Elements Hotel Sdn Bhd, which is engaged in the operation and management of a hotel.</t>
  </si>
  <si>
    <t>www.paos.com</t>
  </si>
  <si>
    <t>Malaysia</t>
  </si>
  <si>
    <t>5022</t>
  </si>
  <si>
    <t>An investment holding company for a group active in the manufacture and marketing of soaps and detergent products</t>
  </si>
  <si>
    <t>The Company is principally involved in the production of downstream value-added palm oil-related products, that includes soap chips, finished soaps, and specialty fats from palm oil, and also manufacturing of specialty fats and animal feed from palm oil.</t>
  </si>
  <si>
    <t>MY452536-W</t>
  </si>
  <si>
    <t>NIITAKA CO LTD</t>
  </si>
  <si>
    <t>The company is engaged in the manufacture, purchase, and sale of industrial cleansers, cleaning agents and solid fuels. It is also engaged in the provision of dish washing machine maintenance services for the foodservice industry, as well as the rental and sale of kitchen-related equipment. The company has its registered office located in Osaka, Japan. It was established in April of 1963. The company is traded on the Tokyo Stock Exchange under the trading symbol 4465.The company has three business segments. The Industrial Cleanser and Cleaning Agent segment offers kitchen detergents, dish washing machine detergents, germicides, bleaches and cleaning agents. The Solid Fuels is engaged in the manufacture and sale of household fuels and fuels for heaters. The Others segment offers various pots, food wrappers, body soaps, paper towels and other products.</t>
  </si>
  <si>
    <t>www.niitaka.co.jp</t>
  </si>
  <si>
    <t>4465</t>
  </si>
  <si>
    <t>Engaged in the manufacture, purchase, and sale of industrial cleansers, cleaning agents and solid fuels</t>
  </si>
  <si>
    <t>The Company is a Japan-based company mainly engaged in the manufacture, purchase and sale of industrial cleansers, cleaning agents, sterilization agents and solid fuels.</t>
  </si>
  <si>
    <t>JP9120001056079</t>
  </si>
  <si>
    <t>SHENZHEN SELEN SCIENCE &amp; TECHNOLOGY COMPANY LIMITED</t>
  </si>
  <si>
    <t>This company, based in China, is engaged in the manufacture and distribution of a complete line of electrostatic discharge and cleanroom consumables. It was established in 2002 and has its registered head office based in Guangdong Shenzhen City.The company is recognized as a leading system solutions provider in static contamination control and cleanroom technology industry in China. It has two production and logistics bases in Suzhou and Shenzhen, and more than 30 sales branches covering Yangtze River Delta, Pearl River Delta and Bohai Bay region. In addition, it serves companies in the information technology, electronic, biotechnology, pharmaceutical, precise instruments, aerospace, automobile, and petroleum industries.The company is committed to continuing the company ideals of create safety cleanroom with full passion; advocating the core values pragmatic, serious, dedicated, innovative; insuring total customer satisfaction; providing quality product and service; and providing a friendly, courteous atmosphere for customers, shareholders and employees alike.</t>
  </si>
  <si>
    <t>www.szselen.com</t>
  </si>
  <si>
    <t>002341</t>
  </si>
  <si>
    <t>Engaged in the manufacture and distribution of a complete line of electrostatic discharge and cleanroom consumables</t>
  </si>
  <si>
    <t>The company has been engaged in production, sales and related services of anti-static / clean room industry, consumption of goods.</t>
  </si>
  <si>
    <t>CN32119PC</t>
  </si>
  <si>
    <t>MINGCHEN HEALTH CO.,LTD.</t>
  </si>
  <si>
    <t>This company is engaged in the manufacture and sale of personal healthcare products. Incorporated in 1994, it has its registered head office in the city of Shantou in China. The company specialises in skin and hair care products. Its products are marketed and sold throughout China through its network of distributors in the country.</t>
  </si>
  <si>
    <t>www.mingchen.com.cn</t>
  </si>
  <si>
    <t>002919</t>
  </si>
  <si>
    <t>Engaged in the manufacture and sale of personal healthcare products</t>
  </si>
  <si>
    <t>The Company's main business is a high-tech enterprise selling health care products. Its main products include shampoo, conditioner, bath lotion and gel.Water and skin care products.</t>
  </si>
  <si>
    <t>CN49272PC</t>
  </si>
  <si>
    <t>PT MANDOM INDONESIA TBK</t>
  </si>
  <si>
    <t>This company is engaged in the production and distribution of a wide range of cosmetics and healthcare products in Indonesia. It was established in 1969 and has its head office and main plant is located in Jakarta. The company is a market leader for men's cosmetics and fragrances product category in Indonesia. It manufactures and sells men's and women's cosmetics and women's fragrances, including hair care and grooming products, skin-care products, and make-up items with brands of Tancho, Mandom, Spalding, Gatsby, Pixy, Pixy UV Whitening, Pucelle, Excel, Lovillea, La Beaute, Miratone, and Johnny Andrean. The company also manufactures plastic containers for its cosmetic products in its plastic factory located in Cibitung Bekasi, Indonesia. In addition, the company exports its products to Japan, Asia, the United States of America, Brazil, the United Arab Emirates, and others. The company aims to provide a comfortable lifestyle which is supported by health and beauty products to its consumers.</t>
  </si>
  <si>
    <t>www.mandom.co.id</t>
  </si>
  <si>
    <t>TCID</t>
  </si>
  <si>
    <t>Engaged in the production and distribution of a wide range of cosmetics and healthcare products in Indonesia</t>
  </si>
  <si>
    <t>The Company is engaged in the manufacturing and trading of cosmetics, perfumes, cleansing materials, and plastic containers.</t>
  </si>
  <si>
    <t>PT TANCHO INDONESIA TBK</t>
  </si>
  <si>
    <t>ID30070FD</t>
  </si>
  <si>
    <t>WUHAN CHUANGJIE GONGMAO XIHUA CO.,LTD.</t>
  </si>
  <si>
    <t>This company is an entity based in China that is engaged in the wholesale trade of nondurable goods. It was incorporated in 2007 and conducts business operations from its registered head office in located in Wuhan, Hubei. The company specializes in the following nondurable goods: surgical products, cosmetics, cleaning products, office supplies, as well as packaging and containers, and paper and paper products. In addition, it offers other nondurable goods, such as personal products, rubber products, plastic products, textile raw materials, agricultural raw materials, clothing and footwear, and other semi finished goods. The company markets its products to customers primarily within the country.</t>
  </si>
  <si>
    <t>Wholesale</t>
  </si>
  <si>
    <t>836770</t>
  </si>
  <si>
    <t>Engaged in the wholesale trade of nondurable goods</t>
  </si>
  <si>
    <t>The Company mainly engaged in cosmetics, chemicals, department stores and retail.</t>
  </si>
  <si>
    <t>CN47967PC</t>
  </si>
  <si>
    <t>LAFANG CHINA CO.,LTD</t>
  </si>
  <si>
    <t>This company is a China based enterprise engaged in the manufacture and sale of chemicals and chemical preparations. It operates its business primarily in the domestic market. The company was incorporated in 2001. Its registered business office is based in Shantou, China. It is registered as a joint stock company.The company's business activities include the manufacture and sale of miscellaneous chemical preparations, such as fatty acids, essential oils, gelatin, bluing, laundry sours, and writing and stamp pad ink; industrial compounds, such as boiler and heat insulating compounds, metal, oil; and water-treating compounds, waterproofing compounds, and chemical supplies for foundries.</t>
  </si>
  <si>
    <t>www.laf.cn</t>
  </si>
  <si>
    <t>603630</t>
  </si>
  <si>
    <t>Engaged in the manufacture and sale of chemicals and chemical preparations</t>
  </si>
  <si>
    <t>The Company is mainly engaged in the research and development, production and sales of daily chemical products, including shampoo, conditioner, shower gel, soap, cream and other products.</t>
  </si>
  <si>
    <t>CN49215PC</t>
  </si>
  <si>
    <t>LIX DETERGENT JOINT STOCK COMPANY</t>
  </si>
  <si>
    <t>The company is engaged in the production of detergents and cosmetics. It was established in 1972 and was formerly known as a factory named Huan Huan Chemical Technology Company. The company has its registered head office located in Ho Chi Minh, Vietnam. It is listed on the HoChiMinh Stock Exchange under the trading symbol LIX.The company's products include washing powders, dishwaters and other cleaning products. It is also involved in the manufacture and trading of chemicals and packagings, as well as real estate trading. The company predominantly operates in the domestic market with factories in HCMC and Ha Noi having a total capacity of 140,000 tons per year. It distributes its products to a wide range of customers, targeting low and medium income groups.</t>
  </si>
  <si>
    <t>www.lixco.com</t>
  </si>
  <si>
    <t>Vietnam</t>
  </si>
  <si>
    <t>LIX</t>
  </si>
  <si>
    <t>Engaged in the production of detergents and cosmetics</t>
  </si>
  <si>
    <t>The Company's main business are: Manufacturing and trading all kinds of detergent such as: powder detergent, liquid detergent, dish washing liquids, fabric softerner, floor cleaner, toilet liquid, etc...;  Import-export business and real estate business.</t>
  </si>
  <si>
    <t>VN4103001845</t>
  </si>
  <si>
    <t>KEYA COSMETICS LTD</t>
  </si>
  <si>
    <t>This company is an entity based in Bangladesh that is engaged in the production and distribution of perfumes, cosmetics and toilet preparations. The registered business office of the company is located in Dhaka, Bangladesh.The company is principally involved in producing and dealing perfumes, colognes, body lotions, facial creams and other related cosmetic products. It also offers a wide range of other products, such as hair coloring products, shampoos, combs, nail coloring products, hair blowers, relaxers and texturizers, shapers and scissors, shaving creams and equipment, lotions, gels, wigs and other related products. These are offered to distributors, retailers and to the general public.The company has its active operations within the country.</t>
  </si>
  <si>
    <t>www.keyagroupbd.com</t>
  </si>
  <si>
    <t>Bangladesh</t>
  </si>
  <si>
    <t>KEYACOSMET</t>
  </si>
  <si>
    <t>Engaged in the production and distribution of perfumes, cosmetics and toilet preparations</t>
  </si>
  <si>
    <t>The Company is engaged in the production of several kinds and sizes of soap, shaving cream, toothpaste, coconut oil and other cosmetics items since its incorporation.</t>
  </si>
  <si>
    <t>BD30186FE</t>
  </si>
  <si>
    <t>ITSHANBUL CO.,LTD.</t>
  </si>
  <si>
    <t>The company is engaged in the wholesale distribution of drugs and druggists' sundries. It was incorporated in February of the year 2006. The registered head office of the company is located in the city of Seoul, Republic of Korea. The company is primarily involved in the merchant wholesale distribution of biological and medical products; botanical drugs and herbs; and pharmaceutical products intended for internal and external consumption in such forms as ampoules, tablets, capsules, vials, ointments, powders, solutions, and suspensions. It principally conducts its business operations within the country.</t>
  </si>
  <si>
    <t>www.itshanbul.com</t>
  </si>
  <si>
    <t>226320</t>
  </si>
  <si>
    <t>Engaged in the wholesale distribution of drugs and druggists' sundries</t>
  </si>
  <si>
    <t>- The company was established for the purpose of manufacturing and selling cosmetics and changed it''s company name after the merge with It''s Skin Co., Ltd. in May, 2017- The company was established for the purpose of manufacturing and selling cosmetics and changed it''s company name after the merge with It''s Skin Co., Ltd. in May, 2017- Subsidiaries include Neopam, ItzSkinChina and Hanbok Cosmetics (Australia) Co., Ltd., a subsidiary in China. In January 2018, Company established New Korea Korea and acquired Anne in July.</t>
  </si>
  <si>
    <t>IT'S SKIN CO.,LTD.</t>
  </si>
  <si>
    <t>KR1101113394048</t>
  </si>
  <si>
    <t>C&amp;C INTERNATIONAL CO., LTD.</t>
  </si>
  <si>
    <t>This company, with registered head office located in Hwaseong-Si, Republic of Korea, is engaged in the manufacture of cosmetics. It offers innovative products, reasonable price, and the highest quality service with constant research and development. Through its effort, it aims to be a great company in the color cosmetic industry. It makes every effort to improve quality of the products and technical development in order to make a world's best color cosmetics for point make up. The company was established in 1997. It has exported to Southeast Asian nations such as Thailand, Taiwan, Malaysia and Japan. Currently, the company also exports to major prestige and mass brands in Europe, the United States and the United Kingdom.</t>
  </si>
  <si>
    <t>www.cnccosmetic.com</t>
  </si>
  <si>
    <t>352480</t>
  </si>
  <si>
    <t>Engaged in the manufacture of cosmetics</t>
  </si>
  <si>
    <t>Engaged in the manufacture of cosmetics [source: Bureau van Dijk]</t>
  </si>
  <si>
    <t>C&amp;C INTERNATIONAL CORPORATION</t>
  </si>
  <si>
    <t>KR1358110238402</t>
  </si>
  <si>
    <t>TONYMOLY CO.,LTD.</t>
  </si>
  <si>
    <t>The company is engaged manufacturing soaps, cleaning compounds, and toilet preparations. It was incorporated in 2006 and has its registered head office strategically located in Seoul, Republic of Korea. The company specializes in manufacturing and packaging prestige crystal lipstick, fact shine finish luminous, intense repair sunscreen snail, honey-non-skin solutions dual mask, and pore tightening spot plough Australia. The company has a state-of-the-art plant and facilities capable of producing soap and cleaning compounds, as well as employs staff and trained repair persons with specialized technical skills in manufacturing. Its products and other care items are distributed from fixed point-of-sale locations in Seoul.</t>
  </si>
  <si>
    <t>www.tonystreet.com</t>
  </si>
  <si>
    <t>214420</t>
  </si>
  <si>
    <t>B</t>
  </si>
  <si>
    <t>Engaged manufacturing soaps, cleaning compounds, and toilet preparations</t>
  </si>
  <si>
    <t>- Established in July 2006 for the purpose of manufacturing and selling cosmetics and franchising, and has a number of brand shops and listed on the securities market in July 2015.- The products are produced by outsourcing production method and are mainly produced by Korea Kolmar Co., Cosmax Co., Ltd. and Kosemeca Korea Co., Ltd., which are the three largest domestic cosmetics manufacturers in Korea.- In order to develop cosmetics OEM / ODM business for domestic and overseas cosmetics maker Megacos acquired, the production plant was completed in Hwaseong Bio Valley, Gyeonggi Province in May 2017, and a factory is being established in China.</t>
  </si>
  <si>
    <t>KR1101113500249</t>
  </si>
  <si>
    <t>LIUZHOU LIANGMIANZHEN CO.,LTD.</t>
  </si>
  <si>
    <t>This company is engaged in the manufacture and sale of oral hygiene products, disposable sanitary napkin and sale of medicine and metal products. It was incorporated in 1994 and is based in Liuzhou City, China.The company offers a wide range of products including cleansing tissues, disposable diapers, facial tissues, sanitary naplins, table naplins, toilet paper, paper towels, tampons, among others. These products are distributed in the local and international marketplaces.</t>
  </si>
  <si>
    <t>www.lmz.com.cn</t>
  </si>
  <si>
    <t>600249</t>
  </si>
  <si>
    <t>Engaged in the manufacture and sale of oral hygiene products, disposable sanitary napkin and sale of medicine and metal products</t>
  </si>
  <si>
    <t>The Company mainly engaged in the  daily chemical industry, which divides business into five parts of daily, paper, medicine, fine chemical and real estate, implements the operation mode of 'related diversified development, professional management and integrated operation', and is committed to developing 'big consumption and big health' industry.</t>
  </si>
  <si>
    <t>CN31584PC</t>
  </si>
  <si>
    <t>HABALABORATORIES,INC.</t>
  </si>
  <si>
    <t>The company is engaged in the manufacture and sale of cosmetics, as well as dietary supplements. Its registered head office is located in Tokyo, Japan. It was established in May of 1983. The company manufactures cosmetics through a subsidiary and purchases dietary supplements from other manufacturers. For the domestic market, its five subsidiaries, each covering a specific sales region, are in charge of marketing and sales activities of its products. The company offers its products by wholesale distribution to department stores and through mail order services to general customers. It also handles wholesale distribution to retailers and wholesalers, as well as the sale of products at its own retail stores. The company has a nationwide sales network, as well as an overseas sales network in the United States through its United States subsidiary. It also has business operations located in Hong Kong, Singapore, Taiwan, Mongolia, and Korea.</t>
  </si>
  <si>
    <t>Manufacturing; Retail</t>
  </si>
  <si>
    <t>www.haba.co.jp</t>
  </si>
  <si>
    <t>4925</t>
  </si>
  <si>
    <t>Engaged in the manufacture and sale of cosmetics, as well as dietary supplements</t>
  </si>
  <si>
    <t>The Company is principally engaged in the manufacture and sale of cosmetics, as well as the sale of dietary supplements.</t>
  </si>
  <si>
    <t>JP5010001066200</t>
  </si>
  <si>
    <t>SANITAR CO., LTD.</t>
  </si>
  <si>
    <t>The company is primarily engaged in the manufacture and sale of bathroom accessories. It was founded in 1985, and is based in New Taipei, Taiwan. The company's products include lavatories such as wash basins, counter basins, artifcial flagstone counters, ceramic boards, art basin suite, unity basin suite, art basins, counter basin suite, customized cabinets, and wall-hung and mirror cabinets; toilet products such as water closets, wall-hung urinals, electronic bidets, easten toilets, urinals, and decorative toilets, as well as mop tups and aid cleaning sets; and faucets comprising well-chosen mixer, shower mixer, bathtub mixer, shower handle, wallrod glider, shower panel, and one-touch faucets. It also produces accessories such as toilet brush holders, soap dish holders, counter basin holders, nursery platforms, laundry ropes, clothes hooks, shower curtain sets, ash trays, hand wash containers, paper towel containers, mirrors, soap dishes, tumbler holders, ashtray holders, robe hooks, towel rings, toilet paper holders, shelves, towel bars, handrails, seat covers, hand spray for bidets, drains, flush valves, P-pipes, shower heads, high pressure tubes, waste pipe adaptors, water tank fittings, exhaust fans, soap dispensers, and air flushes. Its products are marketed and sold throughout Taiwan and internationally in cooperation with its local and foreign business partners and affiliates.</t>
  </si>
  <si>
    <t>www.caesar.com.tw</t>
  </si>
  <si>
    <t>Taiwan, China</t>
  </si>
  <si>
    <t>1817</t>
  </si>
  <si>
    <t>Engaged in the manufacture and sale of bathroom accessories</t>
  </si>
  <si>
    <t>The Company is a Taiwan-based company principally engages in sales of various kinds of sanitary equipment and peripheral products. The Company's main products include bathtubs, toilets, water supply apparatus, cabinets, basins and peripheral products. The Company also provides installation and maintenance services for sanitary equipment. The Company distributes its products in domestic market and to overseas markets, such as Vietnam.</t>
  </si>
  <si>
    <t>TW22746550</t>
  </si>
  <si>
    <t>NIPPON SHIKIZAI INC</t>
  </si>
  <si>
    <t>The company is engaged in the research, development and production of makeup cosmetics, basic cosmetics and quasi drugs. It was established in March of 1957 and has its registered corporate headquarters located in Minato-ku, Japan. Some of the company's cosmetic products are foundation, eye shadow, rouge, lipsticks, lip creams, moisturizers, and sunscreen lotions. Its pharmaceutical products include econazole, medicinal toothpastes, mouthwashes, ear washes, and feminine hygiene products. The company's main customers are the cosmetics and pharmaceutical industry. Its production facilities are located in Japan and France.</t>
  </si>
  <si>
    <t>www.shikizai.com</t>
  </si>
  <si>
    <t>4920</t>
  </si>
  <si>
    <t>Engaged in the research, development and production of makeup cosmetics, basic cosmetics and quasi drugs</t>
  </si>
  <si>
    <t>The Company is a Japan-based company primarily engaged in the research, development and manufacture of cosmetics and medical products.</t>
  </si>
  <si>
    <t>JP1010401022715</t>
  </si>
  <si>
    <t>KCI CO.,LTD.</t>
  </si>
  <si>
    <t>This company, based in the Republic of Korea, is engaged in the research, development, production, and distribution of a range of household chemicals. It was established in 1985 and has its registered head office based in Seosan-si.The company provides various polyquaternium products, cationic guar polymers, cationic surfactants, hydrogels, polyglycerines, PGL esters, fatty acid esters, methyl glucoside derivatives, preservatives, emulsion polymers, and resins.</t>
  </si>
  <si>
    <t>www.kciltd.com</t>
  </si>
  <si>
    <t>036670</t>
  </si>
  <si>
    <t>Engaged in the research, development, production, and distribution of a range of household chemicals</t>
  </si>
  <si>
    <t>- Established in July 1991 to manufacture and sell polymers and surfactants used as premium additives for shampoo and conditioner. It was listed on the KOSDAQ market in January 2001.- Company supply hair care ingredients to multinational companies around the world such as L''Oreal, Unilever and P &amp; G, and LG H &amp; H and AMOREPACIFIC have secured sales networks in the domestic market.- While enjoying a unique position in the domestic market, the company is strengthening its position in the domestic and overseas markets, including the growth of the global hair care market and the introduction of niche markets.</t>
  </si>
  <si>
    <t>KEONCHANG CO.,LTD.</t>
  </si>
  <si>
    <t>KR1244110011884</t>
  </si>
  <si>
    <t>HANKOOK COSMETICS MANUFACTURING CO.,LTD.</t>
  </si>
  <si>
    <t>This company is primarily engaged in the manufacture of perfumes, cosmetics and other toilet preparations. The company, established in 1962, was formerly known as Hankook Cosmetics Co., Ltd. The registered head office of the company is located in Seoul, Republic of Korea. The company is listed on the Korea Stock Exchange under the ticker symbol 003350.The company provides base, cleansing, whitening and makeup products for the skin, as well as body lotions and perfumes. The company markets its products under the brand names, A3F, caLLI, Temptation, OSSION, SANSIM, CONTINUE HM, IDEM, GALENIC, ANNICK GOUTAL, XIAN, Beautri, CHESS THE CLASSIC and other brands. Its cosmetic products are exported to the United States, China and Japan. The company's domestic factory is located in Chungcheongbuk Province.</t>
  </si>
  <si>
    <t>www.hkcosm.com</t>
  </si>
  <si>
    <t>003350</t>
  </si>
  <si>
    <t>A-</t>
  </si>
  <si>
    <t>Primarily engaged in the manufacture of perfumes, cosmetics and other toilet preparations</t>
  </si>
  <si>
    <t>manufacturer wih CGMP and ISO 22716 certifications as well as qualified production and quality management system. It secured product technology through its own research centre.- Along with expanding cosmetics OEM and ODM market, the company is strengthening its business as an OEM/ODM specialized company thgouh high level of technology and stable market network.</t>
  </si>
  <si>
    <t>HANKOOK COSMETICS CO.,LTD.</t>
  </si>
  <si>
    <t>A3F, caLLI, Temptation, OSSION, SANSIM, CONTINUE HM, IDEM, GALENIC, ANNICK GOUTAL, XIAN, Beautri, CHESS THE CLASSIC</t>
  </si>
  <si>
    <t>KR1101110037427</t>
  </si>
  <si>
    <t>MANYO FACTORY CO., LTD.</t>
  </si>
  <si>
    <t>This company is engaged in the wholesale of perfumes, cosmetics and other toilet preparations. It was incorporated in 2012. It conducts business from its registered head office located in Seoul, Republic of Korea. The company's business activities include the wholesale of perfumes (natural and synthetic), cosmetics, and other toilet preparations. It is also involved in blending and compounding perfume bases, as well as the manufacture and sale of shampoos and shaving products, whether from soap or synthetic detergents.</t>
  </si>
  <si>
    <t>www.manyo.co.kr</t>
  </si>
  <si>
    <t>439090</t>
  </si>
  <si>
    <t>Engaged in the wholesale of perfumes, cosmetics and other toilet preparations</t>
  </si>
  <si>
    <t>Engaged in the wholesale of perfumes, cosmetics and other toilet preparations [source: Bureau van Dijk]</t>
  </si>
  <si>
    <t>MANYO FACTORY CO.,LTD.</t>
  </si>
  <si>
    <t>KR1101114810308</t>
  </si>
  <si>
    <t>HYUNDAI BIOLAND CO.,LTD.</t>
  </si>
  <si>
    <t>This company is engaged in the manufacture and sale of cosmetics, and medicinal and food products. Founded in 1995, the company has its registered office located in Chungcheongnam-Do, Republic of Korea. It is a leading firm in bio technology. It offers cosmetic products, medicinal and food products. Its cosmetic products include arbutin, cellplus and fructan, which are used for personal care as moisturizing, anti-inflammation and skin whitening. Its food products consists of agaricus mycelium, selcus mycelium, nutra-HA, isovone and green tea extract, among others. The company's pharmaceutical products encompass arpicot extract, arubtin, areca catechu, astrin-ag and bio glucan, among others, are widely used for anti-aging, anti-inflammatory, anti-irritation and anti-bacterial. Further, the company distributes its products in more than 18 countries including Brazil, Japan, France, United Arab of Emirates, Thailand and the United States.</t>
  </si>
  <si>
    <t>www.hyundaibioland.co.kr</t>
  </si>
  <si>
    <t>052260</t>
  </si>
  <si>
    <t>Engaged in the manufacture and sale of cosmetics, and medicinal and food products</t>
  </si>
  <si>
    <t>- Established in September 1995 for the purpose of manufacturing and selling raw materials such as pharmaceuticals, cosmetics and functional foods using natural products, and listed on the KOSDAQ market in May 2001.- In January 2015, SKC is expanding into China, North and South America, and Southeast Asian markets based on SKC''s global channels as it is a core subsidiary of SK.- In line with the transfer of SK affiliates, SK Energy changed its name to SK Bioland in July 2016 and expects growth through synergies with SKC, the largest shareholder.</t>
  </si>
  <si>
    <t>SKBIOLAND CO.,LTD.</t>
  </si>
  <si>
    <t>KR1101111192981</t>
  </si>
  <si>
    <t>SD BIOTECHNOLOGIES CO., LTD.</t>
  </si>
  <si>
    <t>This company is engaged in the manufacture of cosmeceutical products. It was established in 2008. The company is headquartered in Seoul, Korea.It is a leading beauty and health company specialized in cosmeceutical products closely related to dermatology. The company's main cosmetic brand SNP is a leader in K-beauty Wave. It represents high quality products made under its original concept with premium ingredients. The company also offers its products under the Seoul Café brand name.With the purpose to develop consumer-need-oriented dermatology, it established ‘Central Dermatology Research Center’in September 2015. The institute focuses on producing cosmetic products backed by adequate scientific research. Its dermatology center in this R&amp;D facility is committed to ‘continuous research and production of certified products, combing the latest dermatological technology with clean and pure natural ingredients’.The company also operates in China and the United States.</t>
  </si>
  <si>
    <t>www.sdbiotech.co.kr</t>
  </si>
  <si>
    <t>217480</t>
  </si>
  <si>
    <t>Engaged in the manufacture of cosmeceutical products</t>
  </si>
  <si>
    <t>- Cosmetics manufacturing and sales company that mainly produces basic skin care products and mask packs including trouble care products and listed on the Kosdaq market in March 2017.- The representative product is sea bird''s nose mask pack, and it manufactures products through OEM Korea Co., Ltd. Kosupakku. It has overseas manufacturing and sales corporations in USA, China and Vietnam.- Establishment of SDI Life Sciences, making it into a global cosmetics company by entering the hair care business and entering into the cosmetics and health functional food market with the addition of Cellevue, Soleek, and Alpha B &amp; H subsidiaries.</t>
  </si>
  <si>
    <t>KR1101113971466</t>
  </si>
  <si>
    <t>I FAMILY SC CO.,LTD.</t>
  </si>
  <si>
    <t>This company is engaged in the provision of computer programming, data processing, and other computer related services. It was incorporated in 2000. The registered head office of the company is located in Seoul, Republic of Korea. The company specialises in the provision of a wide variety of specialised hosting activities, such as web hosting, application service provisioning, general time-share mainframe facilities, and streaming services or application hosting. It is also active in the provision of professional and technical computer-related services and advice. In addition, the company assists in the collection and documentation of users' requirements; and development of logical and physical specifications.</t>
  </si>
  <si>
    <t>www.ifamily.co.kr</t>
  </si>
  <si>
    <t>114840</t>
  </si>
  <si>
    <t>B-</t>
  </si>
  <si>
    <t>Engaged in the provision of computer programming, data processing, and other computer related services</t>
  </si>
  <si>
    <t>Engaged in the provision of computer programming, data processing, and other computer related services [source: Bureau van Dijk]</t>
  </si>
  <si>
    <t>I WEDDING NETWORKS CO.,LTD.</t>
  </si>
  <si>
    <t>KR1101111892333</t>
  </si>
  <si>
    <t>NEOPHARM CO.,LTD.</t>
  </si>
  <si>
    <t>This company is engaged in the development and manufacture of skin care products. It was incorporated in 2000. The company is headquartered in Daejeon, South Korea.It mainly provides products under three brands: ATOPALM, including daily care, intensive care, special care and baby care products; Dr.MLE, including foam cleansers, oil cleansers, toners, emulsions, creams, facial masks, blemish base (BB) creams, sun protectors, white watering serums, anti-aging eye creams and others, and ZEROID, including creams and lotions for recovering damaged skin barriers and hypollalergenic foaming cleansers for atopy and sensitive skins. The company markets its product through online shopping malls and television home shopping channels, infant shops, hospitals, pharmacies and exports.</t>
  </si>
  <si>
    <t>www.neopharm.co.kr</t>
  </si>
  <si>
    <t>092730</t>
  </si>
  <si>
    <t>Engaged in the development and manufacture of skin care products</t>
  </si>
  <si>
    <t>- Established in July 2000, it has been producing sensitive skin care products such as moisturizers and securing the technology of international patented skin barrier technology MLE (Multi-Lamellar Emulsion).- The ''Atopam'' brand has a unique competitiveness in the moisturizing category of skin care.- As a subsidiary, Neopharm (Huzhou) Trading Co., Ltd., a cosmetics sales subsidiary in China, is in the process of expanding overseas sales.</t>
  </si>
  <si>
    <t>ATOPALM; Dr.MLE; ZEROID</t>
  </si>
  <si>
    <t>KR1601110100688</t>
  </si>
  <si>
    <t>UNILEVER NEPAL LIMITED</t>
  </si>
  <si>
    <t>This company, formerly Nepal Lever Limited, is primarily engaged in the manufacture and supply of detergent, soap and other personal care products. It was incorporated in 1992. The company has a registered office located in Makawanpur, Nepal.The company is one of the largest personal care company in South Asia. It produces a wide range of detergent powder, toilet soap and toothpaste, as well as hair care and skin care products. It distributes its products under the brands Lux, Close-Up, and Pepsodent. It markets products in North America, South America, Western Europe, Eastern Europe, Eastern Asia, Southeast Asia, the Middle East, Africa and Oceania.The company is a subsidiary of Hindustan Lever Ltd. which is located in India.</t>
  </si>
  <si>
    <t>www.unilevernepal.com</t>
  </si>
  <si>
    <t>Nepal</t>
  </si>
  <si>
    <t>UNL</t>
  </si>
  <si>
    <t>Primarily engaged in the manufacture and supply of detergent, soap and other personal care products</t>
  </si>
  <si>
    <t>The Company is engaged in manufacturing detergents, scorers, laundry soaps, soap noodles, toilet soap and personal care products.</t>
  </si>
  <si>
    <t>Lux, Close-Up, and Pepsodent</t>
  </si>
  <si>
    <t>NP30013FB</t>
  </si>
  <si>
    <t>CONG TY CO PHAN BOT GIAT NET</t>
  </si>
  <si>
    <t>This company is engaged in the manufacture and supply of household products. It was established in 1968. The company is headquartered in Dong Nai, Vietnam. It is listed on the Hanoi Securities Trading Center under the ticker symbol NET. The registered head office of the company is located in Dong Nai, Vietnam.It offers detergents, including washing powder, dishwater, floor cleaner and glass cleaner, as well as liquid fabric softener. It also cooperates with Unilever Vietnam Limited to manufactures and exports detergents and other cleaning products. Its products are exported to Japan, Australia, Cuba, Taiwan, Philippines, Cambodia, New Zealand, Thailand, India and Latin America.The company aims to supply consumers with products and services satisfying their demands. It strives to become a detergent manufacturer that offers the best quality and lowest production costs in Southeast Asia.</t>
  </si>
  <si>
    <t>www.netcovn.com.vn</t>
  </si>
  <si>
    <t>NET</t>
  </si>
  <si>
    <t>Engaged in the manufacture and supply of household products</t>
  </si>
  <si>
    <t>Business category: Production of purchasing detergents, cosmetics and other materials related to the cosmetics industry, purchasing the supplies and cleaning chemicals industry;  Leasing warehouses, factories, offices;  Real estate business;  Motel hotel business (activities outside the province);  Production of bottled water (not produced at the office);  Road transportation.</t>
  </si>
  <si>
    <t>CONG TY BOT GIAT NET</t>
  </si>
  <si>
    <t>VN4703000053</t>
  </si>
  <si>
    <t>C'BON COSMETICS CO LTD</t>
  </si>
  <si>
    <t>The company is engaged in the manufacture and sale of perfumes, cosmetics and other toilet preparations. It was incorporated in the year 1966 and it conducts business from its registered head office which is located in Tokyo, Japan.The company primarily offers the following products: micronizing products, mascara, retractile eye liner, lip glow, micronized cream powder, loose powders, blushes, solar make-up, mouse make up, depilatory bands, and face bar. The company operates chemical development laboratories, and develops state-of-the-art production machineries. Serious and efficient service makes the company distinguished developers and producers for market leading brands. Its products are also distributed in China, Hong Kong, South Korea, Taiwan, and Singapore.</t>
  </si>
  <si>
    <t>www.cbon.co.jp</t>
  </si>
  <si>
    <t>4926</t>
  </si>
  <si>
    <t>The Company is a company mainly engaged in the manufacture and sale of cosmetics and quasi drugs with a focus on skin care products.</t>
  </si>
  <si>
    <t>JP4010401012787</t>
  </si>
  <si>
    <t>COREANA COSMETICS CO.,LTD.</t>
  </si>
  <si>
    <t>A company engaged in the manufacture and sale of cosmetics and beauty products in the Republic of Korea and internationally. It was incorporated in 1988 and has its head office located in Chungcheongnam-do, Republic of Korea. The company's major products are categorized into three: the skin care, makeup and body and fragrance products. The skin care products include facial cleansers, facial masks, skin toners, facial serums, essences, eye creams, moisturizers and facial creams. The makeup products include makeup bases, facial foundations, loose and pressed powders, blushes, eyebrow pencils, eye shadows, eye liners, mascaras and others. Lastly, the body and fragrance products consist of shampoos, hair conditioners, hair sprays, body cleansers, soaps, wrinkle creams, whitening creams, sun blocks and other related products. These products are marketed under the brand names: Bio Defense, Coreana, Entia, Nokdu, Remit, Senite, Develo and Zebec. Its products are distributed domestically and internationally, including China, Taiwan, Mongolia, Australia, Vietnam, Singapore and the United States.</t>
  </si>
  <si>
    <t>www.coreana.com</t>
  </si>
  <si>
    <t>027050</t>
  </si>
  <si>
    <t>Engaged in the manufacture and sale of cosmetics and beauty products</t>
  </si>
  <si>
    <t>- Company is manufacturing and selling cosmetics as main business. Company have many cosmetics brands such as Ravida / Zain / Koreana / Mungo / Senite / Jigaein / Encyclopedia / Ten Seasons.- Company is responding to the creation of new demand through the development of high-functional raw materials, product launches and diversification of distribution channels. Company is also conducting brand ODM / OEM business through subsidiary KORIYA and Tianjin Co., Ltd.- Completion of a new factory in Tianjin, China in 2016, with subsidiary KORIANA Tianjin Co., Ltd., a subsidiary of China, and Artpia Co., Ltd., a wholesale and retailer of cosmetics.</t>
  </si>
  <si>
    <t>SARANGS COMSMETIC CO.</t>
  </si>
  <si>
    <t>Bio Defense, Coreana, Entia, Nokdu, Remit, Senite, Develo and Zebec</t>
  </si>
  <si>
    <t>KR1101110597166</t>
  </si>
  <si>
    <t>COTA CO.,LTD.</t>
  </si>
  <si>
    <t>This company is engaged in the manufacture and trade of cosmetic and medical products for hair care. It was incorporated in 1979 and has its registered office in Kyoto, Kyoto, Japan. This company's products include hair dressing products, such as spray, foam, wax and lotion; toiletries, such as shampoo and treatment products; and coloring products, including hair dyes and hair manicure, as well as hair growing agents and perm products. In addition, it provides tools for beauty salons, and others; and courses for assistant stuff. The company's products are marketed and sold throughout Japan and internationally in cooperation with its local and foreign business partners and affiliates.</t>
  </si>
  <si>
    <t>www.cota.co.jp</t>
  </si>
  <si>
    <t>4923</t>
  </si>
  <si>
    <t>Engaged in the manufacture and trade of cosmetic and medical products for hair care</t>
  </si>
  <si>
    <t>Cota Co Ltd is a maker of products for beauty salons.</t>
  </si>
  <si>
    <t>JP9130001033317</t>
  </si>
  <si>
    <t>MEDIENCE CO.,LTD.</t>
  </si>
  <si>
    <t>This company is engaged in the manufacture and sale of baby care products in South Korea and other foreign countries. It was incorporated in April 1979. It was formerly known as Boryung Cosmetics Co., Ltd. which existed until July 1998. It conducts business from its registered head office which is strategically located in Seoul, Republic of Korea.The company serves as a leading baby care product company in South Korea. The company manufactures baby skin care products, baby clothing, personal care products, baby feeding accessories, diapers, toys, and baby food products. Its major brand names include NUK, Dr. ato, Tartine, Oshkosh B' Gosh, Fischer Price, Pureganic, Sebamed, HINOKI, BIENTOT MOM, B&amp;B, Playtex, I.MOM, Kewpie, Salva, Chocolat, BB House, and i-mom house. The company has strategic alliances with import and export companies situated in China, Taiwan, Japan, Germany, United States, and France. The company distributes its products through its baby products stores across South Korea. It operates as one of the principal subsidiaries of Boryung Corporation, an industrial enterprise which was incorporated in August 1984 and is involved in the wholesale trade and distribution of groceries and food related products.</t>
  </si>
  <si>
    <t>www.medience.co.kr</t>
  </si>
  <si>
    <t>014100</t>
  </si>
  <si>
    <t>Engaged in the manufacture and sale of baby care products in South Korea and other foreign countries</t>
  </si>
  <si>
    <t>- Established in April, 1979 for the main business of manufacturing cosmetics, quasi-drugs and children''s clothing, wholesale and retail.- Skin care brand Dr. Ato, B &amp; B detergent / softener for household goods, breast milk brand brand, premium baby boutique Bottatin Chocolate and mua.- Following the establishment of Tianjin Business Co., Ltd. in China in 2013, the Company will open Shanghai branch office in July 2015, and will strengthen its position in the industry with the growth of the market for juvenile suits in China.</t>
  </si>
  <si>
    <t>BORYUNG MEDIENCE CO.,LTD.</t>
  </si>
  <si>
    <t>KR1101110252471</t>
  </si>
  <si>
    <t>CTK CO.,LTD.</t>
  </si>
  <si>
    <t>This company is engaged in providing formulation, packaging, and customized innovation of cosmetics. It was established in 2001. The registered head office of the company is located in Seoul, Republic of Korea. It is a leading innovator in cosmetic packaging and beauty product formulation. The company provides full-scale capabilities for the design and development of cosmetic packaging and full-service formulation development. Its products include packaging products (applicator, compact and palette, dropper, eyes - mascara and eyeliner, jar, lips, metal, PET, pump, and tube and tottle); make-up (BB cream, cheeks, eye, face, lip and multi-usage); and skincare (cleansing, eye, face, mask and series). The company partners with a wide range of globally recognised brands.</t>
  </si>
  <si>
    <t>www.ctkcosmetics.com</t>
  </si>
  <si>
    <t>260930</t>
  </si>
  <si>
    <t>Engaged in providing formulation, packaging, and customized innovation of cosmetics</t>
  </si>
  <si>
    <t>- Established in May 2001 and listed on the KOSDAQ market in December 2017 as a full service platform company that externally produces cosmetics and containers and exports them to global brand companies.- The first full-service turn-key business in Korea that provides all-in-one processes from product planning, development and production, quality control, and shipment as a one-stop service.- Company manage its customers through the database of its own CGCS and secure global cosmetics brands such as L''Oreal, LVMH and Estee Lauder as major customers.</t>
  </si>
  <si>
    <t>CTK COSMETICS CO.,LTD.</t>
  </si>
  <si>
    <t>KR1101112233560</t>
  </si>
  <si>
    <t>TS TRILLION CO.,LTD.</t>
  </si>
  <si>
    <t>This company, which is based in Republic of Korea, is engaged in the manufacture and sale of shampoo, dye, and toothpaste as well as hair loss strategies and processes that cover the entire process. It was founded in 2010 and has its registered business address located in Seoul.It is a global company that represents Korea and provides customized products with leading technology, is growing with customers by providing the best service through businesses such as shampoo, dye, and toothpaste as well as hair loss strategies and processes that cover the entire process. In particular, it continues to grow steadily every year by securing competitiveness through the establishment of the best experts and state-of-the-art IT systems.</t>
  </si>
  <si>
    <t>www.tstrillion.com</t>
  </si>
  <si>
    <t>317240</t>
  </si>
  <si>
    <t>Engaged in the manufacture and sale of shampoo, dye, and toothpaste as well as hair loss strategies and processes</t>
  </si>
  <si>
    <t>Engaged in the manufacture and sale of shampoo, dye, and toothpaste as well as hair loss strategies and processes [source: Bureau van Dijk]</t>
  </si>
  <si>
    <t>HI SPECIAL PURPOSE ACQUISITION COMPANY IV CO.,LTD.</t>
  </si>
  <si>
    <t>KR1101116982139</t>
  </si>
  <si>
    <t>BONNE CO.,LTD.</t>
  </si>
  <si>
    <t>This company is engaged in the provision of investment and financial services in the Republic of Korea. It was incorporated in 2015. The company conducts its business from its registered head office which is located in Seoul.The company invests in financial assets of various business enterprises throughout the country. In addition, it caters financial intermediation and depository credit intermediation services. The company has active operation mainly in the domestic market.</t>
  </si>
  <si>
    <t>www.bonne.co.kr</t>
  </si>
  <si>
    <t>226340</t>
  </si>
  <si>
    <t>Engaged in the provision of investment and financial services in the Republic of Korea</t>
  </si>
  <si>
    <t>- Cosmetics import / export business, health food import / export business, cosmetic processing business, real estate leasing business. In October 2018, it merged with SPAC of HMC III Ivy 3 and listed on the KOSDAQ market.- As a company that develops and manufactures cosmetics, it is engaged in OEM and ODM business, manufacturing cosmetics through its own brands such as touch insole, medisol, and color bucket.- As a major ODM customer, Company have acquired Retail Channel such as Watson, Mannings, Guardians, Sephora, and color cosmetics brands such as Stila, Lorac.</t>
  </si>
  <si>
    <t>HMCIB NO.3 SPECIAL PURPOSE ACQUISITION COMPANY LTD.</t>
  </si>
  <si>
    <t>KR1101115794478</t>
  </si>
  <si>
    <t>DO DAY DREAM PUBLIC COMPANY LIMITED</t>
  </si>
  <si>
    <t>This company is engaged in the manufacturing and distributing skin care and supplements. It was founded on September 2010 and has its registered head office in Thailand.Its mission is to be a leader in delivering exceptional experiences in health and lifestyle businesses. The company offers skin care products under the brand NAMU LIFE, which is a prominent player in Thailand. The products have been designed for all skin types to naturally promote radiance and vitality from the inside.</t>
  </si>
  <si>
    <t>www.dodaydream.com</t>
  </si>
  <si>
    <t>DDD</t>
  </si>
  <si>
    <t>Engaged in the manufacturing and distributing skin care and supplements</t>
  </si>
  <si>
    <t>The Company is a manufacturer and distributor of skin care and supplements.  The company's objective is to conduct the business of manufacturing and distributing skin care and supplements.</t>
  </si>
  <si>
    <t>DO DAY DREAM COMPANY LIMITED</t>
  </si>
  <si>
    <t>TH0107560000109</t>
  </si>
  <si>
    <t>BEAUTY SKIN CO.,LTD.</t>
  </si>
  <si>
    <t>This company is engaged in the sales and distribution of cosmetics and skincare products in South Korea. It was incorporated in 2012 and has its registered office based in Incheon, Republic of Korea. It is registered as a limited liability company. It operates its business primarily in the domestic market.The company has a large inventory of its products, as well as employs staff that provides necessary assistance and services, and are trained to provide information on many lines of cosmetics and skincare products being wholesaled. Its selling activities are present across Incheon and in major regions throughout Republic of Korea via other retailers and other trading establishments.</t>
  </si>
  <si>
    <t>www.beautyskincorp.co.kr</t>
  </si>
  <si>
    <t>406820</t>
  </si>
  <si>
    <t>Engaged in the sales and distribution of cosmetics and skincare products</t>
  </si>
  <si>
    <t>Engaged in the sales and distribution of cosmetics and skincare products [source: Bureau van Dijk]</t>
  </si>
  <si>
    <t>KR1201110590960</t>
  </si>
  <si>
    <t>KODI CO.,LTD.</t>
  </si>
  <si>
    <t>The company is a firm which is engaged in the manufacture of display systems and batteries. The company was established in the year 1992. It has its registered business address located in Gyeonggi-do, Republic of Korea with additional facility in Taiwan.The company is a leader in the display and semiconductor sector. It specializes in the manufacture of FPD (flat panels displays) and forklift storage batteries. The company is committed to continue to analyze the changes, create the future and strive to occupy the market.</t>
  </si>
  <si>
    <t>www.kodi.co.kr</t>
  </si>
  <si>
    <t>080530</t>
  </si>
  <si>
    <t>Engaged in the manufacture of display systems and batteries</t>
  </si>
  <si>
    <t>- The company is engaged in Probe Unit, Probe Card manufacturing, Probe Card, Semiconductor inspection equipment, and Semiconductor production equipment manufacturing, which are inspection equipment for LCD and LED.- Most sales are generated through production of LCD panel inspection equipment and semiconductor manufacturing equipment, and other sales are generated through electric car chargers.- Subsidiaries include domestic company Techno Probe Korea Co., Ltd., Paros Vaccine Co., Ltd. and Kodis Electronics (Suzhou) Co., Ltd., China.</t>
  </si>
  <si>
    <t>KODI-S CO.,LTD.</t>
  </si>
  <si>
    <t>KR1301110050847</t>
  </si>
  <si>
    <t>KARYON INDUSTRIES BERHAD</t>
  </si>
  <si>
    <t>The company, based in Malaysia, operates as an investment holding company engaged in the provision of stock broking services and other related investment management services. It was incorporated in 2003 and has its registered head office in Johor Darul Ta'zim.The company holds a group engaged in the manufacture and trading of PVC, chemicals, and industrial products in Malaysia. The group also offers polymeric and oleochemical products; foam boosters, concentrated detergent pastes, washing detergents, and shampoos. Some of the company's subsidiaries are Hsing Lung Sdn. Bhd., a company engaged in the manufacturing and trading of polyvinyl chloride, chemicals and industrial products; Karyon (Malaysia) Sdn. Bhd., a company involved in the manufacturing of foam booster, concentrated detergent paste, washing detergent and shampoo; and Allbright Industries (M) Sdn. Bhd., a company engaged in the manufacturing and trading of plastic and industrial chemicals.</t>
  </si>
  <si>
    <t>www.karyongroup.com.my</t>
  </si>
  <si>
    <t>0054</t>
  </si>
  <si>
    <t>Operates as an investment holding company engaged in the provision of stock broking services and other related investment management services</t>
  </si>
  <si>
    <t>Karyon Industries is principally an investment holding company. The principal activities of the subsidiaries are that of manufacture and trading of PVC, platic, industrial chemicals, foam booster, detergent and shampoo.</t>
  </si>
  <si>
    <t>MY612797-T</t>
  </si>
  <si>
    <t>MAYWUFA COMPANY LTD.</t>
  </si>
  <si>
    <t>This company is engaged in the research and development, production and distribution of a wide range of pharmaceutical, hair and beauty products and other drugstore products. It also provides consultation of management of drugstore and the storage industry. The company was established in 1976, and headquartered in Taipei, Taiwan.The company's products include medicines, medical equipment, nutrition and health care food, shampoo, bath milk, hair dyeing products, scented soap, hair typing products and hair care products, among others. In addition to products, the company further offers cosmetic articles (coloring cream, hot oil, shampoo, shower gel, and power sunscreen lotion), health articles, sports equipment and related devices, vitamin pills, oral nutrition liquid, medical products, mineral substance food, article for babies, and general food.The company provides effective distribution channels and marketing for domestic and international pharmaceutical and biotechnological companies. It sells products for well-known global pharmaceutical companies, such as Novartis, Bristol-Myers Squibb, Novo Nordisk, Daiichi, Hisamitsu, Eli Lilly, and Kawasumi among others. The company has formed a strategic alliance with DKSH to provide logistics services with the most updated technology for 500 hospitals, 3,000 clinics, 5,000 pharmacies, 198 regional distributors and 7,380 general stores.</t>
  </si>
  <si>
    <t>www.maywufa.com.tw</t>
  </si>
  <si>
    <t>1731</t>
  </si>
  <si>
    <t>Engaged in the research and development, production and distribution of a wide range of pharmaceutical, hair and beauty products and other drugstore products</t>
  </si>
  <si>
    <t>The Company  is a Taiwan-based company engaged in the distribution of pharmaceuticals and the manufacture, processing and distribution of hair care products. The Company's pharmaceuticals include medicines, medical equipment, nutrition and health care food products. Its hair care products include bath gel, shampoo, conditioners, hair coloring products and hair care products, among others. During the year ended December 31, 2013, the Company obtained approximately 74.15% and 25.85% of its total revenue from pharmaceuticals and hair care products, respectively. It operates its businesses principally in Taiwan.</t>
  </si>
  <si>
    <t>TW14089976</t>
  </si>
  <si>
    <t>INNATURE BERHAD</t>
  </si>
  <si>
    <t>This company operates as an investment holding firm. It was incorporated in 1994 and is based in Selangor, Malaysia. The company handles the administrative affairs and services of a holding company and grants management services to its subsidiaries. It also provides financial support and control function for the board. In addition, it is responsible for managing the group and its overall legal structure, tax planning, financial and equity structures. Furthermore, the company is involved in matters of policy, strategic planning, marketing, selecting and manning senior management positions, approving investments and budgets, and the overall ongoing monitoring of the group companies' performance.</t>
  </si>
  <si>
    <t>5295</t>
  </si>
  <si>
    <t>Operates as an investment holding firm</t>
  </si>
  <si>
    <t>The Company's principal activity - engaged in providing c.</t>
  </si>
  <si>
    <t>MY320598-X</t>
  </si>
  <si>
    <t>OCEANUS GROUP LIMITED</t>
  </si>
  <si>
    <t>This company is a marine aquaculture specialist focusing on large-scale, land-based, industrialized production and sale of Japanese abalones. It was incorporated in November 1998 and has its registered business office of the company is located in Singapore, Singapore.The company is engaged in the sale of aquaculture products. It operates through live marine products segment. The company produces abalones with a production capacity of approximately 26,000 abalone tanks. Its products are canned abalone and dry abalone. It sells live marine products and processed marine products. Its total caged Abalone population is over 8,220 million units. It works with an Australian processor for the supply of abalone meat for canning and making dried abalones. It also invests in research and development to breed abalone and premium seafood, such as fish, prawn and sea cucumber. It is diversifying its business units into fast-moving consumer goods, such as canned abalone, premium seafood products and frozen seafood products. Its farms are located along the coastal lines of Fujian and Guangdong provinces in the People's Republic of China.</t>
  </si>
  <si>
    <t>www.oceanus.com.sg</t>
  </si>
  <si>
    <t>Singapore</t>
  </si>
  <si>
    <t>579</t>
  </si>
  <si>
    <t>A marine aquaculture specialist focusing on large-scale, land-based, industrialized production and sale of Japanese abalones</t>
  </si>
  <si>
    <t>The Company is selling abalone juveniles</t>
  </si>
  <si>
    <t>TR NETWORKS LTD</t>
  </si>
  <si>
    <t>SG199805793D</t>
  </si>
  <si>
    <t>NOW COS CO.,LTD.</t>
  </si>
  <si>
    <t>This company is an entity based in Republic of Korea that is engaged in the manufacture and wholesale trade of cosmetics, toiletries and other related products. It started its operations in 2000, and has its registered business office located in Sejong-Si, Republic of Korea. The company offers a wide range of cosmetics, including primers, foundations, powders, concealers, shine control, make-up removers, eye shadows, eye liners, mascara, faux lashes, eye brows, glosses, lipsticks, plumpers, tints and stains, pencils, treatments, and brushes and applicators. In addition, it also offers styling tools, such as curling and flat irons, dryers, and brushers; and haircare products, including shampoos and conditioners. Further, the company provides bath and body products, such as body cleansers and moisturizers, body treatments, and suncare products, as well as nail and pedicure products. These are offered to the general consumers. The company has its active operations in Republic of Korea.</t>
  </si>
  <si>
    <t>www.nowcos.com</t>
  </si>
  <si>
    <t>257990</t>
  </si>
  <si>
    <t>Engaged in the manufacture and wholesale trade of cosmetics, toiletries and other related products</t>
  </si>
  <si>
    <t>Engaged in the manufacture and wholesale trade of cosmetics, toiletries and other related products [source: Bureau van Dijk]</t>
  </si>
  <si>
    <t>KR1211110074525</t>
  </si>
  <si>
    <t>ADJUVANT HOLDINGS CO.,LTD.</t>
  </si>
  <si>
    <t>The company is a firm based in Japan that is engaged in the research, development, manufacture, and sale of cosmetic products. It was incorporated in 1998 and has its registered business office strategically located in Kobe-Shi. It provides skin care products, including cleansing products, facial cleansers, lotions, essence, masks, moisturizing creams, makeup bases, and makeup products; hair care products comprising shampoos, scalp lotions, and scalp cleansing and styling products; and other products, such as body care products, and supplements. The company sells its products to salons directly, as well as through agents. It has its active operations within the country.</t>
  </si>
  <si>
    <t>www.adjuvant.co.jp</t>
  </si>
  <si>
    <t>4929</t>
  </si>
  <si>
    <t>Engaged in the research, development, manufacture, and sale of cosmetic products</t>
  </si>
  <si>
    <t>The Company is mainly engaged in the planning, research and development, and sale of adjuvant cosmetics for beauty salons, barbers and esthetic salons, as well as the provision of related services.</t>
  </si>
  <si>
    <t>ADJUVANT COSME JAPAN CO LTD</t>
  </si>
  <si>
    <t>JP2140001015675</t>
  </si>
  <si>
    <t>DR.WU SKINCARE CO., LTD.</t>
  </si>
  <si>
    <t>The company is engaged in developing skincare products. It was incorporated in the year 2003. Its registered head office is strategically located in the city of Taipei, Taiwan.The company offers cleansers, masks, serums, moisturizers, toners, supplements, and sunscreen and eye care products, as well as makeup, treatment, and body products. Its businesses include corporate management consulting, hospital management consulting, beauty salon, slimming beauty, nutrition consulting, electronic information providing, wholesale of cosmetics, intellectual property rights, international trading, among others.</t>
  </si>
  <si>
    <t>www.drwu.com</t>
  </si>
  <si>
    <t>6523</t>
  </si>
  <si>
    <t>Engaged in developing skincare products</t>
  </si>
  <si>
    <t>The Company is engaged in the provision of cosmetics related products. Its businesses include corporate management consulting, hospital management consulting, beauty salon, slimming beauty, nutrition consulting, electronic information providing, wholesale of cosmetics, intellectual property rights, international trading, among others.</t>
  </si>
  <si>
    <t>TW80167706</t>
  </si>
  <si>
    <t>SEWHA P&amp;C INC.</t>
  </si>
  <si>
    <t>This company, with registered head office located in Seoul, Republic of Korea, is engaged in acquiring and merging other companies of growth-oriented industries. It focuses its merger targets in software and relevant service, mobile industries, displayer industries, game industries, new energy, electronic and telecommunication industries, and bio and medical industries. The company was incorporated in 2016.</t>
  </si>
  <si>
    <t>www.sewha.co.kr</t>
  </si>
  <si>
    <t>252500</t>
  </si>
  <si>
    <t>Engaged in acquiring and merging other companies of growth-oriented industries</t>
  </si>
  <si>
    <t>- A specialized manufacturer and distributor of hair dye and hair care, with its headquarters and factory in Jincheon, Chungcheongbuk-do, Seoul, and merged with IBKS GMBS in September, 2017 and listed on KOSDAQ.- Major products are hair dye, which has various types of hair dye production technology. Company is also expanding its product line with launch of hair care products, and OEM / ODM business in hair dye and hair cosmetics.- Main brands are Richena, High Speedy, Lahenne, Moremo, etc., and OEM and ODM business is conducted for AMOREPACIFIC, Cosmos, Korean cosmetics.</t>
  </si>
  <si>
    <t>IBKSGMB SPECIAL PURPOSE ACQUISITION COMPANY</t>
  </si>
  <si>
    <t>KR1101116153095</t>
  </si>
  <si>
    <t>COLORAY INTERNATIONAL INVESTMENT CO LIMITED</t>
  </si>
  <si>
    <t>This firm is a Hong Kong based holding company whose subsidiaries are engaged in the manufacture of nacreous pigments. It was incorporated in 2013. It conducts business from its registered head office located in Hong Kong SAR, China. The company handles the administrative affairs and grants management services to its subsidiaries. It also provides financial support and control function for the board. In addition, the company is involved in matters of policy, strategic planning, marketing, selecting and manning senior management positions, approving investments and budgets, and the overall ongoing monitoring of the group companies' performance. Further, the company is responsible for managing the group and its overall legal structure, tax planning, financial and equity structures.</t>
  </si>
  <si>
    <t>Hong Kong SAR, China</t>
  </si>
  <si>
    <t>900310</t>
  </si>
  <si>
    <t>Hong Kong based holding company whose subsidiaries are engaged in the manufacture of nacreous pigments</t>
  </si>
  <si>
    <t>The Company is an investment holding company principally engaged in the manufacture and distribution of cosmetics grade pearlescent pigments.</t>
  </si>
  <si>
    <t>HK42121FK</t>
  </si>
  <si>
    <t>IVY COSMETICS CORPORATION</t>
  </si>
  <si>
    <t>This company is engaged in the production of comprehensive cosmetics, hair care and skin care products. It was founded in December 1975 and conducts business from its registered business address located in Tokyo, Japan. The company's operations are carried out through the following business divisions: Door-to-Door Cosmetics Marketing and Direct Cosmetics Marketing. Its Door-to-Door Cosmetics Marketing division has active interests in developing, manufacturing and selling cosmetic products, non-pharmaceutical products, beauty supplements and other cosmetics products. This division also provides products for skin care, makeup, hair care, men's cosmetic products, beauty supplements and beauty-related products. Its products are marketed under the brand names, namely Ateur, Basic EX, BLANCREER, IVYMAKE, RHABIESTHE, ITN and New Clean QII. Its Cosmetics Marketing division has active interests in the development and direct sale of cosmetic, non-pharmaceutical and other products.</t>
  </si>
  <si>
    <t>www.ivy.co.jp</t>
  </si>
  <si>
    <t>4918</t>
  </si>
  <si>
    <t>Engaged in the production of comprehensive cosmetics, hair care and skin care products</t>
  </si>
  <si>
    <t>Cosmetics maker with skin-care products as mainline.</t>
  </si>
  <si>
    <t>JP3010401000784</t>
  </si>
  <si>
    <t>OUTIN FUTURES CO.,LTD.</t>
  </si>
  <si>
    <t>This company operates as a design and cosmetic development company worldwide. It was founded in 2000 and has its registered office in Seoul, Republic of Korea.The companyy provides package design solutions, product development, and research and development services to the beauty and health industry. The company offers professional ODM services for sheet masks, hydrogel masks and patches, skin care and sun care products, and face make up. It also provides emotional, beauty, and health branding services ranging from concept development to delivering final products.</t>
  </si>
  <si>
    <t>www.outinco.com</t>
  </si>
  <si>
    <t>227610</t>
  </si>
  <si>
    <t>Operates as a design and cosmetic development company worldwide</t>
  </si>
  <si>
    <t>- Established in December 2000 with the main business purpose of cosmetics research and development, sales business and industrial design business, it is engaged in cosmetics business of cosmetics ODM and neogen.- It has secured it''s own production facility infrastructure through the CGMP certified Chungju plant. It is also launching domestic home shopping, H &amp; B store, and US Cellular, and establishing and expanding global distribution channels.- It has been selected as an official design partner of domestic cosmetics companies such as AMOREPACIFIC and has secured a design competence with a history of winning the World Design Awards including the Red Dot Awards.</t>
  </si>
  <si>
    <t>KR1101112131821</t>
  </si>
  <si>
    <t>ROJUKISS INTERNATIONAL PUBLIC COMPANY LIMITED</t>
  </si>
  <si>
    <t>This company, formerly known as Agenz Co, is engaged in soap, cleaning compound, and toilet preparation manufacturing. It conducts business from its registered head office located in Huai Khwang, Bangkok, Thailand. The company was founded in March 2007.The company's business operation specialises in the manufacture of a wide range of skin care products, cosmetic products, and food supplements. It sells its products in Thailand and abroad such as Laos, Cambodia and Indonesia under various brands. In addition, the company aims to be the future leader in beauty and health in Asia. Further, the company has a state-of-the-art plant and facilities capable of producing soap and cleaning compounds, as well as employs staff and trained persons with specialised technical skills in manufacturing.</t>
  </si>
  <si>
    <t>www.rojukiss.com</t>
  </si>
  <si>
    <t>KISS</t>
  </si>
  <si>
    <t>Engaged in soap, cleaning compound, and toilet preparation manufacturing</t>
  </si>
  <si>
    <t>The Company is service Wholesale and retail of cosmetic products and various types.</t>
  </si>
  <si>
    <t>AISANCE CO LTD</t>
  </si>
  <si>
    <t>TH0107563000185</t>
  </si>
  <si>
    <t>NFC CORPORATION</t>
  </si>
  <si>
    <t>This company is engaged in the manufacture of cosmetic raw materials. It is headquartered in Incheon City, Republic of Korea and has its own laboratory and manufacturing facilities. Founded in 2007, it has grown consistently for the last decade. It has developed cutting edge technology that can stabilise insoluble materials such as Ceramide, Sphingolipids and UV-filters, so that they can easily be applied to cosmetic products. The company provides not only cosmetic raw materials but also their guide formulations along with application guides.</t>
  </si>
  <si>
    <t>www.nfccosmetic.co.kr</t>
  </si>
  <si>
    <t>265740</t>
  </si>
  <si>
    <t>Engaged in the manufacture of cosmetic raw materials</t>
  </si>
  <si>
    <t>Engaged in the manufacture of cosmetic raw materials [source: Bureau van Dijk]</t>
  </si>
  <si>
    <t>KR1201110608755</t>
  </si>
  <si>
    <t>GENIC CO,.LTD.</t>
  </si>
  <si>
    <t>The company is engaged in the manufacture and sale of cosmetics and toilet preparations in the Republic of Korea and internationally. It was founded in September of 2001 and has its registered head office in the city of Seoul in the Republic of Korea.The company's products are soluble hydrogel and essence masks as well as eye patches and medical biopatches. Product brands include Lasante, Sante Nouveau, Puretree and Lasante Day Spa. As part of its business, it provides product development and overseas business consulting services. The company's quality management system is certified according to ISO9001 standards. The company has its plant in Seoul, which covers an area of 3,685m3.</t>
  </si>
  <si>
    <t>www.genic21.com</t>
  </si>
  <si>
    <t>123330</t>
  </si>
  <si>
    <t>Engaged in the manufacture and sale of cosmetics and toilet preparations</t>
  </si>
  <si>
    <t>- The company was established in Septebmer, 2001 with major business purpose of developing, manufacturing, and selling of mask packs for skin care, functional cosmetics and pharmaceutical patches.- Company have patent of manufacturing technology of water-soluble hydrogel mask pack. Company manufacture its own brand products based on mask pack production technology and conduct OEM / ODM business for domestic and overseas cosmetics brands.- In-house brands include functional cosmetics, such as Cellera and Skin Science. They also include Rasitte, a skin care product line, Pairte Nubo, a mask pack product, and Puretree, a basic cosmetics product line.</t>
  </si>
  <si>
    <t>KR1345110052677</t>
  </si>
  <si>
    <t>KOREA MIRACLE PEOPLE COMPANY LTD.</t>
  </si>
  <si>
    <t>This company is engaged in the manufacture and trade of soaps and detergents. It started its operations in June 2014. The registered business office of the company is located in Pocheon-si, Republic of Korea.The company is principally involved in producing laundry and cleaning agents, as well as cleaning and polishing preparations. It also produces cleaning compounds and toilet preparation products. These products are offered to residential, commercial and industrial customers. The company has its active operations within the country.</t>
  </si>
  <si>
    <t>www.kmpc.co.kr</t>
  </si>
  <si>
    <t>331660</t>
  </si>
  <si>
    <t>Engaged in the manufacture and trade of soaps and detergents</t>
  </si>
  <si>
    <t>Engaged in the manufacture and trade of soaps and detergents [source: Bureau van Dijk]</t>
  </si>
  <si>
    <t>LEEHOGYEONG CO.</t>
  </si>
  <si>
    <t>KR2844110077460</t>
  </si>
  <si>
    <t>MIKOBEAUTE INTERNATIONAL CO., LTD.</t>
  </si>
  <si>
    <t>This company is engaged in the retail sale of natural skin care and cosmetic products in Taiwan. It was incorporated in 2002 and has its registered business office located in Taipei, Taiwan.The company sells a wide range of skin care and cosmetic products, including cleansers, exfoliating products, moisturizing, eye treatments, targeted treatments, and other related products. It sells products under Envie De Neuf brand name. It has display equipment with a large inventory of its products, as well as employs staff that provides necessary assistance and services, and are trained to provide information on many lines of natural skin care and cosmetic products being wholesaled.</t>
  </si>
  <si>
    <t>www.mikobeaute.com</t>
  </si>
  <si>
    <t>6574</t>
  </si>
  <si>
    <t>Engaged in the retail sale of natural skin care and cosmetic products in Taiwan</t>
  </si>
  <si>
    <t>The Company mainly engaged in cosmetics wholesale business. Its main products include skin care products, facial mask and repair products, cleaning products and others. The Company markets the products under the brand EDN, NU derma, L'herboflore, among others.</t>
  </si>
  <si>
    <t>Envie De Neuf</t>
  </si>
  <si>
    <t>TW80281973</t>
  </si>
  <si>
    <t>SUZHOU MISIFU COSMETICS CO.,LTD</t>
  </si>
  <si>
    <t>This company is a Chinese-based enterprise engaged in the manufacture of cosmetics and skin care products. It operates its business primarily in the domestic market. The company was incorporated in 2011. Its registered business office is based in Suzhou, Jiangsu, China. The company is committed to unifying the integration of Jiangnan culture and arts aesthetics and skin aesthetics, and giving Jiangnan's unique cultural genes to Jane's image design, merging the classic and fashion reorganization. It integrates modern elements such as fashion, and selects the world's top quality skin care ingredients to create a Jiangnan woman-like Hydra skin for oriental women who are pursuing exquisite beauty, natural beauty, and watery beauty.</t>
  </si>
  <si>
    <t>www.misifu.cn</t>
  </si>
  <si>
    <t>836831</t>
  </si>
  <si>
    <t>Engaged in the manufacture of cosmetics and skin care products</t>
  </si>
  <si>
    <t>The Company mainly engaged in cosmetics manufacturing.</t>
  </si>
  <si>
    <t>CN48247PC</t>
  </si>
  <si>
    <t>MAXIGEN BIOTECH INC</t>
  </si>
  <si>
    <t>The company, with registered head office located in New Taipei, Taiwan, is engaged in the development, manufacture, and marketing of biomedical and cosmeceutical skincare products in Taiwan and abroad. The company's medical devices are used in various applications, including orthopedics, such as Formagraft bone graft substitute, Foramic bone graft substitute, and ArtiAid Intra-articular injection; ophthalmics consists of ViscAid, an ophthalmic viscosurgical device; and dental comprising GingivAid collagen dental graft, FormaAid collagen membrane, Foramic bone graft substitute, and SurgiAid collagen wound dressing. It also provides skincare products, such as masks; and make up remover, cleansing, exfoliating, toner, essence, nutritious cream, men's care, sunscreen, body care, hand/foot care, and special care series products. In addition, the company offers facial soothing skin reinvigorating, herbal whitening, potent anti-acne, and ageless lifting collections under BIOFLASH, as well as crystal peptide collection under Dr. Neo brands. It has a collaboration agreement with Swiss Temmentec and Infinitec Lab of the University of Barcelona in Spain to develop an anti-aging ingredient-Crystal Peptide II. The company was founded in 1998.</t>
  </si>
  <si>
    <t>www.mbi.com.tw</t>
  </si>
  <si>
    <t>1783</t>
  </si>
  <si>
    <t>Engaged in the development, manufacture, and marketing of biomedical and cosmeceutical skincare products in Taiwan and abroad</t>
  </si>
  <si>
    <t>The Company is a Taiwan-based company principally engaged in the manufacture and sales of biological products, the wholesale of all kinds of medical equipment, medicines, foods, masks, skin care products, as well as the manufacture and sales of chemical materials. The Company operates through two main segments. The Consumer Products segment is mainly engaged in the wholesales of cleansing products, facial care products, medical beauty products and others. The Biomedical Products is mainly involved in the manufacture and sales of Formagraft collagen and ceramic composite material products, Foramic ceramic bone feed materials, Artiaid hyaluronic acid joint injection products, ViscAid ophthalmology viscoelastic agents, as well as SurgiAid wound collagen materials and others.</t>
  </si>
  <si>
    <t>TW16749811</t>
  </si>
  <si>
    <t>MAO BAO INC.</t>
  </si>
  <si>
    <t>This company is primarily engaged in processing, manufacture, distribution and marketing of cleansing products. It was established in 1978. It is headquartered in Taipei, Taiwan. The company provides main laundry detergents, assistant laundry detergents, household cleansing products and other cleansing products, including dishwashing liquid, cold water wash detergent (including the anti-dust mite and anti-bacterial version), anti-dust mite and anti-bacterial liquid laundry detergent, softener (flower-scented and anti-dust mite, forest bath scented, and anti-mold), collar wash detergent, and specialized cleaners (including wash tank and water pot cleaners). Its products are marketed under a number of leading brands, such as Mao Bao, Quan Xiao, Hao Wu Bi, Quan Qian-Pro, and Salute-B. The company has its factory in Hukou Industrial Park, which is part of Taiwan's Hsinchu County. It maintains an effective and efficient sales force and network. Also, the company has three branch offices situated in Taipei County, Taichung City, and Kaohsiung City. The company strives to achieve product excellence, innovation, and superior quality. It caters its products in order to meet customer's needs and attain user satisfaction. Also, the company aims to provide a cleaner and safer living environment.</t>
  </si>
  <si>
    <t>www.maobao.com.tw</t>
  </si>
  <si>
    <t>1732</t>
  </si>
  <si>
    <t>Engaged in processing, manufacture, distribution and marketing of cleansing products</t>
  </si>
  <si>
    <t>The Company mainly engaged in the processing, manufacturing, sales and import and export trading of cleaning products. The Company's main products include laundry detergents, such as laundry concentrates, collar detergents and softeners; household cleaning products, such as glass, kitchens, as well as bathrooms and floor cleaning products; viscose sponge products, such as gloves, mops and towels; personal care products, such as shower creams, hand sanitizers and shampoos. The Company mainly distributes its products in domestic and overseas markets.</t>
  </si>
  <si>
    <t>TW34245356</t>
  </si>
  <si>
    <t>PT MUSTIKA RATU TBK</t>
  </si>
  <si>
    <t>This company is engaged in the manufacture, trade and distribution of herbal-based and natural cosmetics, and herbal drinks. It was established in 1975. The company is headquartered in Jakarta, Indonesia.It offers various beauty products which include hair care, facial care, body care, basic make up, and beauty supplements. The company's factory is situated in Jalan Raya Bogor, East Jakarta, Indonesia. It markets its products to Malaysia, Brunei, Singapore, Hong Kong, Japan, Saudi Arabia, Nigeria, Czech Republic, Russia, and Papua New Guinea.It is the leader in the industry of Jamu (herbal) and natural-based cosmetics in Indonesia. It aims to be a leading company in manufacturing traditional cosmetics and herbal, whose products are distributed widely in both domestic and international market.</t>
  </si>
  <si>
    <t>www.mustika-ratu.com</t>
  </si>
  <si>
    <t>MRAT</t>
  </si>
  <si>
    <t>Engaged in the manufacture, trade and distribution of herbal-based and natural cosmetics, and herbal drinks</t>
  </si>
  <si>
    <t>The scope of its activities comprise manufacturing, trading and distribution of herbal and traditional cosmetics, health drinks and other related activities.</t>
  </si>
  <si>
    <t>ID30273FD</t>
  </si>
  <si>
    <t>FUJIAN JUNJIE NEW MATERIAL TECHNOLOGY CO., LTD.</t>
  </si>
  <si>
    <t>This company is primarily engaged in the manufacture of ceramic sanitary fixtures. It was founded in 1995 and has its registered business office located in Ningde, Fujian, China. The company specialises in the production of sanitary appliances inlcuding enamel steel bathtubs, shower trays and stainless steel sinks, among others. It is also involved in shaping, molding, glazing, and firing pottery, ceramics, and plumbing fixtures made entirely or partly of clay or other ceramic materials.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</si>
  <si>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872721</t>
  </si>
  <si>
    <t>Engaged in the manufacture of ceramic sanitary fixtures</t>
  </si>
  <si>
    <t>The Company is mainly engaged in the development, production and sales of special ceramic products. The product series include
Eight series of combined honeycomb ceramics, layered honeycomb ceramics, slot honeycomb ceramics, ordinary honeycomb ceramics, hexagonal honeycomb ceramics, corrugated honeycomb ceramics, bulk ceramic fillers, ceramic fracturing proppants, etc.</t>
  </si>
  <si>
    <t>CN52991PC</t>
  </si>
  <si>
    <t>ANHUI QI JIA DETERGENT PRODUCTS CO.,LTD.</t>
  </si>
  <si>
    <t>This company is engaged in the manufacture and sale of cleaning products, soap and other detergents. The company was incorporated in 2001. Its registered business office is based in Huaibei, China.The company's business activities include the manufacture and sale of soap, synthetic organic detergents, and inorganic alkaline detergents. It is also involved in the manufacture of specialty cleaning, polishing and sanitation preparations.</t>
  </si>
  <si>
    <t>838865</t>
  </si>
  <si>
    <t>Engaged in the manufacture and sale of cleaning products, soap and other detergents</t>
  </si>
  <si>
    <t>The Company is mainly engaged in the research and development, production and sales of household washing products.</t>
  </si>
  <si>
    <t>CN52355PC</t>
  </si>
  <si>
    <t>SKIN&amp;SKIN CO.,LTD.</t>
  </si>
  <si>
    <t>The company is primarily engaged in the production of chemicals and chemical products. It was incorporated in June of 2006. The registered business office of the company is located in Siheung-Si, Republic of Korea.The company offers a wide range of products such as OLED materials, DSSC dyes, OTFT materials and variety of organic materials based on the organic dyes.This producer of chemicals and chemical products is active and operational in the Republic of Korea.</t>
  </si>
  <si>
    <t>www.skinnskin.co.kr</t>
  </si>
  <si>
    <t>159910</t>
  </si>
  <si>
    <t>Primarily engaged in the production of chemicals and chemical products</t>
  </si>
  <si>
    <t>- June, 2006 It was established for the purpose of manufacturing and processing basic compounds, pharmaceuticals, food additives, manufacturing and processing of display materials and parts.- Subsidiaries to be consolidated include MBK Entertainment, Lamy Cosmetics Manufacturing Co., Ltd. and Brunei subsidiary, and are diversifying businesses such as cosmetics through subsidiaries.- In January 2017, Company established CMDL Co., Ltd. by splitting the OEM production of organic materials for OLED (Cheonan factory) and merged its subsidiary SKIN &amp; SKIN in March with the aim of expanding the cosmetics business.</t>
  </si>
  <si>
    <t>MBK CO.,LTD.</t>
  </si>
  <si>
    <t>KR1311110165843</t>
  </si>
  <si>
    <t>ECOCERA OPTRONICS CO., LTD.</t>
  </si>
  <si>
    <t>This company, based in Taiwan, is engaged in the production of ceramic substrates. It was incorporated in 2011 and has its registered headquarters based in Taoyuan City.The company is involved in the manufactures of ceramic substrates and filter products for emissions control in mobile and stationary applications including mechanical structural ceramic parts, metalized ceramics, electric ceramics, fashion ceramics, and ceramic blades, as well as alumina substrates and nitride substrates, among others. The company serves electronics, telecommunication, machinery, electric, environmental protection, energy, and fashion industries. In addition, it distributes its products to wholesalers and retailers, as well as other network distributors.</t>
  </si>
  <si>
    <t>www.ecocera.com.tw</t>
  </si>
  <si>
    <t>6597</t>
  </si>
  <si>
    <t>Engaged in the production of ceramic substrates</t>
  </si>
  <si>
    <t>The Company is a Taiwan-domiciled company principally engaged in the manufacture of ceramic cooling substrate productions and the integration and design of ceramic circuit board process. The Company's main products include high-power LED (light-emitting diodes) cooling substrate, LED cooling module, concentrating solar substrate, passive components and high-power electronic components, among others. The Company's products are used in LED lighting, automotive lighting, mobile phone LED flash, UV (ultraviolet), displays and other applications.</t>
  </si>
  <si>
    <t>TW53125710</t>
  </si>
  <si>
    <t>PEE CEE COSMA SOPE LIMITED</t>
  </si>
  <si>
    <t>This company manufactures and sells soaps and detergents in India. Its products primarily include detergent powders and cakes, and laundry soaps. The company offers its products through a network of distributors and retailers under the Doctor brand name. The company was founded in 1947 and is based in Agra, India.</t>
  </si>
  <si>
    <t>www.doctorsoap.com</t>
  </si>
  <si>
    <t>524136</t>
  </si>
  <si>
    <t>Manufactures and sells soaps and detergents in India</t>
  </si>
  <si>
    <t>The Company is engaged in the manufacture and sale of washing soaps, detergent powders, detergent cakes, and personal care products in India.  Its personal care products include herbal creams, herbal moisturizing body lotions, and herbal shampoos.  The Company sells its products under the Doctor brand name.</t>
  </si>
  <si>
    <t>IN32220FI</t>
  </si>
  <si>
    <t>SWADESHI INDUSTRIAL WORKS PLC</t>
  </si>
  <si>
    <t>The company is engaged in the manufacture and marketing of toilet soaps, laundry soaps, detergents, and personal care products in Sri Lanka. It was founded in 1938 and it conducts business from its registered head office which is located in Kandana, Sri Lanka.Some of the company's products are the following: Rani Soap, Rani Shower Gel, Rani King Coconut Shampoo, Khomba Soap, Khomba Herbal, Shower Cream, Khomba Herbal Shampoo, Khomba Baby Soap, Khomba Baby Cream, Khomba Baby Cologne, Khomba Baby Shampoo, Khomba Baby Oil, Lady Perfume, Lady Shower Gel, Apsara Venivel Ayurvedic Soap, Black Eagle Colonge Spray, And Black Eagle After Shave. The company has herbal ayurvedic heritage and is focus on personal care products that offered safe and gentle care using hand picked ingredients from nature. The company markets its products through distributors and dealers to consumers and institutional customers. It focuses on numerous quality enhancement processes, such as, ISO 9002, 5S, Kaizan, Quality Circles, to ensure continuous improvement in its product offering. Further, the company is committed to delighting its customers by providing products of the highest quality standard.</t>
  </si>
  <si>
    <t>www.swadeshiherbal.com</t>
  </si>
  <si>
    <t>SWAD.N0000</t>
  </si>
  <si>
    <t>Engaged in the manufacture and marketing of toilet soaps, laundry soaps, detergents, and personal care products in Sri Lanka</t>
  </si>
  <si>
    <t>The Company is engaged in manufacturing and marketing of toilet soaps, laundry soaps, detergents and personal care products.</t>
  </si>
  <si>
    <t>LK30213FS</t>
  </si>
  <si>
    <t>JINCOSTECH CO,.LTD</t>
  </si>
  <si>
    <t>This company is engaged in the manufacture of cosmetics. It was founded in 2010. The registered business office of the company is located in Siheung-si, Republic of Korea.The company offers skincare masks, toner, emulsion, cream, cleansing, essence, body lotion, body wash, body cream, body oil, and baby products. It also provides whitening, anti-wrinkle, sunblock, and multi-functional creams.The company is active and operational in the Republic of Korea.</t>
  </si>
  <si>
    <t>www.jincostech.com</t>
  </si>
  <si>
    <t>250030</t>
  </si>
  <si>
    <t>JIN COSTECH CO.,LTD.</t>
  </si>
  <si>
    <t>KR1314110243742</t>
  </si>
  <si>
    <t>NORDMASON CO.,LTD.</t>
  </si>
  <si>
    <t>This company is engaged in the manufacture and distribution of cosmetics and fragrances. It conducts business from its registered head office located in Seoul, Republic of Korea. The company was established in 2013.The company's products include gels and oils for tanning; functional cosmetics; night cream; lip balm; mask pack for cosmetic purposes; make-up; skin and anti-aging moisturizers; body oils; cosmetic preparations for body care; body skin and anti-aging cleanser; sun block cosmetics; eye cream; cosmetic nourishing creams; anti-wrinkle creams; facial cream; facial cleansers; cosmetics for the face and body; face oils; hand cream; and perfumes and toilet waters.</t>
  </si>
  <si>
    <t>www.huxley.co.kr</t>
  </si>
  <si>
    <t>317860</t>
  </si>
  <si>
    <t>Engaged in the manufacture and distribution of cosmetics and fragrances</t>
  </si>
  <si>
    <t>Engaged in the manufacture and distribution of cosmetics and fragrances [source: Bureau van Dijk]</t>
  </si>
  <si>
    <t>KYUBEUAENKO CO.,LTD.</t>
  </si>
  <si>
    <t>KR1101115209310</t>
  </si>
  <si>
    <t>MCLEAN TECHNOLOGIES BERHAD</t>
  </si>
  <si>
    <t>The company is a Malaysia-based enterprise that provides precision cleaning and washing solutions for components of HDD, media cassettes, and trays, as well as medical devices and other components. It conducts its business from its registered head office located in Kuala Lumpur, Malaysia. It was incorporated in the year 2010.The company provides precision cleaning, clean room assembly, and sorting services to the HDD and semiconductor industries; and engaged in the sale of electronic components. It also provides precision plastic injection mouldings for components of HDD, including filters, media cassettes, and trays, as well as components for other industries comprising automotive, electronic, and electrical industries. The company provides its products and services to manufacturers and suppliers of HDD main components primarily in Malaysia, Singapore, and China.</t>
  </si>
  <si>
    <t>www.mclean.com.sg</t>
  </si>
  <si>
    <t>0167</t>
  </si>
  <si>
    <t>Provides precision cleaning and washing solutions for components of HDD, media cassettes, and trays, as well as medical devices and other components</t>
  </si>
  <si>
    <t>The Group's principal activities are:
1) The provision of precision cleaning and washing solutions for components of HDD, media cassettes, trays, as well as medical devices and other components that require a high level of precision cleaning; and
2) The provision of precision plastic injection moulding for components of HDD such as filters, media cassettes and trays including components for other industries such as automotive, electronic and electrical industries.</t>
  </si>
  <si>
    <t>MY893631-T</t>
  </si>
  <si>
    <t>KM PHARMACEUTICAL CO.,LTD.</t>
  </si>
  <si>
    <t>This company is engaged in the manufacture and distribution of oral care products. It was incorporated in 2015 and conducts business from its registered business address located in Pyeongtaek-Si, Korea. The company supplies toothbrush and toothpaste, as well as a wide range of cosmetics and beauty care products. Its products are sold in the domestic market through its comprehensive marketing network.</t>
  </si>
  <si>
    <t>www.kmkmp.com</t>
  </si>
  <si>
    <t>225430</t>
  </si>
  <si>
    <t>Manufacture and distribution of oral care products</t>
  </si>
  <si>
    <t>- The company is engaged in the business of manufacturing and selling Oral Care products, beauty care products, and other baby products.- Toothpastes for infants / adults, toothbrushes, baby shampoos and bodywashes are the main products. In addition, household goods such as dehumidifiers, fragrances, wipes, and tissue paper are also sold.- It is generating sales by signing an agreement with Iconic Co., Ltd., an animation planning specialist, for the use of characters (Pororo, friends, and small buses).</t>
  </si>
  <si>
    <t>IBKS NO.3 SPECIAL PURPOSE ACQUISITION COMPANY</t>
  </si>
  <si>
    <t>KR1101115779909</t>
  </si>
  <si>
    <t>ENG KAH CORPORATION BERHAD</t>
  </si>
  <si>
    <t>This company, based in Malaysia, operates as an investment holding firm with subsidiaries engaged in the manufacture and sale of personal care, household, perfume, and toiletry products. It was incorporated in 1997 and has its registered headquarters located in Penang. The company offers perfume spray, roll-on, aerosol spray, deo-stick and lipstick, and cream products; face powder/face cosmetics, eye cosmetics, lip cosmetics/lip care pencil, and hair cosmetic products; and body wash/scrub, body moisturizer, slimming, and hair care products. Its household products include mouth fresheners, toothpastes, bust contouring creams, bust maximizers, and buttock contouring creams, as well as kitchen, house/toilet, and car products. It also provides skin care products, such as cleanser/scrub mask, moisturizers, day and night care, eye care treatment, and toner products.</t>
  </si>
  <si>
    <t>www.eng-kah.com</t>
  </si>
  <si>
    <t>7149</t>
  </si>
  <si>
    <t>Operates as an investment holding firm with subsidiaries engaged in the manufacture and sale of personal care, household, perfume, and toiletry products</t>
  </si>
  <si>
    <t>The Company is an investment holding company involved in the manufacturing and sale of personal, household, perfume and toiletry products.</t>
  </si>
  <si>
    <t>MY435649-H</t>
  </si>
  <si>
    <t>GFC LIFE SCIENCE CO.,LTD.</t>
  </si>
  <si>
    <t>This company is engaged in the development of cosmetic products. It conducts business from its registered head office located in Hwaseong-si, Republic of Korea and was established in 2002. The company uses its strong research power and develops innovative cosmetics using a variety of sources. It makes customize products based on its scientific specialties and know-how and its marketing concept and formulation studies are done based on the clients' needs. Its cosmetic raw materials, marketing concepts, clinical studies, formulation guidelines, and other information such as scientific publications and patents are designed to help clients achieve maximum market impact. It secures competitiveness in the market through research and development using natural materials, and excavates materials according to rapid changes in the trend. It also provides services to satisfy customers' needs such as storytelling and professional data collection. Its materials are used and continuously recognized in many famous brand products. It was able to provide a total solution to its customers and to grow outwardly. The company also used Korea Skin Research Institute, a research institute specializing in clinical evaluation tests for cosmetics, as its subsidiary.</t>
  </si>
  <si>
    <t>www.gfcos.co.kr</t>
  </si>
  <si>
    <t>388610</t>
  </si>
  <si>
    <t>Engaged in the development of cosmetic products</t>
  </si>
  <si>
    <t>Engaged in the development of cosmetic products [source: Bureau van Dijk]</t>
  </si>
  <si>
    <t>GFC CO.,LTD.</t>
  </si>
  <si>
    <t>KR1101112548993</t>
  </si>
  <si>
    <t>BEAUTY COMMUNITY PCL</t>
  </si>
  <si>
    <t>The company is engaged in the retail sale of beauty products in Thailand. It was incorporated in 2010 and conducts business from its registered head office located in Bangkok, Thailand.The company is primarily involved in the retail distribution of cosmetics and beauty products in Thailand. It offers make-up, skincare, and accessories under the Beauty Buffet, Beauty Cottage, and Made In Nature brand concepts. The company's target customers range from teenager to working age, as well as supermarkets. It operates 133 Beauty Buffet shops and 26 Beauty Cottage shops. It serves customers through a network of retail shop, modern trade, wholesale, franchise, and international agency channels.</t>
  </si>
  <si>
    <t>www.beautycommunity.co.th</t>
  </si>
  <si>
    <t>BEAUTY</t>
  </si>
  <si>
    <t>Engaged in the retail sale of beauty products</t>
  </si>
  <si>
    <t>The Comkpany engages in the retail distribution of cosmetics and skincare products. The company offers a variety of beauty products through selection of high-quality ingredients and package design. The products are separated in three categories, which are make-up, skincare, and made in nature products. The company was established in 2000 and is based Bangkok.</t>
  </si>
  <si>
    <t>TH0107555000244</t>
  </si>
  <si>
    <t>POWER FULX CO.,LTD.</t>
  </si>
  <si>
    <t>This company, based in the Republic of Korea, is engaged in the retail trade of beauty products. It was incorporated in 2014 and has registered headquarters located in Seoul. The company offers a wide range of products such as foundations, eye shadow, eyeliners, care lip, nail care, facial treatment products, deodorants, hair care products, hair accessories, hair shampoo, and other products. It also offers manicure accessories, pedicure accessories, makeup accessories, cases for storage makeup tools, and fashionable accessories. The company conducts its business activities throughout the Republic of Korea and further serves the general public of the city, as well as the surrounding areas.</t>
  </si>
  <si>
    <t>www.powerfulx.com</t>
  </si>
  <si>
    <t>266870</t>
  </si>
  <si>
    <t>Engaged in the retail trade of beauty products</t>
  </si>
  <si>
    <t>Engaged in the retail trade of beauty products [source: Bureau van Dijk]</t>
  </si>
  <si>
    <t>FLEX POWER AWS CO.,LTD.</t>
  </si>
  <si>
    <t>KR1101115569079</t>
  </si>
  <si>
    <t>CNT DREAM CO.,LTD.</t>
  </si>
  <si>
    <t>This company is engaged in the manufacture of soap, cleaning compound, and toilet preparation products. It conducts business from its registered head office located in Cheonan-Si, Republic of Korea. The company was incorporated in February 2011.The company specialises soap, cleaning compound, and toilet preparation products. It manufactures these products in compliance with the standards and other technical specifications that guarantees top quality and safety. It has state-of-the-art technology and equipment for manufacturing, as well as employs certified staff skilled in manufacturing operations.</t>
  </si>
  <si>
    <t>www.cntdream.com</t>
  </si>
  <si>
    <t>286000</t>
  </si>
  <si>
    <t>Engaged in the manufacture of soap, cleaning compound, and toilet preparation products</t>
  </si>
  <si>
    <t>Engaged in the manufacture of soap, cleaning compound, and toilet preparation products [source: Bureau van Dijk]</t>
  </si>
  <si>
    <t>C&amp;T DREAM CO.,LTD.</t>
  </si>
  <si>
    <t>KR1601110294176</t>
  </si>
  <si>
    <t>INNOGENE CO.,LTD.</t>
  </si>
  <si>
    <t>This company operates as an anti-aging firm that makes a better world for the healthy life of mankind. It was established in 2005 and conducts business from its registered head office located in Seoul, Republic of Korea. The company's business operation specialises in the development of anti-aging solutions for healthy life of mankind through skin regeneration stem cell research and fusion technology of Medical Informatics. It specialises in the field of hair loss, atopy, psoriasis and medicinal cosmeterics (cosmeceutical) in skin regeneration such as improvement of elasticity and wound recovery in addition, actively exporting the world's first hair loss auto diagnosis and prognosis prediction system and professional medical equipment to 3,000 special hospitals in Korea as well as Asia and Europe. The company has core technologies for stem cells, which play a pivotal role in skin regeneration and hair follicle formation and developed the original technology to stabilize the aging regulator. It aims to do its best to become an anti-aging leader company that develops optimal treatment solutions by fusing skin regenerative stem cells with medical informatics.</t>
  </si>
  <si>
    <t>www.innogene.com</t>
  </si>
  <si>
    <t>344860</t>
  </si>
  <si>
    <t>Operates as an anti-aging firm that makes a better world for the healthy life of mankind</t>
  </si>
  <si>
    <t>Operates as an anti-aging firm that makes a better world for the healthy life of mankind [source: Bureau van Dijk]</t>
  </si>
  <si>
    <t>KR1101113301944</t>
  </si>
  <si>
    <t>SR BIOTEK INC.</t>
  </si>
  <si>
    <t>This company, with registered head office in Seongnam-si, Republic of Korea, is engaged in the development and manufacture of skin care products. It specialises in producing peeling solutions and skin restoration products based on microneedles. It offers a unique technology called Raphitox, a bio material with micro needle shaped structure made through a special refining process after the extract of animal and plant cells. Raphitox helps skin heal by itself and can be used for all skin types.The company's product lines include: Idenel Raphitox Luxury Skin Nutritive Cream, Idenel Anti-Aging Care Cream, Idenel Gold &amp; Caviar Skin Recovery Program, Idenel Basic Care, Idenel AC Solution Care, Idenel Whitening &amp; Moisture Care, and Idenel Aloe Soothing Gel. Products include moisturizing creams, cleansers, toners, cooling masks, whitening ampoules, hyaluronic serums, and soothing gels.The company is dedicated to enhancing its customers' lives with confident and healthy beauty, and exceeding their expectations with high quality skin care products based on the world's leading nano biotechnology and the technology of applying key ingredients. It was established in 2005 as a business focusing on skin restoration.</t>
  </si>
  <si>
    <t>www.srbiotek.com</t>
  </si>
  <si>
    <t>270210</t>
  </si>
  <si>
    <t>- Established in May 2007 for the purpose of manufacturing and distributing cosmetics, it is engaged in cosmetics OEM and ODM business and cosmetics manufacturing through its own brand.- its main product line is divided into OEM / ODM products and its own brand products (Idenel, Kissfil). OEM / ODM products are mainly sold domestically, and its brand products are mainly sold overseas and online.- Production of functional cosmetics using micro needle and hypotonic exfoliation cosmetics. In January 2018, Company obtained cGMP conformity certification from the Ministry of Medicine.</t>
  </si>
  <si>
    <t>URO COSMETICS CO.,LTD.</t>
  </si>
  <si>
    <t>KR1311110188085</t>
  </si>
  <si>
    <t>B&amp;D LIFE HEALTH CO LTD</t>
  </si>
  <si>
    <t>This company is engaged in the manufacture of soaps and other detergents. It was incorporated in 2012 and has its registered business office located in Incheon, Republic of Korea.The company specializes in manufacturing and packaging soaps and other detergents, such as laundry detergents, dishwashing detergents, toothpaste gels, and tooth powders, and natural glycerin. These products are sold and distributed in domestic market as well as overseas through its comprehensive marketing network. It has advanced technology and equipment for manufacturing, as well as employs certified staff skilled in manufacturing operations in compliance with the standards and other technical specifications.</t>
  </si>
  <si>
    <t>www.e-seje.com</t>
  </si>
  <si>
    <t>215050</t>
  </si>
  <si>
    <t>Engaged in the manufacture of soaps and other detergents</t>
  </si>
  <si>
    <t>The Company is a Korea-based company principally engaged in engaged in the manufacture and distribution eco-friendly laundry detergents.</t>
  </si>
  <si>
    <t>KR1101114768440</t>
  </si>
  <si>
    <t>BANKA BIOLOO LIMITED</t>
  </si>
  <si>
    <t>This company is engaged in providing sanitation infrastructure and human waste management solutions and services in India. It was founded in 2008 and is based in Hyderabad, India. The company manufactures, supplies, and installs bio-tanks for digestion of human waste. The company is also involved in the rental and AMC of mobile biotoilets; handling of low cost housing projects for sanitation requirement at rural area; sale of spares of control discharge toilet system to Indian Railways; and provision of consultancy services for development of large bio tanks, as well as waste water treatment and recycling solutions.</t>
  </si>
  <si>
    <t>www.bankabio.com</t>
  </si>
  <si>
    <t>BANKA</t>
  </si>
  <si>
    <t>Engaged in providing sanitation infrastructure and human waste management solutions and services in India</t>
  </si>
  <si>
    <t>The Company is engaged in the business of operations and maintenance of bio-toilets, consultancy for development of large bio-tank and wastewater treatment and recycling solutions.</t>
  </si>
  <si>
    <t>IN621257FI</t>
  </si>
  <si>
    <t>HANOI SOAP JOINT STOCK COMPANY</t>
  </si>
  <si>
    <t>The company is a Vietnam based enterprise engaged in the manufacture and sale of soap and other detergents. The company was established in the year 1960. Its registered business office is based in Ha Noi, Vietnam. it is registered as a limited liability company.The company's business activities include the manufacture and sale of soap, synthetic organic detergents, and inorganic alkaline detergents. It is also involved in the manufacture of crude and refined glycerin from vegetable and animal fats and oils.</t>
  </si>
  <si>
    <t>www.haso.com.vn</t>
  </si>
  <si>
    <t>XPH</t>
  </si>
  <si>
    <t>Engaged in the manufacture and sale of soap and other detergents</t>
  </si>
  <si>
    <t>The Company specializes in trading, manufacturing chemical detergents and soaps.</t>
  </si>
  <si>
    <t>VN0103006569</t>
  </si>
  <si>
    <t>XIAMEN EASY BEAUTY CO.,LTD</t>
  </si>
  <si>
    <t>This company, based in China, is engaged in the wholesale trade of beauty products and supplies. It was incorporated in 2009 and conducts business from its registered head office located in Xiamen, Fujian.The company sells a range of products include eye cream, essential oil, hand cream, black mask, compression mask, liquid foundation, pre-makeup milk, pressed powder, concealer, eyebrow powder, mascara, eyeliner, eyebrow pen, eye shadow, lip balm, bite lip makeup, lip gloss, lipstick, makeup remover, cleansing oil, and cleaning cotton. It conducts its business activities throughout China and further serves the general public of the city, as well as the surrounding areas.</t>
  </si>
  <si>
    <t>www.pba.cn</t>
  </si>
  <si>
    <t>835894</t>
  </si>
  <si>
    <t>Engaged in the wholesale trade of beauty products and supplies</t>
  </si>
  <si>
    <t>The Company is mainly engaged in the research and development of cosmetic, beauty, beauty and body instruments and network sales. The main products arePBA, YangSang, Philippines, Su Di brand cosmetics and cassava brand beauty instrument series products.</t>
  </si>
  <si>
    <t>XIAMEN MEIYI ONLINE TECHNOLOGY COMPANY LIMITED</t>
  </si>
  <si>
    <t>CN47101PC</t>
  </si>
  <si>
    <t>CONTINENTAL CHEMICALS LTD</t>
  </si>
  <si>
    <t>This company is engaged in the manufacture handmade soaps, cosmetics detergents and toiletries. It was established in 1984. The registered head office of the company is located in Noida, India.The company primarily manufactures handmade products, including designated handmade soaps, loofah soaps, sponge soaps, shower gel, liquid shampoo, solid shampoo bar, liquid hair conditioner, face scrubs, salt and sugar scrubs, bubble bath balls, body moisturizers, nourishing cream, hot oil treatment, and massage bars. It also manufactures other products, including shaving creams, toothpaste, detergent powders, detergents cake and bar, cleaning powders, laundry soap, and bath hearts. Some of the company's major clients are the Ministry of Defense, Indian Railways, Indian Air Force, Lever Brothers (Hindustan lever Ltd.), Modi Group, and DCM Group of Companies.</t>
  </si>
  <si>
    <t>www.continentalchemicalsltd.com</t>
  </si>
  <si>
    <t>506935</t>
  </si>
  <si>
    <t>Engaged in the manufacture handmade soaps, cosmetics detergents and toiletries</t>
  </si>
  <si>
    <t>The Company is engaged in manufacturing facilities to manufacture handmade soaps, cosmetics detergents and toiletries.  The three Principal Product /Services of Company Product is: soap, detergents &amp; allied product &amp; software.</t>
  </si>
  <si>
    <t>IN34821FI</t>
  </si>
  <si>
    <t>PAOS INDUSTRIES LIMITED</t>
  </si>
  <si>
    <t>This company is engaged in the manufacture and sale of edible refined oils and other related products principally in India. It was incorporated in 1990. The registered headquarters of the company is located in New Delhi, India. The company is traded in Bombay Stock Exchange under stock code 530291.The company offers hydrogenated vegetable oils in India. It also offers vanaspati and refined oils. The company's edible oils include rice bran oil, cottonseed oil, sunflower oil, palm oil, soybean oil, and mustard oil. It offers its products under the RAJ brand name.</t>
  </si>
  <si>
    <t>www.rajoilmillsltd.com</t>
  </si>
  <si>
    <t>530291</t>
  </si>
  <si>
    <t>Engaged in the manufacture and sale of edible refined oils and other related products principally in India</t>
  </si>
  <si>
    <t>The Company was engaged in the business of laundry soap, toilet soap and detergents powders formulations without manufacturing of LABSA facility.</t>
  </si>
  <si>
    <t>RAJ AGRO MILLS LTD</t>
  </si>
  <si>
    <t>RAJ</t>
  </si>
  <si>
    <t>IN32781FI</t>
  </si>
  <si>
    <t>VIVA GOODS COMPANY LIMITED</t>
  </si>
  <si>
    <t>This company, formerly known as Greaterchina Technology Group Limited, is engaged in the management activities of a holding company. It was incorporated in 2000. The registered business office of the company is located in Grand Cayman, Cayman Islands.The company provides administrative and supervisory services, and corporate governance as well as the execution of compliance functions to other business companies in its range of portfolio. Within the framework of its financial ability, the company invests in and provides funding for other companies. In addition, the company renders risk management and consultancy services, delivering a broad array of services and solutions focusing on business strategic planning.This holding company is active and operational, together with its subsidiaries, in Cayman Islands, Hong Kong, China, and Virgin Islands (British).Winner Rich Investment Limited, one of the company's listed subsidiaries, is involved in the provision of investment services.</t>
  </si>
  <si>
    <t>www.coolpoint.com.hk</t>
  </si>
  <si>
    <t>Cayman Islands</t>
  </si>
  <si>
    <t>08032</t>
  </si>
  <si>
    <t>Engaged in the management activities of a holding company</t>
  </si>
  <si>
    <t>The principal activity of The Company is investment holding. The Company and its subsidiaries are principally engaged in
trading of health-related products, and manufacturing, marketing and installation of proprietary energy-saving air conditioning
system and water heating equipment. The Group also engages in various sports-related businesses complemented with a
green element in order to promote higher quality of living in the PRC. Areas of focus initially include sports talent management,
competition/event production and management as well as sports and green themed community development.</t>
  </si>
  <si>
    <t>VIVA CHINA HOLDINGS LIMITED</t>
  </si>
  <si>
    <t>KY30442FH</t>
  </si>
  <si>
    <t>MING FAI INTERNATIONAL HOLDINGS LIMITED</t>
  </si>
  <si>
    <t>This company is engaged in the management activities of a holding company. It was incorporated in 1980. The registered business office of the company is located in George Town, Cayman Islands. The company provides group planning and strategy and in particular exercises financial control over its subsidiaries, settles their general policy and appoints their top managements, and provides central services. It also holds the securities and other equity interests of companies and enterprises for the purpose of owning a controlling interest and influencing the management decisions of these firms.This holding company is active and operational, together with its subsidiaries, in Cayman Islands, Virgin Islands (British), China, Singapore, and India.Ming Fai Asia Pacific Company Limited, one of the company's listed subsidiaries, is involved in the wholesale distribution of amenity products and accessories.</t>
  </si>
  <si>
    <t>www.mingfaigroup.com</t>
  </si>
  <si>
    <t>03828</t>
  </si>
  <si>
    <t>The Company is an investment holding company. Its subsidiaries are principally engaged in the manufacturing and sales of amenity products and accessories and the distribution and retail business of cosmetics and fashion accessories in the People's Republic of China.</t>
  </si>
  <si>
    <t>KY31135FH</t>
  </si>
  <si>
    <t>PROSPEROUS FUTURE HOLDINGS LIMITED</t>
  </si>
  <si>
    <t>The company, with registered head office located in Grand Cayman, Cayman Islands, primarily designs and provides a range of children care products under its own brand, including skin care products, body and hair care products, oral care products and diaper products, which are tailored for the mid-end market segment in China. In addition to children care products, it also provides baby care products, household hygiene and adult care products under its own brand names and manufactures original equipment manufacturer (OEM) products. Its brands include Frog Prince, Shuangfeijian and Shenhuxi. The company has a network of 173 distributors, through which it distributes its products to retail stores, such as hypermarkets, supermarkets, mother and children products specialty stores and convenience stores. It was incorporated in 2011.</t>
  </si>
  <si>
    <t>01259</t>
  </si>
  <si>
    <t>A</t>
  </si>
  <si>
    <t>Primarily designs and provides a range of children care products under its own brand, including skin care products, body and hair care products, oral care products and diaper products, which are tailored for the mid-end market segment in China</t>
  </si>
  <si>
    <t>The Company primarily design and provide a broad range of children care products under our own brand, including skin care products, body and hair care products, oral care products and diaper products, which are tailored for the mid-end market segment in China. In addition to children care products, we also provide baby care products, household hygiene products and adult care products under our own brand names and manufacture OEM products.</t>
  </si>
  <si>
    <t>FUTURE DEVELOPMENT HOLDINGS LIMITED</t>
  </si>
  <si>
    <t>Frog Prince, Shuangfeijian and Shenhuxi</t>
  </si>
  <si>
    <t>KY40149WB</t>
  </si>
  <si>
    <t>新能源、环保产业</t>
  </si>
  <si>
    <t>TANTECH HOLDINGS LTD</t>
  </si>
  <si>
    <t>This company is engaged in the management activities of holding companies. The registered head office of the company is located in Road Town, Tortola, Virgin Islands (British).The company handles the administrative affairs and services of a holding company and grants management services to its subsidiaries. It also provides financial support and control function for the board. In addition, it is responsible for managing the group and its overall legal structure, tax planning, financial and equity structures. Furthermore, the company is involved in matters of policy, strategic planning, marketing, selecting and manning senior management positions, approving investments and budgets, and the overall ongoing monitoring of the group companies' performance.</t>
  </si>
  <si>
    <t>www.tantech.cn</t>
  </si>
  <si>
    <t>Virgin Islands (British)</t>
  </si>
  <si>
    <t>TANH</t>
  </si>
  <si>
    <t>The Company develops and manufactures bamboo-based charcoal products in the People s Republic of China and internationally.</t>
  </si>
  <si>
    <t>VG40096ZG</t>
  </si>
  <si>
    <t>NATURAL BEAUTY BIO-TECHNOLOGY LIMITED</t>
  </si>
  <si>
    <t>This company primarily operates as an investment holding company that, through its subsidiaries, manufactures and sells skin care, beauty, and aromatherapeutic products, as well as color make up and health supplements under the Natural Beauty brand name in Hong Kong and internationally. It also offers skin treatments, beauty, and spa services, as well as skin care consulting and beauty training services. Its spas provide various services, including hydrotherapy, facial treatment, body care, and skin care analysis. In addition, the company engages in the wholesale and retail of skin care and beauty products, and related instuments; sale of jewelry, craftwork, adornment, leather, and horologe products; sale of hair care and cosmetic products; and provision of professional medical care products. The company operates in the People's Republic of China, Taiwan, Hong Kong, Malaysia, and Macau. Headquartered in Central, Hong Kong, the company was founded in 1976.It is involved in the management activities of holding companies.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group companies' performance.</t>
  </si>
  <si>
    <t>www.nblife.com</t>
  </si>
  <si>
    <t>00157</t>
  </si>
  <si>
    <t>Operates as an investment holding company that, through its subsidiaries, manufactures and sells skin care, beauty, and aromatherapeutic products, as well as color make up and health supplements under the Natural Beauty brand name in Hong Kong and internationally</t>
  </si>
  <si>
    <t>The Company acts as an investment holding company.  The Group is principally engaged in manufacturing and selling of skin care, beauty and aromatherapeutic products and provision of skin treatments, beauty and spa services and skin care consulting and beauty training.</t>
  </si>
  <si>
    <t>Natural Beauty</t>
  </si>
  <si>
    <t>KY30590FH</t>
  </si>
  <si>
    <t>BAWANG INTERNATIONAL (GROUP) HOLDING LIMITED</t>
  </si>
  <si>
    <t>This company is engaged in the production and sale of Chinese hair-care, skin-care, as well as home and personal care products under the brand names, Bawang, Litao, Smerry and Royal Wind. It was incorporated in 2007 and it conducts business from its registered head office which is strategically located in Grand Cayman, Ky1-1111, Cayman Islands.The company's product range comprises herbal shampoo, toothpaste, shower gels and liquid soap. It sells these items through a network of distributors and retailers in China, Hong Kong, Macao and Singapore. In addition, it has also ventured in multi-faceted advertising and marketing strategies including: television commercials and sponsorship of television programs; advertising in newspapers, magazines, the Internet, public transportation, billboards, banners and kiosks; organizing regular and frequent in-store marketing activities and roadshows; and attending particular Chinese herbal-related events to market its products.</t>
  </si>
  <si>
    <t>www.bawang.com.cn</t>
  </si>
  <si>
    <t>01338</t>
  </si>
  <si>
    <t>Engaged in the production and sale of Chinese hair-care, skin-care, as well as home and personal care products under the brand names, Bawang, Litao, Smerry and Royal Wind</t>
  </si>
  <si>
    <t>The Company is principally engaged in the manufacturing and sales of the HPC Products Business including hair-care and skin-care products, as well as sales of herbal tea products.</t>
  </si>
  <si>
    <t>Bawang, Litao, Smerry and Royal Wind</t>
  </si>
  <si>
    <t>KY40028WB</t>
  </si>
  <si>
    <t>THAI HO GROUP INC.</t>
  </si>
  <si>
    <t>This company operates as a holding company for a group engaged in the manufacturing, processing, and sale of make-up, skin care products, and masks in China and internationally. It was incorporated in 2008 and has its registered office located in Shanghai, China. As a holding company, it is active in the ownership of enough voting stock in other companies to control management and operations by influencing or electing their board of directors. It also provides financial support and control function for the board and is responsible for managing the group and its overall legal structure, tax planning, financial and equity structures. In addition, the company is involved in matters of policy, strategic planning, marketing, approving investments and budgets, and the overall ongoing monitoring of its subsidiaries' operations.</t>
  </si>
  <si>
    <t>www.thaiho.com</t>
  </si>
  <si>
    <t>4136</t>
  </si>
  <si>
    <t>U</t>
  </si>
  <si>
    <t>Operates as a holding company for a group engaged in the manufacturing, processing, and sale of make-up, skin care products, and masks</t>
  </si>
  <si>
    <t>The Company is mainly engaged in provision of cosmetics. The Company and its subsidiaries are mainly engaged in research and development, design, manufacturing and sales of make-up products and skin-care products.</t>
  </si>
  <si>
    <t>KY40841FC</t>
  </si>
  <si>
    <t>LUO LIH-FEN HOLDING CO., LTD.</t>
  </si>
  <si>
    <t>This company is engaged in the management activities of a holding company. It was incorporated in 2016, and has its registered business office located in Camana Bay, Cayman Islands.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t>
  </si>
  <si>
    <t>www.luolifen.com</t>
  </si>
  <si>
    <t>6666</t>
  </si>
  <si>
    <t>The Company and its subsidiaries are mainly engaged in the research and development, manufacture and sales of facial beauty care products. The Company's main products include facial cleanser, toner, essence, face cream, mask and eye suits. The Company distributes its products to end consumers through dealers in each province. The Company also provides consultation services, as well as distributes raw materials, semi-finished products and packaging materials. The Company distributes its products in domestic market and to overseas markets</t>
  </si>
  <si>
    <t>KY41185WB</t>
  </si>
  <si>
    <t>RENAISSANCE ASIA SILK ROAD GROUP LIMITED</t>
  </si>
  <si>
    <t>This firm primarily operates as a holding company. The company, incorporated in 2000, was formerly known as Global Green Tech Group Limited. Its registered head office located in George Town, Cayman Islands. The company exercises financial control over its subsidiaries and provides central services as well as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t>
  </si>
  <si>
    <t>www.cb-resources.com</t>
  </si>
  <si>
    <t>00274</t>
  </si>
  <si>
    <t>Operates as a holding company</t>
  </si>
  <si>
    <t>The principal activities of the Company are investment holding and its subsidiaries are principally engaged in manufacturing and sale of household products, industrial products, cosmetics and skincare products and bio-technology products with medical and cosmetics applications, provision of loan financing services and investment and/or trading in market securities, bonds, foreign currencies, various funds and other income generated fixed assets' portfolios.</t>
  </si>
  <si>
    <t>CHINA BILLION RESOURCES LIMITED</t>
  </si>
  <si>
    <t>KY30735FH</t>
  </si>
  <si>
    <t>Nordmason Co.,Ltd.</t>
  </si>
  <si>
    <t>ENG KAH Corporation Berhad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</si>
</sst>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76" formatCode="_([$€-2]* #,##0.00_);_([$€-2]* \(#,##0.00\);_([$€-2]* &quot;-&quot;??_)"/>
    <numFmt numFmtId="177" formatCode="[$-F800]dddd\,\ mmmm\ dd\,\ yyyy"/>
    <numFmt numFmtId="178" formatCode="0_);[Red]\(0\)"/>
  </numFmts>
  <fonts count="36" x14ac:knownFonts="1">
    <font>
      <sz val="11"/>
      <color theme="1"/>
      <name val="宋体"/>
      <charset val="134"/>
      <scheme val="minor"/>
    </font>
    <font>
      <b/>
      <sz val="10"/>
      <color indexed="8"/>
      <name val="Arial"/>
      <family val="2"/>
    </font>
    <font>
      <sz val="10"/>
      <name val="Arial"/>
      <family val="2"/>
    </font>
    <font>
      <sz val="10"/>
      <color indexed="8"/>
      <name val="Arial"/>
      <family val="2"/>
    </font>
    <font>
      <sz val="10"/>
      <color rgb="FFFF0000"/>
      <name val="Arial"/>
      <family val="2"/>
    </font>
    <font>
      <sz val="12"/>
      <color rgb="FF333333"/>
      <name val="宋体"/>
      <family val="3"/>
      <charset val="134"/>
    </font>
    <font>
      <sz val="10"/>
      <name val="宋体"/>
      <family val="3"/>
      <charset val="134"/>
    </font>
    <font>
      <sz val="11"/>
      <color rgb="FF333333"/>
      <name val="宋体"/>
      <family val="3"/>
      <charset val="134"/>
    </font>
    <font>
      <sz val="11"/>
      <name val="宋体"/>
      <family val="3"/>
      <charset val="134"/>
    </font>
    <font>
      <sz val="10"/>
      <color rgb="FF333333"/>
      <name val="Arial"/>
      <family val="2"/>
    </font>
    <font>
      <sz val="11"/>
      <color rgb="FF000000"/>
      <name val="Calibri"/>
      <family val="2"/>
    </font>
    <font>
      <b/>
      <sz val="10"/>
      <name val="Arial"/>
      <family val="2"/>
    </font>
    <font>
      <sz val="10"/>
      <color theme="1"/>
      <name val="Arial"/>
      <family val="2"/>
    </font>
    <font>
      <b/>
      <sz val="10"/>
      <color rgb="FFFF0000"/>
      <name val="Arial"/>
      <family val="2"/>
    </font>
    <font>
      <sz val="11"/>
      <name val="Arial"/>
      <family val="2"/>
    </font>
    <font>
      <sz val="12"/>
      <name val="宋体"/>
      <family val="3"/>
      <charset val="134"/>
    </font>
    <font>
      <sz val="10"/>
      <color indexed="8"/>
      <name val="宋体"/>
      <family val="3"/>
      <charset val="134"/>
      <scheme val="major"/>
    </font>
    <font>
      <sz val="10"/>
      <color theme="1"/>
      <name val="宋体"/>
      <family val="3"/>
      <charset val="134"/>
      <scheme val="major"/>
    </font>
    <font>
      <sz val="10"/>
      <name val="宋体"/>
      <family val="3"/>
      <charset val="134"/>
      <scheme val="major"/>
    </font>
    <font>
      <b/>
      <sz val="10"/>
      <color theme="0"/>
      <name val="Arial"/>
      <family val="2"/>
    </font>
    <font>
      <b/>
      <sz val="10"/>
      <color rgb="FFFF0000"/>
      <name val="宋体"/>
      <family val="3"/>
      <charset val="134"/>
    </font>
    <font>
      <sz val="10"/>
      <color theme="1"/>
      <name val="Calibri"/>
      <family val="2"/>
    </font>
    <font>
      <sz val="11"/>
      <color theme="1"/>
      <name val="Calibri"/>
      <family val="2"/>
    </font>
    <font>
      <b/>
      <sz val="10"/>
      <color theme="0"/>
      <name val="Calibri"/>
      <family val="2"/>
    </font>
    <font>
      <sz val="10"/>
      <color indexed="8"/>
      <name val="Calibri"/>
      <family val="2"/>
    </font>
    <font>
      <sz val="10"/>
      <name val="Calibri"/>
      <family val="2"/>
    </font>
    <font>
      <sz val="10"/>
      <color indexed="63"/>
      <name val="Arial"/>
      <family val="2"/>
    </font>
    <font>
      <u/>
      <sz val="11"/>
      <color rgb="FF800080"/>
      <name val="宋体"/>
      <family val="3"/>
      <charset val="134"/>
      <scheme val="minor"/>
    </font>
    <font>
      <u/>
      <sz val="11"/>
      <color rgb="FF0000FF"/>
      <name val="宋体"/>
      <family val="3"/>
      <charset val="134"/>
      <scheme val="minor"/>
    </font>
    <font>
      <sz val="12"/>
      <color indexed="8"/>
      <name val="宋体"/>
      <family val="3"/>
      <charset val="134"/>
    </font>
    <font>
      <sz val="10"/>
      <color theme="1"/>
      <name val="宋体"/>
      <family val="3"/>
      <charset val="134"/>
      <scheme val="minor"/>
    </font>
    <font>
      <u/>
      <sz val="10"/>
      <color theme="10"/>
      <name val="宋体"/>
      <family val="3"/>
      <charset val="134"/>
      <scheme val="minor"/>
    </font>
    <font>
      <b/>
      <sz val="10"/>
      <name val="等线 Light"/>
      <family val="3"/>
      <charset val="134"/>
    </font>
    <font>
      <b/>
      <sz val="10"/>
      <color rgb="FFFF0000"/>
      <name val="Calibri"/>
      <family val="2"/>
    </font>
    <font>
      <sz val="11"/>
      <color theme="1"/>
      <name val="宋体"/>
      <family val="3"/>
      <charset val="134"/>
      <scheme val="minor"/>
    </font>
    <font>
      <sz val="9"/>
      <name val="宋体"/>
      <family val="3"/>
      <charset val="134"/>
      <scheme val="minor"/>
    </font>
  </fonts>
  <fills count="13">
    <fill>
      <patternFill patternType="none"/>
    </fill>
    <fill>
      <patternFill patternType="gray125"/>
    </fill>
    <fill>
      <patternFill patternType="solid">
        <fgColor rgb="FFE7D3DA"/>
        <bgColor indexed="64"/>
      </patternFill>
    </fill>
    <fill>
      <patternFill patternType="solid">
        <fgColor rgb="FFCAC0D9"/>
        <bgColor indexed="64"/>
      </patternFill>
    </fill>
    <fill>
      <patternFill patternType="solid">
        <fgColor rgb="FFB2E1D6"/>
        <bgColor indexed="64"/>
      </patternFill>
    </fill>
    <fill>
      <patternFill patternType="solid">
        <fgColor rgb="FFFFF5CC"/>
        <bgColor indexed="64"/>
      </patternFill>
    </fill>
    <fill>
      <patternFill patternType="solid">
        <fgColor rgb="FFFFFF00"/>
        <bgColor indexed="64"/>
      </patternFill>
    </fill>
    <fill>
      <patternFill patternType="solid">
        <fgColor theme="3" tint="0.39988402966399123"/>
        <bgColor indexed="64"/>
      </patternFill>
    </fill>
    <fill>
      <patternFill patternType="gray125">
        <fgColor theme="3" tint="0.79985961485641044"/>
        <bgColor theme="3" tint="0.39976195562608724"/>
      </patternFill>
    </fill>
    <fill>
      <patternFill patternType="gray0625">
        <bgColor theme="3" tint="0.39988402966399123"/>
      </patternFill>
    </fill>
    <fill>
      <patternFill patternType="solid">
        <fgColor rgb="FF002060"/>
        <bgColor indexed="64"/>
      </patternFill>
    </fill>
    <fill>
      <patternFill patternType="solid">
        <fgColor theme="0" tint="-0.14993743705557422"/>
        <bgColor indexed="64"/>
      </patternFill>
    </fill>
    <fill>
      <patternFill patternType="solid">
        <fgColor theme="4" tint="0.79998168889431442"/>
        <bgColor indexed="64"/>
      </patternFill>
    </fill>
  </fills>
  <borders count="7">
    <border>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s>
  <cellStyleXfs count="22">
    <xf numFmtId="0" fontId="0" fillId="0" borderId="0">
      <alignment vertical="center"/>
    </xf>
    <xf numFmtId="43" fontId="34" fillId="0" borderId="0" applyFont="0" applyFill="0" applyBorder="0" applyAlignment="0" applyProtection="0">
      <alignment vertical="center"/>
    </xf>
    <xf numFmtId="9" fontId="34" fillId="0" borderId="0" applyFont="0" applyFill="0" applyBorder="0" applyAlignment="0" applyProtection="0">
      <alignment vertical="center"/>
    </xf>
    <xf numFmtId="0" fontId="28" fillId="0" borderId="0" applyNumberFormat="0" applyFill="0" applyBorder="0" applyAlignment="0" applyProtection="0">
      <alignment vertical="center"/>
    </xf>
    <xf numFmtId="43" fontId="15" fillId="0" borderId="0" applyFont="0" applyFill="0" applyBorder="0" applyAlignment="0" applyProtection="0">
      <alignment vertical="center"/>
    </xf>
    <xf numFmtId="176" fontId="2" fillId="0" borderId="0"/>
    <xf numFmtId="176" fontId="29" fillId="0" borderId="0">
      <alignment vertical="center"/>
    </xf>
    <xf numFmtId="176" fontId="29" fillId="0" borderId="0">
      <alignment vertical="center"/>
    </xf>
    <xf numFmtId="176" fontId="3" fillId="0" borderId="0"/>
    <xf numFmtId="177" fontId="2" fillId="0" borderId="0"/>
    <xf numFmtId="176" fontId="2" fillId="0" borderId="0"/>
    <xf numFmtId="9" fontId="1" fillId="0" borderId="0" applyFont="0" applyFill="0" applyBorder="0" applyAlignment="0" applyProtection="0"/>
    <xf numFmtId="9" fontId="29" fillId="0" borderId="0">
      <alignment vertical="center"/>
    </xf>
    <xf numFmtId="9" fontId="1" fillId="0" borderId="0" applyFont="0" applyFill="0" applyBorder="0" applyAlignment="0" applyProtection="0"/>
    <xf numFmtId="9" fontId="30" fillId="0" borderId="0" applyFont="0" applyFill="0" applyBorder="0" applyAlignment="0" applyProtection="0">
      <alignment vertical="center"/>
    </xf>
    <xf numFmtId="176" fontId="3" fillId="0" borderId="0"/>
    <xf numFmtId="0" fontId="10" fillId="0" borderId="0">
      <alignment vertical="center"/>
    </xf>
    <xf numFmtId="176" fontId="30" fillId="0" borderId="0">
      <alignment vertical="center"/>
    </xf>
    <xf numFmtId="176" fontId="31" fillId="0" borderId="0" applyNumberFormat="0" applyFill="0" applyBorder="0" applyAlignment="0" applyProtection="0">
      <alignment vertical="center"/>
    </xf>
    <xf numFmtId="43" fontId="30" fillId="0" borderId="0" applyFont="0" applyFill="0" applyBorder="0" applyAlignment="0" applyProtection="0">
      <alignment vertical="center"/>
    </xf>
    <xf numFmtId="43" fontId="1" fillId="0" borderId="0" applyFont="0" applyFill="0" applyBorder="0" applyAlignment="0" applyProtection="0"/>
    <xf numFmtId="43" fontId="30" fillId="0" borderId="0" applyFont="0" applyFill="0" applyBorder="0" applyAlignment="0" applyProtection="0">
      <alignment vertical="center"/>
    </xf>
  </cellStyleXfs>
  <cellXfs count="195">
    <xf numFmtId="0" fontId="0" fillId="0" borderId="0" xfId="0">
      <alignment vertical="center"/>
    </xf>
    <xf numFmtId="176" fontId="1" fillId="0" borderId="0" xfId="15" applyFont="1" applyAlignment="1">
      <alignment horizontal="center"/>
    </xf>
    <xf numFmtId="176" fontId="1" fillId="0" borderId="0" xfId="15" applyFont="1" applyAlignment="1">
      <alignment horizontal="center" vertical="center"/>
    </xf>
    <xf numFmtId="176" fontId="2" fillId="0" borderId="0" xfId="15" applyFont="1" applyAlignment="1">
      <alignment horizontal="right"/>
    </xf>
    <xf numFmtId="49" fontId="3" fillId="0" borderId="0" xfId="15" applyNumberFormat="1" applyAlignment="1">
      <alignment horizontal="right" vertical="center"/>
    </xf>
    <xf numFmtId="176" fontId="3" fillId="0" borderId="0" xfId="15" applyAlignment="1">
      <alignment horizontal="fill" vertical="center"/>
    </xf>
    <xf numFmtId="176" fontId="3" fillId="0" borderId="0" xfId="15" applyAlignment="1">
      <alignment vertical="center"/>
    </xf>
    <xf numFmtId="176" fontId="3" fillId="0" borderId="0" xfId="15" applyAlignment="1">
      <alignment horizontal="left" vertical="center"/>
    </xf>
    <xf numFmtId="176" fontId="3" fillId="0" borderId="0" xfId="15" applyAlignment="1">
      <alignment horizontal="center" vertical="center"/>
    </xf>
    <xf numFmtId="176" fontId="4" fillId="0" borderId="0" xfId="15" applyFont="1" applyAlignment="1">
      <alignment horizontal="left"/>
    </xf>
    <xf numFmtId="176" fontId="3" fillId="0" borderId="0" xfId="15" applyAlignment="1">
      <alignment horizontal="right"/>
    </xf>
    <xf numFmtId="43" fontId="3" fillId="0" borderId="0" xfId="21" applyFont="1" applyFill="1" applyAlignment="1">
      <alignment horizontal="right"/>
    </xf>
    <xf numFmtId="0" fontId="3" fillId="0" borderId="0" xfId="15" applyNumberFormat="1" applyAlignment="1">
      <alignment horizontal="right"/>
    </xf>
    <xf numFmtId="176" fontId="3" fillId="0" borderId="0" xfId="6" applyFont="1" applyAlignment="1">
      <alignment horizontal="left" vertical="center"/>
    </xf>
    <xf numFmtId="176" fontId="3" fillId="0" borderId="0" xfId="6" applyFont="1" applyAlignment="1">
      <alignment horizontal="right" vertical="center"/>
    </xf>
    <xf numFmtId="176" fontId="3" fillId="0" borderId="0" xfId="6" applyFont="1" applyAlignment="1">
      <alignment horizontal="right"/>
    </xf>
    <xf numFmtId="4" fontId="3" fillId="0" borderId="0" xfId="6" applyNumberFormat="1" applyFont="1" applyAlignment="1">
      <alignment horizontal="right"/>
    </xf>
    <xf numFmtId="176" fontId="3" fillId="0" borderId="0" xfId="6" applyFont="1" applyAlignment="1">
      <alignment horizontal="center"/>
    </xf>
    <xf numFmtId="176" fontId="4" fillId="0" borderId="0" xfId="6" applyFont="1" applyAlignment="1">
      <alignment horizontal="right" vertical="center"/>
    </xf>
    <xf numFmtId="176" fontId="3" fillId="0" borderId="0" xfId="15" applyAlignment="1">
      <alignment horizontal="right" vertical="center"/>
    </xf>
    <xf numFmtId="176" fontId="1" fillId="0" borderId="0" xfId="15" applyFont="1" applyAlignment="1">
      <alignment horizontal="left" vertical="center"/>
    </xf>
    <xf numFmtId="49" fontId="1" fillId="0" borderId="3" xfId="15" applyNumberFormat="1" applyFont="1" applyBorder="1" applyAlignment="1">
      <alignment vertical="center" wrapText="1"/>
    </xf>
    <xf numFmtId="176" fontId="1" fillId="0" borderId="4" xfId="15" applyFont="1" applyBorder="1" applyAlignment="1">
      <alignment horizontal="fill" vertical="center"/>
    </xf>
    <xf numFmtId="176" fontId="1" fillId="0" borderId="4" xfId="15" applyFont="1" applyBorder="1" applyAlignment="1">
      <alignment vertical="center"/>
    </xf>
    <xf numFmtId="176" fontId="1" fillId="0" borderId="4" xfId="15" applyFont="1" applyBorder="1" applyAlignment="1">
      <alignment horizontal="center" vertical="center" wrapText="1"/>
    </xf>
    <xf numFmtId="176" fontId="1" fillId="0" borderId="4" xfId="15" applyFont="1" applyBorder="1" applyAlignment="1">
      <alignment horizontal="left" wrapText="1"/>
    </xf>
    <xf numFmtId="176" fontId="1" fillId="0" borderId="4" xfId="15" applyFont="1" applyBorder="1" applyAlignment="1">
      <alignment wrapText="1"/>
    </xf>
    <xf numFmtId="176" fontId="1" fillId="4" borderId="0" xfId="15" applyFont="1" applyFill="1" applyAlignment="1">
      <alignment horizontal="center" vertical="center" wrapText="1"/>
    </xf>
    <xf numFmtId="49" fontId="2" fillId="0" borderId="0" xfId="15" applyNumberFormat="1" applyFont="1" applyAlignment="1">
      <alignment horizontal="center"/>
    </xf>
    <xf numFmtId="176" fontId="2" fillId="0" borderId="0" xfId="15" applyFont="1" applyAlignment="1">
      <alignment horizontal="left"/>
    </xf>
    <xf numFmtId="0" fontId="5" fillId="0" borderId="0" xfId="16" applyFont="1" applyAlignment="1">
      <alignment horizontal="left" vertical="top" wrapText="1"/>
    </xf>
    <xf numFmtId="10" fontId="2" fillId="0" borderId="0" xfId="13" applyNumberFormat="1" applyFont="1" applyFill="1" applyAlignment="1">
      <alignment horizontal="center"/>
    </xf>
    <xf numFmtId="176" fontId="6" fillId="0" borderId="0" xfId="15" applyFont="1" applyAlignment="1">
      <alignment horizontal="left"/>
    </xf>
    <xf numFmtId="0" fontId="7" fillId="0" borderId="0" xfId="16" applyFont="1" applyAlignment="1">
      <alignment horizontal="left" vertical="top" wrapText="1"/>
    </xf>
    <xf numFmtId="176" fontId="2" fillId="0" borderId="0" xfId="15" applyFont="1" applyAlignment="1">
      <alignment horizontal="center" vertical="center"/>
    </xf>
    <xf numFmtId="176" fontId="8" fillId="0" borderId="0" xfId="15" applyFont="1" applyAlignment="1">
      <alignment horizontal="left" wrapText="1"/>
    </xf>
    <xf numFmtId="43" fontId="1" fillId="0" borderId="2" xfId="21" applyFont="1" applyFill="1" applyBorder="1" applyAlignment="1">
      <alignment wrapText="1"/>
    </xf>
    <xf numFmtId="176" fontId="1" fillId="0" borderId="2" xfId="15" applyFont="1" applyBorder="1" applyAlignment="1">
      <alignment wrapText="1"/>
    </xf>
    <xf numFmtId="0" fontId="1" fillId="0" borderId="2" xfId="15" applyNumberFormat="1" applyFont="1" applyBorder="1" applyAlignment="1">
      <alignment wrapText="1"/>
    </xf>
    <xf numFmtId="49" fontId="1" fillId="0" borderId="2" xfId="6" applyNumberFormat="1" applyFont="1" applyBorder="1" applyAlignment="1">
      <alignment horizontal="left" vertical="center"/>
    </xf>
    <xf numFmtId="49" fontId="1" fillId="0" borderId="2" xfId="6" applyNumberFormat="1" applyFont="1" applyBorder="1" applyAlignment="1">
      <alignment vertical="center" wrapText="1"/>
    </xf>
    <xf numFmtId="49" fontId="1" fillId="0" borderId="2" xfId="6" applyNumberFormat="1" applyFont="1" applyBorder="1" applyAlignment="1">
      <alignment wrapText="1"/>
    </xf>
    <xf numFmtId="176" fontId="1" fillId="0" borderId="4" xfId="15" applyFont="1" applyBorder="1" applyAlignment="1">
      <alignment horizontal="left" vertical="center" wrapText="1"/>
    </xf>
    <xf numFmtId="176" fontId="1" fillId="0" borderId="0" xfId="15" applyFont="1" applyAlignment="1">
      <alignment wrapText="1"/>
    </xf>
    <xf numFmtId="49" fontId="1" fillId="0" borderId="0" xfId="6" applyNumberFormat="1" applyFont="1" applyAlignment="1">
      <alignment horizontal="left" vertical="center"/>
    </xf>
    <xf numFmtId="49" fontId="1" fillId="0" borderId="0" xfId="6" applyNumberFormat="1" applyFont="1" applyAlignment="1">
      <alignment vertical="center" wrapText="1"/>
    </xf>
    <xf numFmtId="49" fontId="1" fillId="0" borderId="0" xfId="6" applyNumberFormat="1" applyFont="1" applyAlignment="1">
      <alignment wrapText="1"/>
    </xf>
    <xf numFmtId="43" fontId="2" fillId="0" borderId="0" xfId="1" applyFont="1" applyFill="1" applyAlignment="1">
      <alignment horizontal="left"/>
    </xf>
    <xf numFmtId="0" fontId="2" fillId="0" borderId="0" xfId="15" applyNumberFormat="1" applyFont="1" applyAlignment="1">
      <alignment horizontal="left"/>
    </xf>
    <xf numFmtId="0" fontId="9" fillId="0" borderId="0" xfId="16" applyFont="1" applyAlignment="1">
      <alignment horizontal="left" vertical="top" wrapText="1"/>
    </xf>
    <xf numFmtId="49" fontId="1" fillId="0" borderId="0" xfId="6" applyNumberFormat="1" applyFont="1" applyAlignment="1">
      <alignment horizontal="center" wrapText="1"/>
    </xf>
    <xf numFmtId="49" fontId="1" fillId="0" borderId="4" xfId="6" applyNumberFormat="1" applyFont="1" applyBorder="1" applyAlignment="1">
      <alignment vertical="center" wrapText="1"/>
    </xf>
    <xf numFmtId="49" fontId="1" fillId="0" borderId="4" xfId="6" applyNumberFormat="1" applyFont="1" applyBorder="1" applyAlignment="1">
      <alignment horizontal="center" wrapText="1"/>
    </xf>
    <xf numFmtId="43" fontId="1" fillId="0" borderId="0" xfId="21" applyFont="1" applyFill="1" applyAlignment="1">
      <alignment horizontal="center"/>
    </xf>
    <xf numFmtId="176" fontId="1" fillId="0" borderId="0" xfId="6" applyFont="1" applyAlignment="1">
      <alignment horizontal="center"/>
    </xf>
    <xf numFmtId="176" fontId="1" fillId="0" borderId="2" xfId="6" applyFont="1" applyBorder="1" applyAlignment="1">
      <alignment wrapText="1"/>
    </xf>
    <xf numFmtId="176" fontId="1" fillId="0" borderId="0" xfId="6" applyFont="1" applyAlignment="1">
      <alignment wrapText="1"/>
    </xf>
    <xf numFmtId="10" fontId="12" fillId="0" borderId="0" xfId="12" applyNumberFormat="1" applyFont="1" applyAlignment="1">
      <alignment horizontal="center"/>
    </xf>
    <xf numFmtId="43" fontId="3" fillId="0" borderId="0" xfId="20" applyFont="1" applyFill="1" applyAlignment="1">
      <alignment horizontal="right"/>
    </xf>
    <xf numFmtId="49" fontId="1" fillId="6" borderId="0" xfId="6" applyNumberFormat="1" applyFont="1" applyFill="1" applyAlignment="1">
      <alignment horizontal="center"/>
    </xf>
    <xf numFmtId="49" fontId="1" fillId="6" borderId="4" xfId="6" applyNumberFormat="1" applyFont="1" applyFill="1" applyBorder="1" applyAlignment="1">
      <alignment horizontal="center" wrapText="1"/>
    </xf>
    <xf numFmtId="176" fontId="2" fillId="0" borderId="0" xfId="6" applyFont="1" applyAlignment="1">
      <alignment horizontal="right"/>
    </xf>
    <xf numFmtId="4" fontId="2" fillId="0" borderId="0" xfId="6" applyNumberFormat="1" applyFont="1" applyAlignment="1">
      <alignment horizontal="right"/>
    </xf>
    <xf numFmtId="10" fontId="2" fillId="0" borderId="0" xfId="12" applyNumberFormat="1" applyFont="1" applyAlignment="1">
      <alignment horizontal="center"/>
    </xf>
    <xf numFmtId="43" fontId="2" fillId="0" borderId="0" xfId="19" applyFont="1" applyAlignment="1">
      <alignment horizontal="right"/>
    </xf>
    <xf numFmtId="49" fontId="1" fillId="6" borderId="0" xfId="6" applyNumberFormat="1" applyFont="1" applyFill="1" applyAlignment="1">
      <alignment horizontal="center" wrapText="1"/>
    </xf>
    <xf numFmtId="43" fontId="2" fillId="0" borderId="0" xfId="19" applyFont="1" applyFill="1" applyAlignment="1">
      <alignment horizontal="right"/>
    </xf>
    <xf numFmtId="10" fontId="2" fillId="0" borderId="0" xfId="12" applyNumberFormat="1" applyFont="1" applyAlignment="1">
      <alignment horizontal="center" vertical="center"/>
    </xf>
    <xf numFmtId="49" fontId="13" fillId="6" borderId="0" xfId="6" applyNumberFormat="1" applyFont="1" applyFill="1" applyAlignment="1">
      <alignment horizontal="center" vertical="center"/>
    </xf>
    <xf numFmtId="49" fontId="11" fillId="7" borderId="5" xfId="6" applyNumberFormat="1" applyFont="1" applyFill="1" applyBorder="1" applyAlignment="1">
      <alignment horizontal="center" vertical="center" wrapText="1"/>
    </xf>
    <xf numFmtId="176" fontId="2" fillId="0" borderId="0" xfId="6" applyFont="1" applyAlignment="1">
      <alignment horizontal="right" vertical="center"/>
    </xf>
    <xf numFmtId="176" fontId="2" fillId="0" borderId="0" xfId="6" applyFont="1" applyAlignment="1">
      <alignment horizontal="center" vertical="center"/>
    </xf>
    <xf numFmtId="176" fontId="2" fillId="0" borderId="0" xfId="15" applyFont="1" applyAlignment="1">
      <alignment horizontal="right" vertical="center"/>
    </xf>
    <xf numFmtId="10" fontId="2" fillId="0" borderId="0" xfId="14" applyNumberFormat="1" applyFont="1" applyFill="1" applyAlignment="1">
      <alignment horizontal="left"/>
    </xf>
    <xf numFmtId="176" fontId="6" fillId="0" borderId="0" xfId="15" applyFont="1" applyAlignment="1">
      <alignment horizontal="right"/>
    </xf>
    <xf numFmtId="176" fontId="14" fillId="0" borderId="0" xfId="15" applyFont="1" applyAlignment="1">
      <alignment horizontal="right"/>
    </xf>
    <xf numFmtId="176" fontId="15" fillId="0" borderId="0" xfId="15" applyFont="1" applyAlignment="1">
      <alignment horizontal="left" wrapText="1"/>
    </xf>
    <xf numFmtId="176" fontId="2" fillId="0" borderId="0" xfId="15" applyFont="1" applyAlignment="1">
      <alignment horizontal="left" vertical="center"/>
    </xf>
    <xf numFmtId="4" fontId="16" fillId="0" borderId="0" xfId="6" applyNumberFormat="1" applyFont="1" applyAlignment="1">
      <alignment horizontal="right"/>
    </xf>
    <xf numFmtId="10" fontId="17" fillId="0" borderId="0" xfId="12" applyNumberFormat="1" applyFont="1" applyAlignment="1">
      <alignment horizontal="center"/>
    </xf>
    <xf numFmtId="43" fontId="16" fillId="0" borderId="0" xfId="20" applyFont="1" applyFill="1" applyAlignment="1">
      <alignment horizontal="right"/>
    </xf>
    <xf numFmtId="176" fontId="18" fillId="0" borderId="0" xfId="6" applyFont="1" applyAlignment="1">
      <alignment horizontal="right"/>
    </xf>
    <xf numFmtId="4" fontId="18" fillId="0" borderId="0" xfId="6" applyNumberFormat="1" applyFont="1" applyAlignment="1">
      <alignment horizontal="right"/>
    </xf>
    <xf numFmtId="10" fontId="18" fillId="0" borderId="0" xfId="12" applyNumberFormat="1" applyFont="1" applyAlignment="1">
      <alignment horizontal="center"/>
    </xf>
    <xf numFmtId="43" fontId="18" fillId="0" borderId="0" xfId="4" applyFont="1" applyFill="1" applyAlignment="1">
      <alignment horizontal="right"/>
    </xf>
    <xf numFmtId="10" fontId="18" fillId="0" borderId="0" xfId="12" applyNumberFormat="1" applyFont="1" applyAlignment="1">
      <alignment horizontal="right"/>
    </xf>
    <xf numFmtId="10" fontId="18" fillId="0" borderId="0" xfId="12" applyNumberFormat="1" applyFont="1" applyAlignment="1">
      <alignment horizontal="right" vertical="center"/>
    </xf>
    <xf numFmtId="176" fontId="18" fillId="0" borderId="0" xfId="6" applyFont="1" applyAlignment="1">
      <alignment horizontal="right" vertical="center"/>
    </xf>
    <xf numFmtId="49" fontId="3" fillId="0" borderId="0" xfId="15" applyNumberFormat="1"/>
    <xf numFmtId="176" fontId="3" fillId="0" borderId="0" xfId="15"/>
    <xf numFmtId="49" fontId="11" fillId="0" borderId="5" xfId="10" applyNumberFormat="1" applyFont="1" applyBorder="1"/>
    <xf numFmtId="49" fontId="2" fillId="0" borderId="5" xfId="10" applyNumberFormat="1" applyBorder="1"/>
    <xf numFmtId="49" fontId="2" fillId="0" borderId="5" xfId="10" applyNumberFormat="1" applyBorder="1" applyAlignment="1">
      <alignment vertical="center" wrapText="1"/>
    </xf>
    <xf numFmtId="176" fontId="20" fillId="0" borderId="0" xfId="15" applyFont="1"/>
    <xf numFmtId="49" fontId="2" fillId="0" borderId="5" xfId="10" applyNumberFormat="1" applyBorder="1" applyAlignment="1">
      <alignment vertical="top"/>
    </xf>
    <xf numFmtId="49" fontId="2" fillId="0" borderId="0" xfId="10" applyNumberFormat="1"/>
    <xf numFmtId="176" fontId="2" fillId="0" borderId="0" xfId="10"/>
    <xf numFmtId="49" fontId="11" fillId="0" borderId="5" xfId="10" applyNumberFormat="1" applyFont="1" applyBorder="1" applyAlignment="1">
      <alignment horizontal="center"/>
    </xf>
    <xf numFmtId="176" fontId="11" fillId="0" borderId="5" xfId="10" applyFont="1" applyBorder="1" applyAlignment="1">
      <alignment horizontal="center"/>
    </xf>
    <xf numFmtId="176" fontId="2" fillId="0" borderId="5" xfId="5" applyBorder="1" applyAlignment="1">
      <alignment vertical="center"/>
    </xf>
    <xf numFmtId="178" fontId="2" fillId="0" borderId="5" xfId="10" applyNumberFormat="1" applyBorder="1" applyAlignment="1">
      <alignment horizontal="center" vertical="center" wrapText="1"/>
    </xf>
    <xf numFmtId="176" fontId="2" fillId="0" borderId="5" xfId="10" applyBorder="1" applyAlignment="1">
      <alignment horizontal="left" vertical="center"/>
    </xf>
    <xf numFmtId="176" fontId="11" fillId="0" borderId="0" xfId="10" applyFont="1"/>
    <xf numFmtId="178" fontId="2" fillId="0" borderId="0" xfId="10" applyNumberFormat="1" applyAlignment="1">
      <alignment horizontal="center" vertical="center" wrapText="1"/>
    </xf>
    <xf numFmtId="49" fontId="2" fillId="0" borderId="0" xfId="10" applyNumberFormat="1" applyAlignment="1">
      <alignment horizontal="center"/>
    </xf>
    <xf numFmtId="49" fontId="4" fillId="0" borderId="5" xfId="10" applyNumberFormat="1" applyFont="1" applyBorder="1" applyAlignment="1">
      <alignment horizontal="center" vertical="center"/>
    </xf>
    <xf numFmtId="176" fontId="2" fillId="0" borderId="5" xfId="10" applyBorder="1" applyAlignment="1">
      <alignment horizontal="left" vertical="center" wrapText="1"/>
    </xf>
    <xf numFmtId="49" fontId="2" fillId="0" borderId="0" xfId="10" applyNumberFormat="1" applyAlignment="1">
      <alignment horizontal="center" wrapText="1"/>
    </xf>
    <xf numFmtId="176" fontId="11" fillId="0" borderId="0" xfId="10" applyFont="1" applyAlignment="1">
      <alignment wrapText="1"/>
    </xf>
    <xf numFmtId="176" fontId="21" fillId="0" borderId="0" xfId="17" applyFont="1">
      <alignment vertical="center"/>
    </xf>
    <xf numFmtId="49" fontId="21" fillId="0" borderId="0" xfId="17" applyNumberFormat="1" applyFont="1">
      <alignment vertical="center"/>
    </xf>
    <xf numFmtId="10" fontId="22" fillId="0" borderId="0" xfId="14" applyNumberFormat="1" applyFont="1">
      <alignment vertical="center"/>
    </xf>
    <xf numFmtId="178" fontId="21" fillId="0" borderId="0" xfId="17" applyNumberFormat="1" applyFont="1">
      <alignment vertical="center"/>
    </xf>
    <xf numFmtId="49" fontId="23" fillId="10" borderId="5" xfId="7" applyNumberFormat="1" applyFont="1" applyFill="1" applyBorder="1" applyAlignment="1">
      <alignment horizontal="center" vertical="center"/>
    </xf>
    <xf numFmtId="10" fontId="23" fillId="10" borderId="5" xfId="14" applyNumberFormat="1" applyFont="1" applyFill="1" applyBorder="1" applyAlignment="1">
      <alignment horizontal="center" vertical="center"/>
    </xf>
    <xf numFmtId="178" fontId="23" fillId="10" borderId="5" xfId="7" applyNumberFormat="1" applyFont="1" applyFill="1" applyBorder="1" applyAlignment="1">
      <alignment horizontal="center" vertical="center"/>
    </xf>
    <xf numFmtId="49" fontId="24" fillId="0" borderId="5" xfId="8" applyNumberFormat="1" applyFont="1" applyBorder="1" applyAlignment="1">
      <alignment horizontal="center"/>
    </xf>
    <xf numFmtId="176" fontId="22" fillId="0" borderId="5" xfId="8" applyFont="1" applyBorder="1"/>
    <xf numFmtId="10" fontId="24" fillId="0" borderId="5" xfId="14" applyNumberFormat="1" applyFont="1" applyFill="1" applyBorder="1" applyAlignment="1">
      <alignment horizontal="center" vertical="center"/>
    </xf>
    <xf numFmtId="178" fontId="24" fillId="0" borderId="5" xfId="8" applyNumberFormat="1" applyFont="1" applyBorder="1" applyAlignment="1">
      <alignment horizontal="left"/>
    </xf>
    <xf numFmtId="49" fontId="23" fillId="10" borderId="5" xfId="14" applyNumberFormat="1" applyFont="1" applyFill="1" applyBorder="1" applyAlignment="1">
      <alignment horizontal="center" vertical="center"/>
    </xf>
    <xf numFmtId="10" fontId="25" fillId="0" borderId="5" xfId="14" applyNumberFormat="1" applyFont="1" applyBorder="1" applyAlignment="1">
      <alignment horizontal="center" vertical="center"/>
    </xf>
    <xf numFmtId="10" fontId="22" fillId="0" borderId="0" xfId="14" applyNumberFormat="1" applyFont="1" applyBorder="1">
      <alignment vertical="center"/>
    </xf>
    <xf numFmtId="0" fontId="0" fillId="11" borderId="0" xfId="0" applyFill="1">
      <alignment vertical="center"/>
    </xf>
    <xf numFmtId="0" fontId="26" fillId="0" borderId="0" xfId="0" applyFont="1" applyAlignment="1">
      <alignment horizontal="left" vertical="top"/>
    </xf>
    <xf numFmtId="0" fontId="26" fillId="0" borderId="0" xfId="0" applyFont="1" applyAlignment="1">
      <alignment horizontal="left" vertical="top" wrapText="1"/>
    </xf>
    <xf numFmtId="0" fontId="26" fillId="0" borderId="0" xfId="0" applyFont="1" applyAlignment="1">
      <alignment horizontal="center" vertical="top" wrapText="1"/>
    </xf>
    <xf numFmtId="0" fontId="26" fillId="0" borderId="0" xfId="0" applyFont="1" applyAlignment="1">
      <alignment horizontal="center" vertical="top"/>
    </xf>
    <xf numFmtId="3" fontId="26" fillId="0" borderId="0" xfId="0" applyNumberFormat="1" applyFont="1" applyAlignment="1">
      <alignment horizontal="left" vertical="top"/>
    </xf>
    <xf numFmtId="176" fontId="1" fillId="0" borderId="0" xfId="15" applyFont="1" applyAlignment="1">
      <alignment horizontal="center" vertical="center" wrapText="1"/>
    </xf>
    <xf numFmtId="49" fontId="1" fillId="2" borderId="0" xfId="15" applyNumberFormat="1" applyFont="1" applyFill="1" applyAlignment="1">
      <alignment horizontal="center" vertical="center" wrapText="1"/>
    </xf>
    <xf numFmtId="176" fontId="1" fillId="2" borderId="2" xfId="15" applyFont="1" applyFill="1" applyBorder="1" applyAlignment="1">
      <alignment horizontal="center" vertical="center" wrapText="1"/>
    </xf>
    <xf numFmtId="176" fontId="1" fillId="3" borderId="0" xfId="15" applyFont="1" applyFill="1" applyAlignment="1">
      <alignment horizontal="center" vertical="center" wrapText="1"/>
    </xf>
    <xf numFmtId="176" fontId="1" fillId="3" borderId="2" xfId="15" applyFont="1" applyFill="1" applyBorder="1" applyAlignment="1">
      <alignment horizontal="center" vertical="center" wrapText="1"/>
    </xf>
    <xf numFmtId="43" fontId="2" fillId="0" borderId="0" xfId="1" applyFont="1" applyAlignment="1">
      <alignment horizontal="left"/>
    </xf>
    <xf numFmtId="176" fontId="2" fillId="0" borderId="0" xfId="10" applyAlignment="1">
      <alignment horizontal="left" vertical="center"/>
    </xf>
    <xf numFmtId="176" fontId="2" fillId="0" borderId="0" xfId="5" applyAlignment="1">
      <alignment vertical="center"/>
    </xf>
    <xf numFmtId="176" fontId="2" fillId="0" borderId="0" xfId="10" applyAlignment="1">
      <alignment horizontal="left" vertical="center" wrapText="1"/>
    </xf>
    <xf numFmtId="43" fontId="1" fillId="5" borderId="0" xfId="21" applyFont="1" applyFill="1" applyAlignment="1">
      <alignment horizontal="center" vertical="center" wrapText="1"/>
    </xf>
    <xf numFmtId="176" fontId="1" fillId="5" borderId="0" xfId="15" applyFont="1" applyFill="1" applyAlignment="1">
      <alignment horizontal="center" vertical="center" wrapText="1"/>
    </xf>
    <xf numFmtId="0" fontId="1" fillId="5" borderId="2" xfId="15" applyNumberFormat="1" applyFont="1" applyFill="1" applyBorder="1" applyAlignment="1">
      <alignment horizontal="center" vertical="center" wrapText="1"/>
    </xf>
    <xf numFmtId="176" fontId="1" fillId="2" borderId="2" xfId="15" applyFont="1" applyFill="1" applyBorder="1" applyAlignment="1">
      <alignment horizontal="left" vertical="center" wrapText="1"/>
    </xf>
    <xf numFmtId="0" fontId="27" fillId="0" borderId="0" xfId="3" applyFont="1" applyFill="1" applyBorder="1" applyAlignment="1">
      <alignment horizontal="left" vertical="top" wrapText="1"/>
    </xf>
    <xf numFmtId="176" fontId="1" fillId="6" borderId="2" xfId="15" applyFont="1" applyFill="1" applyBorder="1" applyAlignment="1">
      <alignment horizontal="center" vertical="center" wrapText="1"/>
    </xf>
    <xf numFmtId="43" fontId="1" fillId="2" borderId="2" xfId="21" applyFont="1" applyFill="1" applyBorder="1" applyAlignment="1">
      <alignment horizontal="center" vertical="center" wrapText="1"/>
    </xf>
    <xf numFmtId="4" fontId="11" fillId="8" borderId="5" xfId="6" applyNumberFormat="1" applyFont="1" applyFill="1" applyBorder="1" applyAlignment="1">
      <alignment horizontal="center" vertical="center" wrapText="1"/>
    </xf>
    <xf numFmtId="49" fontId="11" fillId="8" borderId="5" xfId="6" applyNumberFormat="1" applyFont="1" applyFill="1" applyBorder="1" applyAlignment="1">
      <alignment horizontal="center" vertical="center" wrapText="1"/>
    </xf>
    <xf numFmtId="49" fontId="11" fillId="6" borderId="6" xfId="6" applyNumberFormat="1" applyFont="1" applyFill="1" applyBorder="1" applyAlignment="1">
      <alignment horizontal="center" vertical="center" wrapText="1"/>
    </xf>
    <xf numFmtId="49" fontId="11" fillId="6" borderId="0" xfId="6" applyNumberFormat="1" applyFont="1" applyFill="1" applyAlignment="1">
      <alignment horizontal="center" vertical="center" wrapText="1"/>
    </xf>
    <xf numFmtId="49" fontId="11" fillId="9" borderId="5" xfId="6" applyNumberFormat="1" applyFont="1" applyFill="1" applyBorder="1" applyAlignment="1">
      <alignment horizontal="center" vertical="center" wrapText="1"/>
    </xf>
    <xf numFmtId="49" fontId="13" fillId="6" borderId="0" xfId="6" applyNumberFormat="1" applyFont="1" applyFill="1" applyAlignment="1">
      <alignment horizontal="center" vertical="center" wrapText="1"/>
    </xf>
    <xf numFmtId="176" fontId="6" fillId="0" borderId="0" xfId="6" applyFont="1" applyAlignment="1">
      <alignment horizontal="center" vertical="center"/>
    </xf>
    <xf numFmtId="43" fontId="2" fillId="0" borderId="0" xfId="1" applyFont="1" applyFill="1" applyBorder="1" applyAlignment="1">
      <alignment horizontal="left"/>
    </xf>
    <xf numFmtId="10" fontId="2" fillId="0" borderId="0" xfId="2" applyNumberFormat="1" applyFont="1" applyFill="1" applyBorder="1" applyAlignment="1" applyProtection="1">
      <alignment horizontal="right"/>
    </xf>
    <xf numFmtId="10" fontId="2" fillId="0" borderId="0" xfId="2" applyNumberFormat="1" applyFont="1" applyAlignment="1">
      <alignment horizontal="right"/>
    </xf>
    <xf numFmtId="176" fontId="3" fillId="0" borderId="0" xfId="15" applyAlignment="1">
      <alignment wrapText="1"/>
    </xf>
    <xf numFmtId="49" fontId="2" fillId="0" borderId="5" xfId="10" applyNumberFormat="1" applyBorder="1" applyAlignment="1">
      <alignment horizontal="center" vertical="center" wrapText="1"/>
    </xf>
    <xf numFmtId="176" fontId="2" fillId="0" borderId="5" xfId="5" applyBorder="1" applyAlignment="1">
      <alignment vertical="center" wrapText="1"/>
    </xf>
    <xf numFmtId="43" fontId="3" fillId="0" borderId="0" xfId="15" applyNumberFormat="1"/>
    <xf numFmtId="10" fontId="25" fillId="0" borderId="5" xfId="11" applyNumberFormat="1" applyFont="1" applyFill="1" applyBorder="1" applyAlignment="1">
      <alignment horizontal="center"/>
    </xf>
    <xf numFmtId="178" fontId="24" fillId="0" borderId="5" xfId="8" applyNumberFormat="1" applyFont="1" applyBorder="1" applyAlignment="1">
      <alignment horizontal="right"/>
    </xf>
    <xf numFmtId="10" fontId="25" fillId="12" borderId="5" xfId="14" applyNumberFormat="1" applyFont="1" applyFill="1" applyBorder="1" applyAlignment="1">
      <alignment horizontal="center" vertical="center"/>
    </xf>
    <xf numFmtId="43" fontId="21" fillId="0" borderId="0" xfId="17" applyNumberFormat="1" applyFont="1">
      <alignment vertical="center"/>
    </xf>
    <xf numFmtId="49" fontId="11" fillId="7" borderId="5" xfId="6" quotePrefix="1" applyNumberFormat="1" applyFont="1" applyFill="1" applyBorder="1" applyAlignment="1">
      <alignment horizontal="center" vertical="center" wrapText="1"/>
    </xf>
    <xf numFmtId="49" fontId="11" fillId="8" borderId="5" xfId="6" quotePrefix="1" applyNumberFormat="1" applyFont="1" applyFill="1" applyBorder="1" applyAlignment="1">
      <alignment horizontal="center" vertical="center" wrapText="1"/>
    </xf>
    <xf numFmtId="49" fontId="11" fillId="9" borderId="5" xfId="6" quotePrefix="1" applyNumberFormat="1" applyFont="1" applyFill="1" applyBorder="1" applyAlignment="1">
      <alignment horizontal="center" vertical="center" wrapText="1"/>
    </xf>
    <xf numFmtId="49" fontId="11" fillId="6" borderId="5" xfId="6" quotePrefix="1" applyNumberFormat="1" applyFont="1" applyFill="1" applyBorder="1" applyAlignment="1">
      <alignment horizontal="center" vertical="center" wrapText="1"/>
    </xf>
    <xf numFmtId="0" fontId="34" fillId="0" borderId="0" xfId="0" applyFont="1">
      <alignment vertical="center"/>
    </xf>
    <xf numFmtId="49" fontId="2" fillId="0" borderId="5" xfId="10" applyNumberFormat="1" applyBorder="1" applyAlignment="1">
      <alignment horizontal="left"/>
    </xf>
    <xf numFmtId="176" fontId="19" fillId="10" borderId="5" xfId="10" applyFont="1" applyFill="1" applyBorder="1" applyAlignment="1">
      <alignment horizontal="center"/>
    </xf>
    <xf numFmtId="49" fontId="1" fillId="0" borderId="1" xfId="15" applyNumberFormat="1" applyFont="1" applyBorder="1" applyAlignment="1">
      <alignment vertical="center"/>
    </xf>
    <xf numFmtId="176" fontId="1" fillId="0" borderId="2" xfId="15" applyFont="1" applyBorder="1" applyAlignment="1">
      <alignment horizontal="fill" vertical="center"/>
    </xf>
    <xf numFmtId="176" fontId="1" fillId="0" borderId="2" xfId="15" applyFont="1" applyBorder="1" applyAlignment="1">
      <alignment horizontal="left" vertical="center"/>
    </xf>
    <xf numFmtId="176" fontId="1" fillId="0" borderId="0" xfId="15" applyFont="1" applyAlignment="1">
      <alignment horizontal="left" vertical="center"/>
    </xf>
    <xf numFmtId="176" fontId="1" fillId="0" borderId="2" xfId="15" applyFont="1" applyBorder="1" applyAlignment="1">
      <alignment vertical="center"/>
    </xf>
    <xf numFmtId="176" fontId="1" fillId="0" borderId="2" xfId="15" applyFont="1" applyBorder="1" applyAlignment="1">
      <alignment horizontal="left"/>
    </xf>
    <xf numFmtId="176" fontId="1" fillId="0" borderId="2" xfId="15" applyFont="1" applyBorder="1" applyAlignment="1">
      <alignment horizontal="center"/>
    </xf>
    <xf numFmtId="49" fontId="11" fillId="7" borderId="5" xfId="6" quotePrefix="1" applyNumberFormat="1" applyFont="1" applyFill="1" applyBorder="1" applyAlignment="1">
      <alignment horizontal="center" vertical="center" wrapText="1"/>
    </xf>
    <xf numFmtId="49" fontId="11" fillId="7" borderId="5" xfId="6" applyNumberFormat="1" applyFont="1" applyFill="1" applyBorder="1" applyAlignment="1">
      <alignment horizontal="center" vertical="center" wrapText="1"/>
    </xf>
    <xf numFmtId="43" fontId="1" fillId="0" borderId="4" xfId="21" applyFont="1" applyFill="1" applyBorder="1" applyAlignment="1">
      <alignment horizontal="center" wrapText="1"/>
    </xf>
    <xf numFmtId="176" fontId="1" fillId="0" borderId="4" xfId="15" applyFont="1" applyBorder="1" applyAlignment="1">
      <alignment horizontal="center" wrapText="1"/>
    </xf>
    <xf numFmtId="49" fontId="1" fillId="7" borderId="5" xfId="6" applyNumberFormat="1" applyFont="1" applyFill="1" applyBorder="1" applyAlignment="1">
      <alignment horizontal="center" wrapText="1"/>
    </xf>
    <xf numFmtId="49" fontId="1" fillId="7" borderId="1" xfId="6" applyNumberFormat="1" applyFont="1" applyFill="1" applyBorder="1" applyAlignment="1">
      <alignment horizontal="center"/>
    </xf>
    <xf numFmtId="49" fontId="1" fillId="7" borderId="2" xfId="6" applyNumberFormat="1" applyFont="1" applyFill="1" applyBorder="1" applyAlignment="1">
      <alignment horizontal="center"/>
    </xf>
    <xf numFmtId="49" fontId="1" fillId="7" borderId="2" xfId="6" applyNumberFormat="1" applyFont="1" applyFill="1" applyBorder="1" applyAlignment="1">
      <alignment horizontal="center" vertical="center"/>
    </xf>
    <xf numFmtId="49" fontId="1" fillId="7" borderId="3" xfId="6" applyNumberFormat="1" applyFont="1" applyFill="1" applyBorder="1" applyAlignment="1">
      <alignment horizontal="center"/>
    </xf>
    <xf numFmtId="49" fontId="1" fillId="7" borderId="4" xfId="6" applyNumberFormat="1" applyFont="1" applyFill="1" applyBorder="1" applyAlignment="1">
      <alignment horizontal="center"/>
    </xf>
    <xf numFmtId="49" fontId="1" fillId="7" borderId="4" xfId="6" applyNumberFormat="1" applyFont="1" applyFill="1" applyBorder="1" applyAlignment="1">
      <alignment horizontal="center" vertical="center"/>
    </xf>
    <xf numFmtId="176" fontId="21" fillId="0" borderId="5" xfId="17" applyFont="1" applyBorder="1">
      <alignment vertical="center"/>
    </xf>
    <xf numFmtId="49" fontId="24" fillId="0" borderId="0" xfId="8" applyNumberFormat="1" applyFont="1" applyBorder="1" applyAlignment="1">
      <alignment horizontal="center"/>
    </xf>
    <xf numFmtId="176" fontId="22" fillId="0" borderId="0" xfId="8" applyFont="1" applyBorder="1"/>
    <xf numFmtId="10" fontId="24" fillId="0" borderId="0" xfId="14" applyNumberFormat="1" applyFont="1" applyFill="1" applyBorder="1" applyAlignment="1">
      <alignment horizontal="center" vertical="center"/>
    </xf>
    <xf numFmtId="10" fontId="25" fillId="0" borderId="0" xfId="11" applyNumberFormat="1" applyFont="1" applyFill="1" applyBorder="1" applyAlignment="1">
      <alignment horizontal="center"/>
    </xf>
    <xf numFmtId="178" fontId="24" fillId="0" borderId="0" xfId="8" applyNumberFormat="1" applyFont="1" applyBorder="1" applyAlignment="1">
      <alignment horizontal="left"/>
    </xf>
    <xf numFmtId="10" fontId="0" fillId="0" borderId="0" xfId="1" applyNumberFormat="1" applyFont="1">
      <alignment vertical="center"/>
    </xf>
  </cellXfs>
  <cellStyles count="22">
    <cellStyle name="Comma 2" xfId="4" xr:uid="{00000000-0005-0000-0000-000031000000}"/>
    <cellStyle name="Normal 2 2" xfId="5" xr:uid="{00000000-0005-0000-0000-000032000000}"/>
    <cellStyle name="Normal 3 2" xfId="6" xr:uid="{00000000-0005-0000-0000-000033000000}"/>
    <cellStyle name="Normal 3 3 2" xfId="7" xr:uid="{00000000-0005-0000-0000-000034000000}"/>
    <cellStyle name="Normal 3 5 2" xfId="8" xr:uid="{00000000-0005-0000-0000-000035000000}"/>
    <cellStyle name="Normal_SHEET" xfId="9" xr:uid="{00000000-0005-0000-0000-000036000000}"/>
    <cellStyle name="Normal_SHEET 2" xfId="10" xr:uid="{00000000-0005-0000-0000-000037000000}"/>
    <cellStyle name="Percent 12" xfId="11" xr:uid="{00000000-0005-0000-0000-000038000000}"/>
    <cellStyle name="Percent 2" xfId="12" xr:uid="{00000000-0005-0000-0000-000039000000}"/>
    <cellStyle name="百分比" xfId="2" builtinId="5"/>
    <cellStyle name="百分比 2" xfId="13" xr:uid="{00000000-0005-0000-0000-00003A000000}"/>
    <cellStyle name="百分比 5" xfId="14" xr:uid="{00000000-0005-0000-0000-00003B000000}"/>
    <cellStyle name="常规" xfId="0" builtinId="0"/>
    <cellStyle name="常规 2 2" xfId="15" xr:uid="{00000000-0005-0000-0000-00003C000000}"/>
    <cellStyle name="常规 4 2" xfId="16" xr:uid="{00000000-0005-0000-0000-00003D000000}"/>
    <cellStyle name="常规 6" xfId="17" xr:uid="{00000000-0005-0000-0000-00003E000000}"/>
    <cellStyle name="超链接" xfId="3" builtinId="8"/>
    <cellStyle name="超链接 2" xfId="18" xr:uid="{00000000-0005-0000-0000-00003F000000}"/>
    <cellStyle name="千位分隔" xfId="1" builtinId="3"/>
    <cellStyle name="千位分隔 2" xfId="19" xr:uid="{00000000-0005-0000-0000-000040000000}"/>
    <cellStyle name="千位分隔 2 2" xfId="20" xr:uid="{00000000-0005-0000-0000-000041000000}"/>
    <cellStyle name="千位分隔 5" xfId="21" xr:uid="{00000000-0005-0000-0000-000042000000}"/>
  </cellStyles>
  <dxfs count="18">
    <dxf>
      <fill>
        <patternFill patternType="solid">
          <bgColor rgb="FFFF99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70</xdr:row>
      <xdr:rowOff>107674</xdr:rowOff>
    </xdr:from>
    <xdr:ext cx="8229612" cy="2465228"/>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2177395"/>
          <a:ext cx="8229600" cy="2465070"/>
        </a:xfrm>
        <a:prstGeom prst="rect">
          <a:avLst/>
        </a:prstGeom>
      </xdr:spPr>
    </xdr:pic>
    <xdr:clientData/>
  </xdr:oneCellAnchor>
  <xdr:oneCellAnchor>
    <xdr:from>
      <xdr:col>0</xdr:col>
      <xdr:colOff>0</xdr:colOff>
      <xdr:row>85</xdr:row>
      <xdr:rowOff>83280</xdr:rowOff>
    </xdr:from>
    <xdr:ext cx="10106439" cy="3670619"/>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14667865"/>
          <a:ext cx="10106025" cy="36703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448;&#24180;&#36164;&#26009;/066-2024-&#26494;&#33673;&#32654;&#23481;&#31185;&#25216;&#65288;&#19978;&#28023;&#65289;&#26377;&#38480;&#20844;&#21496;-&#26494;&#33673;&#31185;&#25216;2023TPD/4.&#21487;&#32534;&#36753;&#24213;&#31295;/&#26494;&#33673;bm-202406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3--&gt;"/>
      <sheetName val="Summary2023"/>
      <sheetName val="AP Lead Sheet 2023"/>
      <sheetName val="AP 2023"/>
      <sheetName val="30"/>
      <sheetName val="ALL results"/>
      <sheetName val="Search summary -incor"/>
      <sheetName val="Search summary -trading"/>
      <sheetName val="2022--&gt;"/>
      <sheetName val="Summary2022"/>
      <sheetName val="AP Lead Sheet 2022"/>
      <sheetName val="AP 2022"/>
    </sheetNames>
    <sheetDataSet>
      <sheetData sheetId="0"/>
      <sheetData sheetId="1"/>
      <sheetData sheetId="2">
        <row r="15">
          <cell r="A15" t="str">
            <v>2841</v>
          </cell>
        </row>
        <row r="16">
          <cell r="A16" t="str">
            <v>2842</v>
          </cell>
        </row>
        <row r="17">
          <cell r="A17" t="str">
            <v>2843</v>
          </cell>
        </row>
        <row r="18">
          <cell r="A18" t="str">
            <v>2844</v>
          </cell>
        </row>
      </sheetData>
      <sheetData sheetId="3">
        <row r="1">
          <cell r="BS1" t="str">
            <v>H</v>
          </cell>
          <cell r="DG1" t="str">
            <v>2022</v>
          </cell>
          <cell r="DR1" t="str">
            <v>2021</v>
          </cell>
          <cell r="EC1" t="str">
            <v>2020</v>
          </cell>
          <cell r="EN1" t="str">
            <v>2020-2022 Average</v>
          </cell>
        </row>
        <row r="2">
          <cell r="J2" t="str">
            <v>Leverage Part</v>
          </cell>
          <cell r="N2" t="str">
            <v>OK</v>
          </cell>
          <cell r="O2" t="str">
            <v>OK</v>
          </cell>
          <cell r="P2" t="str">
            <v>ok</v>
          </cell>
          <cell r="V2" t="str">
            <v>OK</v>
          </cell>
          <cell r="W2" t="str">
            <v>OK</v>
          </cell>
        </row>
        <row r="3">
          <cell r="B3" t="str">
            <v>COMPANY</v>
          </cell>
          <cell r="C3" t="str">
            <v>status 2023</v>
          </cell>
          <cell r="D3" t="str">
            <v>general 2023</v>
          </cell>
          <cell r="E3" t="str">
            <v>detail 2023</v>
          </cell>
          <cell r="F3" t="str">
            <v>Lev
(Y/N)</v>
          </cell>
          <cell r="G3" t="str">
            <v>Segment</v>
          </cell>
          <cell r="H3" t="str">
            <v>Mock NCP</v>
          </cell>
          <cell r="I3" t="str">
            <v>Review</v>
          </cell>
          <cell r="J3" t="str">
            <v>status 2022</v>
          </cell>
          <cell r="K3" t="str">
            <v>general 2022</v>
          </cell>
          <cell r="L3" t="str">
            <v>detail 2022</v>
          </cell>
          <cell r="M3" t="str">
            <v>COMPANY</v>
          </cell>
          <cell r="N3" t="str">
            <v>Overview</v>
          </cell>
          <cell r="O3" t="str">
            <v>Main activity</v>
          </cell>
          <cell r="P3" t="str">
            <v>Website address</v>
          </cell>
          <cell r="Q3" t="str">
            <v>Trading address - Country</v>
          </cell>
          <cell r="R3" t="str">
            <v>Address of incorp. - Country</v>
          </cell>
          <cell r="S3" t="str">
            <v>Ticker symbol</v>
          </cell>
          <cell r="T3" t="str">
            <v>BvDEP Independence Indicator</v>
          </cell>
          <cell r="U3" t="str">
            <v>US SIC, Primary code(s) (M)</v>
          </cell>
          <cell r="V3" t="str">
            <v>Summary business description</v>
          </cell>
          <cell r="W3" t="str">
            <v>Description and history</v>
          </cell>
          <cell r="X3" t="str">
            <v>Previous company name</v>
          </cell>
          <cell r="Y3" t="str">
            <v>Main brand names</v>
          </cell>
          <cell r="Z3" t="str">
            <v>BVD ID number</v>
          </cell>
          <cell r="AA3" t="str">
            <v>Total revenues,2022, Values in original currency (th)</v>
          </cell>
          <cell r="AB3" t="str">
            <v>Total revenues,2021, Values in original currency (th)</v>
          </cell>
          <cell r="AC3" t="str">
            <v>Total revenues,2020, Values in original currency (th)</v>
          </cell>
          <cell r="AD3" t="str">
            <v>Total revenues,2019, Values in original currency (th)</v>
          </cell>
          <cell r="AE3" t="str">
            <v>Gross sales,2022, Values in original currency (th)</v>
          </cell>
          <cell r="AF3" t="str">
            <v>Gross sales,2021, Values in original currency (th)</v>
          </cell>
          <cell r="AG3" t="str">
            <v>Gross sales,2020, Values in original currency (th)</v>
          </cell>
          <cell r="AH3" t="str">
            <v>Gross sales,2019, Values in original currency (th)</v>
          </cell>
          <cell r="AI3" t="str">
            <v>Adjustments/excise tax,2022, Values in original currency (th)</v>
          </cell>
          <cell r="AJ3" t="str">
            <v>Adjustments/excise tax,2021, Values in original currency (th)</v>
          </cell>
          <cell r="AK3" t="str">
            <v>Adjustments/excise tax,2020, Values in original currency (th)</v>
          </cell>
          <cell r="AL3" t="str">
            <v>Adjustments/excise tax,2019, Values in original currency (th)</v>
          </cell>
          <cell r="AM3" t="str">
            <v>Net sales,2022, Values in original currency (th)</v>
          </cell>
          <cell r="AN3" t="str">
            <v>Net sales,2021, Values in original currency (th)</v>
          </cell>
          <cell r="AO3" t="str">
            <v>Net sales,2020, Values in original currency (th)</v>
          </cell>
          <cell r="AP3" t="str">
            <v>Net sales,2019, Values in original currency (th)</v>
          </cell>
          <cell r="AQ3" t="str">
            <v>Other revenues,2022, Values in original currency (th)</v>
          </cell>
          <cell r="AR3" t="str">
            <v>Other revenues,2021, Values in original currency (th)</v>
          </cell>
          <cell r="AS3" t="str">
            <v>Other revenues,2020, Values in original currency (th)</v>
          </cell>
          <cell r="AT3" t="str">
            <v>Other revenues,2019, Values in original currency (th)</v>
          </cell>
          <cell r="AU3" t="str">
            <v>Cost of Goods Sold,2022, Values in original currency (th)</v>
          </cell>
          <cell r="AV3" t="str">
            <v>Cost of Goods Sold,2021, Values in original currency (th)</v>
          </cell>
          <cell r="AW3" t="str">
            <v>Cost of Goods Sold,2020, Values in original currency (th)</v>
          </cell>
          <cell r="AX3" t="str">
            <v>Cost of Goods Sold,2019, Values in original currency (th)</v>
          </cell>
          <cell r="AY3" t="str">
            <v>Research &amp; Development expenses,2022, Values in original currency (th)</v>
          </cell>
          <cell r="AZ3" t="str">
            <v>Research &amp; Development expenses,2021, Values in original currency (th)</v>
          </cell>
          <cell r="BA3" t="str">
            <v>Research &amp; Development expenses,2020, Values in original currency (th)</v>
          </cell>
          <cell r="BB3" t="str">
            <v>Research &amp; Development expenses,2019, Values in original currency (th)</v>
          </cell>
          <cell r="BC3" t="str">
            <v>Other Operating Items,2022, Values in original currency (th)</v>
          </cell>
          <cell r="BD3" t="str">
            <v>Other Operating Items,2021, Values in original currency (th)</v>
          </cell>
          <cell r="BE3" t="str">
            <v>Other Operating Items,2020, Values in original currency (th)</v>
          </cell>
          <cell r="BF3" t="str">
            <v>Other Operating Items,2019, Values in original currency (th)</v>
          </cell>
          <cell r="BG3" t="str">
            <v>EBITDA,2022, Values in original currency (th)</v>
          </cell>
          <cell r="BH3" t="str">
            <v>EBITDA,2021, Values in original currency (th)</v>
          </cell>
          <cell r="BI3" t="str">
            <v>EBITDA,2020, Values in original currency (th)</v>
          </cell>
          <cell r="BJ3" t="str">
            <v>EBITDA,2019, Values in original currency (th)</v>
          </cell>
          <cell r="BK3" t="str">
            <v>Total Depreciation, Amort. &amp; Depl.,2022, Values in original currency (th)</v>
          </cell>
          <cell r="BL3" t="str">
            <v>Total Depreciation, Amort. &amp; Depl.,2021, Values in original currency (th)</v>
          </cell>
          <cell r="BM3" t="str">
            <v>Total Depreciation, Amort. &amp; Depl.,2020, Values in original currency (th)</v>
          </cell>
          <cell r="BN3" t="str">
            <v>Total Depreciation, Amort. &amp; Depl.,2019, Values in original currency (th)</v>
          </cell>
          <cell r="BO3" t="str">
            <v>Depreciation,2022, Values in original currency (th)</v>
          </cell>
          <cell r="BP3" t="str">
            <v>Depreciation,2021, Values in original currency (th)</v>
          </cell>
          <cell r="BQ3" t="str">
            <v>Depreciation,2020, Values in original currency (th)</v>
          </cell>
          <cell r="BR3" t="str">
            <v>Depreciation,2019, Values in original currency (th)</v>
          </cell>
          <cell r="BS3" t="str">
            <v>Amortization &amp; Depletion,2022, Values in original currency (th)</v>
          </cell>
          <cell r="BT3" t="str">
            <v>Amortization &amp; Depletion,2021, Values in original currency (th)</v>
          </cell>
          <cell r="BU3" t="str">
            <v>Amortization &amp; Depletion,2020, Values in original currency (th)</v>
          </cell>
          <cell r="BV3" t="str">
            <v>Amortization &amp; Depletion,2019, Values in original currency (th)</v>
          </cell>
          <cell r="BW3" t="str">
            <v>Net Profit,2022, Values in original currency (th)</v>
          </cell>
          <cell r="BX3" t="str">
            <v>Net Profit,2021, Values in original currency (th)</v>
          </cell>
          <cell r="BY3" t="str">
            <v>Net Profit,2020, Values in original currency (th)</v>
          </cell>
          <cell r="BZ3" t="str">
            <v>Net Profit,2019, Values in original currency (th)</v>
          </cell>
          <cell r="CA3" t="str">
            <v>Total Current Assets,2022, Values in original currency (th)</v>
          </cell>
          <cell r="CB3" t="str">
            <v>Total Current Assets,2021, Values in original currency (th)</v>
          </cell>
          <cell r="CC3" t="str">
            <v>Total Current Assets,2020, Values in original currency (th)</v>
          </cell>
          <cell r="CD3" t="str">
            <v>Total Current Assets,2019, Values in original currency (th)</v>
          </cell>
          <cell r="CE3" t="str">
            <v>Net Stated Inventory,2022, Values in original currency (th)</v>
          </cell>
          <cell r="CF3" t="str">
            <v>Net Stated Inventory,2021, Values in original currency (th)</v>
          </cell>
          <cell r="CG3" t="str">
            <v>Net Stated Inventory,2020, Values in original currency (th)</v>
          </cell>
          <cell r="CH3" t="str">
            <v>Net Stated Inventory,2019, Values in original currency (th)</v>
          </cell>
          <cell r="CI3" t="str">
            <v>Net Accounts Receivable,2022, Values in original currency (th)</v>
          </cell>
          <cell r="CJ3" t="str">
            <v>Net Accounts Receivable,2021, Values in original currency (th)</v>
          </cell>
          <cell r="CK3" t="str">
            <v>Net Accounts Receivable,2020, Values in original currency (th)</v>
          </cell>
          <cell r="CL3" t="str">
            <v>Net Accounts Receivable,2019, Values in original currency (th)</v>
          </cell>
          <cell r="CM3" t="str">
            <v>Other Current Assets,2022, Values in original currency (th)</v>
          </cell>
          <cell r="CN3" t="str">
            <v>Other Current Assets,2021, Values in original currency (th)</v>
          </cell>
          <cell r="CO3" t="str">
            <v>Other Current Assets,2020, Values in original currency (th)</v>
          </cell>
          <cell r="CP3" t="str">
            <v>Other Current Assets,2019, Values in original currency (th)</v>
          </cell>
          <cell r="CQ3" t="str">
            <v>Total Cash &amp; Short Term Investment,2022, Values in original currency (th)</v>
          </cell>
          <cell r="CR3" t="str">
            <v>Total Cash &amp; Short Term Investment,2021, Values in original currency (th)</v>
          </cell>
          <cell r="CS3" t="str">
            <v>Total Cash &amp; Short Term Investment,2020, Values in original currency (th)</v>
          </cell>
          <cell r="CT3" t="str">
            <v>Total Cash &amp; Short Term Investment,2019, Values in original currency (th)</v>
          </cell>
          <cell r="CU3" t="str">
            <v>Short Term Investment,2022, Values in original currency (th)</v>
          </cell>
          <cell r="CV3" t="str">
            <v>Short Term Investment,2021, Values in original currency (th)</v>
          </cell>
          <cell r="CW3" t="str">
            <v>Short Term Investment,2020, Values in original currency (th)</v>
          </cell>
          <cell r="CX3" t="str">
            <v>Short Term Investment,2019, Values in original currency (th)</v>
          </cell>
          <cell r="CY3" t="str">
            <v>Net Property, Plant &amp; Equipment,2022, Values in original currency (th)</v>
          </cell>
          <cell r="CZ3" t="str">
            <v>Net Property, Plant &amp; Equipment,2021, Values in original currency (th)</v>
          </cell>
          <cell r="DA3" t="str">
            <v>Net Property, Plant &amp; Equipment,2020, Values in original currency (th)</v>
          </cell>
          <cell r="DB3" t="str">
            <v>Net Property, Plant &amp; Equipment,2019, Values in original currency (th)</v>
          </cell>
          <cell r="DC3" t="str">
            <v>Total Assets,2022, Values in original currency (th)</v>
          </cell>
          <cell r="DD3" t="str">
            <v>Total Assets,2021, Values in original currency (th)</v>
          </cell>
          <cell r="DE3" t="str">
            <v>Total Assets,2020, Values in original currency (th)</v>
          </cell>
          <cell r="DF3" t="str">
            <v>Total Assets,2019, Values in original currency (th)</v>
          </cell>
          <cell r="DG3" t="str">
            <v xml:space="preserve">Sales </v>
          </cell>
          <cell r="DH3" t="str">
            <v>CoGS</v>
          </cell>
          <cell r="DI3" t="str">
            <v>SG&amp;A</v>
          </cell>
          <cell r="DJ3" t="str">
            <v>Depreciation</v>
          </cell>
          <cell r="DK3" t="str">
            <v>OP</v>
          </cell>
          <cell r="DL3" t="str">
            <v>OM</v>
          </cell>
          <cell r="DM3" t="str">
            <v>NCP</v>
          </cell>
          <cell r="DN3" t="str">
            <v>Research &amp; Development expenses</v>
          </cell>
          <cell r="DO3" t="str">
            <v>Inventory</v>
          </cell>
          <cell r="DP3" t="str">
            <v>Fixed Assets</v>
          </cell>
          <cell r="DR3" t="str">
            <v xml:space="preserve">Sales </v>
          </cell>
          <cell r="DS3" t="str">
            <v>CoGS</v>
          </cell>
          <cell r="DT3" t="str">
            <v>SG&amp;A</v>
          </cell>
          <cell r="DU3" t="str">
            <v>Depreciation</v>
          </cell>
          <cell r="DV3" t="str">
            <v>OP</v>
          </cell>
          <cell r="DW3" t="str">
            <v>OM</v>
          </cell>
          <cell r="DX3" t="str">
            <v>NCP</v>
          </cell>
          <cell r="DY3" t="str">
            <v>Research &amp; Development expenses</v>
          </cell>
          <cell r="DZ3" t="str">
            <v>Inventory</v>
          </cell>
          <cell r="EA3" t="str">
            <v>Fixed Assets</v>
          </cell>
          <cell r="EC3" t="str">
            <v xml:space="preserve">Sales </v>
          </cell>
          <cell r="ED3" t="str">
            <v>CoGS</v>
          </cell>
          <cell r="EE3" t="str">
            <v>SG&amp;A</v>
          </cell>
          <cell r="EF3" t="str">
            <v>Depreciation</v>
          </cell>
          <cell r="EG3" t="str">
            <v>OP</v>
          </cell>
          <cell r="EH3" t="str">
            <v>OM</v>
          </cell>
          <cell r="EI3" t="str">
            <v>NCP</v>
          </cell>
          <cell r="EJ3" t="str">
            <v>Research &amp; Development expenses</v>
          </cell>
          <cell r="EK3" t="str">
            <v>Inventory</v>
          </cell>
          <cell r="EL3" t="str">
            <v>Fixed Assets</v>
          </cell>
          <cell r="EN3" t="str">
            <v xml:space="preserve">Sales </v>
          </cell>
          <cell r="EO3" t="str">
            <v>CoGS</v>
          </cell>
          <cell r="EP3" t="str">
            <v>SG&amp;A</v>
          </cell>
          <cell r="EQ3" t="str">
            <v>Depreciation</v>
          </cell>
          <cell r="ER3" t="str">
            <v>OP</v>
          </cell>
          <cell r="ES3" t="str">
            <v>OM</v>
          </cell>
          <cell r="ET3" t="str">
            <v>NCP</v>
          </cell>
        </row>
        <row r="4">
          <cell r="B4" t="str">
            <v>KAO CORPORATION</v>
          </cell>
          <cell r="C4" t="str">
            <v>exclude</v>
          </cell>
          <cell r="D4" t="str">
            <v>Lev SDA/SDP</v>
          </cell>
          <cell r="H4" t="str">
            <v/>
          </cell>
          <cell r="J4" t="str">
            <v>exclude</v>
          </cell>
          <cell r="K4" t="str">
            <v>lev SDA/SDP</v>
          </cell>
          <cell r="M4" t="str">
            <v>KAO CORPORATION</v>
          </cell>
          <cell r="N4" t="str">
            <v>This company, incorporated in 1887, operates as manufacturer of household and industrial products. Its head office is located in Tokyo. It also has operations in approximately 27 countries in Asia, North America, Europe, and other parts of the world. The company has eight manufacturing plants; three research laboratories; two training centers and 21 logistics centers located in Japan. Its products include: disposable baby diapers, sanitary napkins, bath additives, skin care products, cooking oils, drinks, perfumes, laundry detergents, hair care products, cosmetics, house cleaning products, hair coloring agents, body shampoo, hand soaps, body soaps. Its brands include Enova, Jergens, Biore, John Frieda, Ban, Molton Brown and Kanebo. These products are distributed to wholesalers, chain stores and retailers globally. The company is recognized as one of the leading manufacturer of household and personal care products in Asia. It is also known as the world's number 44 advertiser. Its mission is to strive for the wholehearted satisfaction and enrichment of the lives of people globally through the company's core domains of cleanliness, beauty, health and chemicals.</v>
          </cell>
          <cell r="O4" t="str">
            <v>Manufacturing</v>
          </cell>
          <cell r="P4" t="str">
            <v>www.kao.co.jp</v>
          </cell>
          <cell r="R4" t="str">
            <v>Japan</v>
          </cell>
          <cell r="S4" t="str">
            <v>4452</v>
          </cell>
          <cell r="T4" t="str">
            <v>A+</v>
          </cell>
          <cell r="U4" t="str">
            <v>2841</v>
          </cell>
          <cell r="V4" t="str">
            <v>Operates as manufacturer of household and industrial products</v>
          </cell>
          <cell r="W4" t="str">
            <v>The Company is a Japan-based company engaged in the manufacture and sale of consumer products and chemical products.</v>
          </cell>
          <cell r="X4" t="str">
            <v>KAO SOAP COMPANY</v>
          </cell>
          <cell r="Z4" t="str">
            <v>JP4010001034760</v>
          </cell>
          <cell r="AA4">
            <v>1568595000000</v>
          </cell>
          <cell r="AB4">
            <v>1436193000000</v>
          </cell>
          <cell r="AC4">
            <v>1382115000000</v>
          </cell>
          <cell r="AD4">
            <v>1502241000000</v>
          </cell>
          <cell r="AE4">
            <v>1551059000000</v>
          </cell>
          <cell r="AF4">
            <v>1418768000000</v>
          </cell>
          <cell r="AG4">
            <v>1381997000000</v>
          </cell>
          <cell r="AH4">
            <v>1502241000000</v>
          </cell>
          <cell r="AI4" t="str">
            <v>n.a.</v>
          </cell>
          <cell r="AJ4" t="str">
            <v>n.a.</v>
          </cell>
          <cell r="AK4" t="str">
            <v>n.a.</v>
          </cell>
          <cell r="AL4" t="str">
            <v>n.a.</v>
          </cell>
          <cell r="AM4">
            <v>1551059000000</v>
          </cell>
          <cell r="AN4">
            <v>1418768000000</v>
          </cell>
          <cell r="AO4">
            <v>1381997000000</v>
          </cell>
          <cell r="AP4">
            <v>1502241000000</v>
          </cell>
          <cell r="AQ4">
            <v>17536000000</v>
          </cell>
          <cell r="AR4">
            <v>17425000000</v>
          </cell>
          <cell r="AS4">
            <v>118000000</v>
          </cell>
          <cell r="AT4" t="str">
            <v>n.a.</v>
          </cell>
          <cell r="AU4">
            <v>-930341000000</v>
          </cell>
          <cell r="AV4">
            <v>-776598000000</v>
          </cell>
          <cell r="AW4">
            <v>-723810000000</v>
          </cell>
          <cell r="AX4">
            <v>-784129000000</v>
          </cell>
          <cell r="AY4">
            <v>-60601000000</v>
          </cell>
          <cell r="AZ4">
            <v>-58993000000</v>
          </cell>
          <cell r="BA4">
            <v>-58509000000</v>
          </cell>
          <cell r="BB4">
            <v>-59143000000</v>
          </cell>
          <cell r="BC4">
            <v>-374105000000</v>
          </cell>
          <cell r="BD4">
            <v>-360508000000</v>
          </cell>
          <cell r="BE4">
            <v>-338856000000</v>
          </cell>
          <cell r="BF4">
            <v>-364994000000</v>
          </cell>
          <cell r="BG4">
            <v>203548000000</v>
          </cell>
          <cell r="BH4">
            <v>240094000000</v>
          </cell>
          <cell r="BI4">
            <v>260940000000</v>
          </cell>
          <cell r="BJ4">
            <v>293975000000</v>
          </cell>
          <cell r="BK4">
            <v>-89772000000</v>
          </cell>
          <cell r="BL4">
            <v>-91894000000</v>
          </cell>
          <cell r="BM4">
            <v>-86080000000</v>
          </cell>
          <cell r="BN4">
            <v>-83369000000</v>
          </cell>
          <cell r="BO4">
            <v>-89772000000</v>
          </cell>
          <cell r="BP4">
            <v>-91894000000</v>
          </cell>
          <cell r="BQ4">
            <v>-86080000000</v>
          </cell>
          <cell r="BR4">
            <v>-83369000000</v>
          </cell>
          <cell r="BS4">
            <v>0</v>
          </cell>
          <cell r="BT4">
            <v>0</v>
          </cell>
          <cell r="BU4">
            <v>0</v>
          </cell>
          <cell r="BV4">
            <v>0</v>
          </cell>
          <cell r="BW4">
            <v>86038000000</v>
          </cell>
          <cell r="BX4">
            <v>109636000000</v>
          </cell>
          <cell r="BY4">
            <v>126142000000</v>
          </cell>
          <cell r="BZ4">
            <v>148213000000</v>
          </cell>
          <cell r="CA4">
            <v>807206000000</v>
          </cell>
          <cell r="CB4">
            <v>809792000000</v>
          </cell>
          <cell r="CC4">
            <v>778396000000</v>
          </cell>
          <cell r="CD4">
            <v>737026000000</v>
          </cell>
          <cell r="CE4">
            <v>278382000000</v>
          </cell>
          <cell r="CF4">
            <v>228070000000</v>
          </cell>
          <cell r="CG4">
            <v>197641000000</v>
          </cell>
          <cell r="CH4">
            <v>199672000000</v>
          </cell>
          <cell r="CI4">
            <v>221452000000</v>
          </cell>
          <cell r="CJ4">
            <v>208577000000</v>
          </cell>
          <cell r="CK4">
            <v>193440000000</v>
          </cell>
          <cell r="CL4">
            <v>202660000000</v>
          </cell>
          <cell r="CM4">
            <v>24562000000</v>
          </cell>
          <cell r="CN4">
            <v>21423000000</v>
          </cell>
          <cell r="CO4">
            <v>18990000000</v>
          </cell>
          <cell r="CP4">
            <v>22638000000</v>
          </cell>
          <cell r="CQ4">
            <v>271853000000</v>
          </cell>
          <cell r="CR4">
            <v>342163000000</v>
          </cell>
          <cell r="CS4">
            <v>360433000000</v>
          </cell>
          <cell r="CT4">
            <v>303469000000</v>
          </cell>
          <cell r="CU4">
            <v>20605000000</v>
          </cell>
          <cell r="CV4">
            <v>28094000000</v>
          </cell>
          <cell r="CW4">
            <v>32057000000</v>
          </cell>
          <cell r="CX4">
            <v>63688000000</v>
          </cell>
          <cell r="CY4">
            <v>163055000000</v>
          </cell>
          <cell r="CZ4">
            <v>157612000000</v>
          </cell>
          <cell r="DA4">
            <v>161366000000</v>
          </cell>
          <cell r="DB4">
            <v>167164000000</v>
          </cell>
          <cell r="DC4">
            <v>1726350000000</v>
          </cell>
          <cell r="DD4">
            <v>1704007000000</v>
          </cell>
          <cell r="DE4">
            <v>1665616000000</v>
          </cell>
          <cell r="DF4">
            <v>1653919000000</v>
          </cell>
          <cell r="DG4">
            <v>1551059000000</v>
          </cell>
          <cell r="DH4">
            <v>-930341000000</v>
          </cell>
          <cell r="DI4">
            <v>-434706000000</v>
          </cell>
          <cell r="DJ4">
            <v>-89772000000</v>
          </cell>
          <cell r="DK4">
            <v>96240000000</v>
          </cell>
          <cell r="DL4">
            <v>6.2047929833745803E-2</v>
          </cell>
          <cell r="DM4">
            <v>6.6152559184338405E-2</v>
          </cell>
          <cell r="DN4">
            <v>-60601000000</v>
          </cell>
          <cell r="DO4">
            <v>253226000000</v>
          </cell>
          <cell r="DP4">
            <v>160333500000</v>
          </cell>
          <cell r="DR4">
            <v>1418768000000</v>
          </cell>
          <cell r="DS4">
            <v>-776598000000</v>
          </cell>
          <cell r="DT4">
            <v>-419501000000</v>
          </cell>
          <cell r="DU4">
            <v>-91894000000</v>
          </cell>
          <cell r="DV4">
            <v>130775000000</v>
          </cell>
          <cell r="DW4">
            <v>9.21750420082776E-2</v>
          </cell>
          <cell r="DX4">
            <v>0.10153393690804199</v>
          </cell>
          <cell r="DY4">
            <v>-58993000000</v>
          </cell>
          <cell r="DZ4">
            <v>212855500000</v>
          </cell>
          <cell r="EA4">
            <v>159489000000</v>
          </cell>
          <cell r="EC4">
            <v>1381997000000</v>
          </cell>
          <cell r="ED4">
            <v>-723810000000</v>
          </cell>
          <cell r="EE4">
            <v>-397365000000</v>
          </cell>
          <cell r="EF4">
            <v>-86080000000</v>
          </cell>
          <cell r="EG4">
            <v>174742000000</v>
          </cell>
          <cell r="EH4">
            <v>0.126441663766274</v>
          </cell>
          <cell r="EI4">
            <v>0.14474323982919901</v>
          </cell>
          <cell r="EJ4">
            <v>-58509000000</v>
          </cell>
          <cell r="EK4">
            <v>198656500000</v>
          </cell>
          <cell r="EL4">
            <v>164265000000</v>
          </cell>
          <cell r="EN4">
            <v>1450608000000</v>
          </cell>
          <cell r="EO4">
            <v>-810249666666.66699</v>
          </cell>
          <cell r="EP4">
            <v>-417190666666.66699</v>
          </cell>
          <cell r="EQ4">
            <v>-89248666666.666702</v>
          </cell>
          <cell r="ER4">
            <v>133919000000</v>
          </cell>
          <cell r="ES4">
            <v>9.2319220630246099E-2</v>
          </cell>
          <cell r="ET4">
            <v>0.10170890772232501</v>
          </cell>
        </row>
        <row r="5">
          <cell r="B5" t="str">
            <v>SHISEIDO COMPANY LIMITED</v>
          </cell>
          <cell r="C5" t="str">
            <v>include before</v>
          </cell>
          <cell r="H5">
            <v>-2.4089578628684501E-3</v>
          </cell>
          <cell r="J5" t="str">
            <v>Include before</v>
          </cell>
          <cell r="K5">
            <v>0</v>
          </cell>
          <cell r="M5" t="str">
            <v>SHISEIDO COMPANY LIMITED</v>
          </cell>
          <cell r="N5" t="str">
            <v>The company, based in Japan, operates as a major Japanese hair care and cosmetics producer and the oldest cosmetics company in the world. It was established as Japan's first Western-style pharmacy in Tokyo's Ginza district in 1872. Its registered corporate headquarters is located in Chuo-ku.The company's principal activities are the manufacture and sale of cosmetics, toiletries, and beauty products. It offers cosmetics under its own brands, such as AUPRES, Cle de Peau Beaute, PURE&amp;MILD, and Maquillage; and toiletries under Fino Premium Touch, Kuyura, and Sengan Senka brands. It also provides professional products, health and beauty foods, pharmaceuticals, and fine chemicals principally under the brand names of System QURL, Q10 series, and Bikei. The company's operations are carried out through the following divisions: domestic cosmetics, overseas cosmetics, and others. The domestic cosmetics segment offers cosmetics, toiletries, beauty products, health foods, beauty foods and pharmaceuticals in Japan through direct sale force, retailers, and wholesale distributors. The overseas cosmetic segment offers cosmetics, toiletries and beauty products in Europe, the United States, and Asia/Oceania through distribution centers. The others business segment includes the frontier science division, which manufactures and markets medical-use drugs and cosmetics, and conducts a variety of other activities including the sale of clothing and accessories, restaurant operation, and real estate management and sales.</v>
          </cell>
          <cell r="O5" t="str">
            <v>Manufacturing</v>
          </cell>
          <cell r="P5" t="str">
            <v>www.shiseido.co.jp</v>
          </cell>
          <cell r="R5" t="str">
            <v>Japan</v>
          </cell>
          <cell r="S5" t="str">
            <v>4911</v>
          </cell>
          <cell r="T5" t="str">
            <v>A+</v>
          </cell>
          <cell r="U5" t="str">
            <v>2844</v>
          </cell>
          <cell r="V5" t="str">
            <v>Operates as a major Japanese hair care and cosmetics producer and the oldest cosmetics company in the world</v>
          </cell>
          <cell r="W5" t="str">
            <v>The Company is a Japan-based company engaged in the manufacture and sale of cosmetics, toiletries, personal care products, barber and beauty products.</v>
          </cell>
          <cell r="Y5" t="str">
            <v>AUPRES, Cle de Peau Beaute, PURE&amp;MILD, and Maquillage; Fino Premium Touch, Kuyura, and Sengan Senka; System QURL, Q10 series, and Bikei</v>
          </cell>
          <cell r="Z5" t="str">
            <v>JP1010001034813</v>
          </cell>
          <cell r="AA5">
            <v>1090606000000</v>
          </cell>
          <cell r="AB5">
            <v>1150378000000</v>
          </cell>
          <cell r="AC5">
            <v>920888000000</v>
          </cell>
          <cell r="AD5">
            <v>1131547000000</v>
          </cell>
          <cell r="AE5">
            <v>1067355000000</v>
          </cell>
          <cell r="AF5">
            <v>1009966000000</v>
          </cell>
          <cell r="AG5">
            <v>920888000000</v>
          </cell>
          <cell r="AH5">
            <v>1131547000000</v>
          </cell>
          <cell r="AI5" t="str">
            <v>n.a.</v>
          </cell>
          <cell r="AJ5" t="str">
            <v>n.a.</v>
          </cell>
          <cell r="AK5" t="str">
            <v>n.a.</v>
          </cell>
          <cell r="AL5" t="str">
            <v>n.a.</v>
          </cell>
          <cell r="AM5">
            <v>1067355000000</v>
          </cell>
          <cell r="AN5">
            <v>1009966000000</v>
          </cell>
          <cell r="AO5">
            <v>920888000000</v>
          </cell>
          <cell r="AP5">
            <v>1131547000000</v>
          </cell>
          <cell r="AQ5">
            <v>23251000000</v>
          </cell>
          <cell r="AR5">
            <v>140412000000</v>
          </cell>
          <cell r="AS5" t="str">
            <v>n.a.</v>
          </cell>
          <cell r="AT5" t="str">
            <v>n.a.</v>
          </cell>
          <cell r="AU5">
            <v>-247473000000</v>
          </cell>
          <cell r="AV5">
            <v>-195750000000</v>
          </cell>
          <cell r="AW5">
            <v>-170953000000</v>
          </cell>
          <cell r="AX5">
            <v>-196434000000</v>
          </cell>
          <cell r="AY5">
            <v>-26678000000</v>
          </cell>
          <cell r="AZ5">
            <v>-25814000000</v>
          </cell>
          <cell r="BA5">
            <v>-26992000000</v>
          </cell>
          <cell r="BB5">
            <v>-31697000000</v>
          </cell>
          <cell r="BC5">
            <v>-698486000000</v>
          </cell>
          <cell r="BD5">
            <v>-741193000000</v>
          </cell>
          <cell r="BE5">
            <v>-640531000000</v>
          </cell>
          <cell r="BF5">
            <v>-731174000000</v>
          </cell>
          <cell r="BG5">
            <v>117969000000</v>
          </cell>
          <cell r="BH5">
            <v>187621000000</v>
          </cell>
          <cell r="BI5">
            <v>82412000000</v>
          </cell>
          <cell r="BJ5">
            <v>172242000000</v>
          </cell>
          <cell r="BK5">
            <v>-75718000000</v>
          </cell>
          <cell r="BL5">
            <v>-87637000000</v>
          </cell>
          <cell r="BM5">
            <v>-68224000000</v>
          </cell>
          <cell r="BN5">
            <v>-58410000000</v>
          </cell>
          <cell r="BO5">
            <v>-75718000000</v>
          </cell>
          <cell r="BP5">
            <v>-76058000000</v>
          </cell>
          <cell r="BQ5">
            <v>-61160000000</v>
          </cell>
          <cell r="BR5">
            <v>-55732000000</v>
          </cell>
          <cell r="BS5">
            <v>0</v>
          </cell>
          <cell r="BT5">
            <v>-11579000000</v>
          </cell>
          <cell r="BU5">
            <v>-7064000000</v>
          </cell>
          <cell r="BV5">
            <v>-2678000000</v>
          </cell>
          <cell r="BW5">
            <v>34202000000</v>
          </cell>
          <cell r="BX5">
            <v>46909000000</v>
          </cell>
          <cell r="BY5">
            <v>-11660000000</v>
          </cell>
          <cell r="BZ5">
            <v>73562000000</v>
          </cell>
          <cell r="CA5">
            <v>524229000000</v>
          </cell>
          <cell r="CB5">
            <v>512922000000</v>
          </cell>
          <cell r="CC5">
            <v>514764000000</v>
          </cell>
          <cell r="CD5">
            <v>532623000000</v>
          </cell>
          <cell r="CE5">
            <v>130940000000</v>
          </cell>
          <cell r="CF5">
            <v>134147000000</v>
          </cell>
          <cell r="CG5">
            <v>170031000000</v>
          </cell>
          <cell r="CH5">
            <v>181104000000</v>
          </cell>
          <cell r="CI5">
            <v>165210000000</v>
          </cell>
          <cell r="CJ5">
            <v>147078000000</v>
          </cell>
          <cell r="CK5">
            <v>141084000000</v>
          </cell>
          <cell r="CL5">
            <v>170164000000</v>
          </cell>
          <cell r="CM5">
            <v>79471000000</v>
          </cell>
          <cell r="CN5">
            <v>47654000000</v>
          </cell>
          <cell r="CO5">
            <v>52636000000</v>
          </cell>
          <cell r="CP5">
            <v>71013000000</v>
          </cell>
          <cell r="CQ5">
            <v>137534000000</v>
          </cell>
          <cell r="CR5">
            <v>172932000000</v>
          </cell>
          <cell r="CS5">
            <v>151013000000</v>
          </cell>
          <cell r="CT5">
            <v>110342000000</v>
          </cell>
          <cell r="CU5">
            <v>18498000000</v>
          </cell>
          <cell r="CV5">
            <v>16429000000</v>
          </cell>
          <cell r="CW5">
            <v>21000000000</v>
          </cell>
          <cell r="CX5" t="str">
            <v>n.a.</v>
          </cell>
          <cell r="CY5">
            <v>135090000000</v>
          </cell>
          <cell r="CZ5">
            <v>145762000000</v>
          </cell>
          <cell r="DA5">
            <v>129966000000</v>
          </cell>
          <cell r="DB5">
            <v>158852000000</v>
          </cell>
          <cell r="DC5">
            <v>1307661000000</v>
          </cell>
          <cell r="DD5">
            <v>1300979000000</v>
          </cell>
          <cell r="DE5">
            <v>1204229000000</v>
          </cell>
          <cell r="DF5">
            <v>1218795000000</v>
          </cell>
          <cell r="DG5">
            <v>1067355000000</v>
          </cell>
          <cell r="DH5">
            <v>-247473000000</v>
          </cell>
          <cell r="DI5">
            <v>-725164000000</v>
          </cell>
          <cell r="DJ5">
            <v>-75718000000</v>
          </cell>
          <cell r="DK5">
            <v>19000000000</v>
          </cell>
          <cell r="DL5">
            <v>1.7801012783937899E-2</v>
          </cell>
          <cell r="DM5">
            <v>1.8123631785034601E-2</v>
          </cell>
          <cell r="DN5">
            <v>-26678000000</v>
          </cell>
          <cell r="DO5">
            <v>132543500000</v>
          </cell>
          <cell r="DP5">
            <v>140426000000</v>
          </cell>
          <cell r="DR5">
            <v>1009966000000</v>
          </cell>
          <cell r="DS5">
            <v>-195750000000</v>
          </cell>
          <cell r="DT5">
            <v>-767007000000</v>
          </cell>
          <cell r="DU5">
            <v>-87637000000</v>
          </cell>
          <cell r="DV5">
            <v>-40428000000</v>
          </cell>
          <cell r="DW5">
            <v>-4.0029070285534402E-2</v>
          </cell>
          <cell r="DX5">
            <v>-3.8488414823390098E-2</v>
          </cell>
          <cell r="DY5">
            <v>-25814000000</v>
          </cell>
          <cell r="DZ5">
            <v>152089000000</v>
          </cell>
          <cell r="EA5">
            <v>137864000000</v>
          </cell>
          <cell r="EC5">
            <v>920888000000</v>
          </cell>
          <cell r="ED5">
            <v>-170953000000</v>
          </cell>
          <cell r="EE5">
            <v>-667523000000</v>
          </cell>
          <cell r="EF5">
            <v>-68224000000</v>
          </cell>
          <cell r="EG5">
            <v>14188000000</v>
          </cell>
          <cell r="EH5">
            <v>1.5406868153347599E-2</v>
          </cell>
          <cell r="EI5">
            <v>1.5647954119333798E-2</v>
          </cell>
          <cell r="EJ5">
            <v>-26992000000</v>
          </cell>
          <cell r="EK5">
            <v>175567500000</v>
          </cell>
          <cell r="EL5">
            <v>144409000000</v>
          </cell>
          <cell r="EN5">
            <v>999403000000</v>
          </cell>
          <cell r="EO5">
            <v>-204725333333.33301</v>
          </cell>
          <cell r="EP5">
            <v>-719898000000</v>
          </cell>
          <cell r="EQ5">
            <v>-77193000000</v>
          </cell>
          <cell r="ER5">
            <v>-2413333333.3333702</v>
          </cell>
          <cell r="ES5">
            <v>-2.4147749539809001E-3</v>
          </cell>
          <cell r="ET5">
            <v>-2.4089578628684501E-3</v>
          </cell>
        </row>
        <row r="6">
          <cell r="B6" t="str">
            <v>HINDUSTAN UNILEVER LIMITED</v>
          </cell>
          <cell r="C6" t="str">
            <v>exclude</v>
          </cell>
          <cell r="D6" t="str">
            <v>Independence(A+, A, A-, U)</v>
          </cell>
          <cell r="H6" t="str">
            <v/>
          </cell>
          <cell r="J6" t="str">
            <v>exclude</v>
          </cell>
          <cell r="K6" t="str">
            <v>Independence(A+, A, A-, U)</v>
          </cell>
          <cell r="M6" t="str">
            <v>HINDUSTAN UNILEVER LIMITED</v>
          </cell>
          <cell r="N6" t="str">
            <v>This company is primarily engaged in the manufacture of fast moving consumer goods (home and personal care products, foods and beverages). The company, formerly known as Hindustan Lever Limited, was founded in 1956. The company has its registered head office in Mumbai, India.The company is considered as the largest producer of fast moving consumer goods in India. Its products are grouped into three categories namely, home and personal care, foods, and water. The home and personal care group Include personal body wash products under the brands Lux, Breeze, Lifebuoy, Dove, and Rexona, among others; laundry products under the brands Surf Excel, Rin and Wheel; skin care products under the brands Fair &amp; Lovely, Pond's, and Vaseline; hair care products under the brands Sunsilk Naturals and Clinic; oral care products under the brands Pepsodent and Closeup; deodorants under the brands Axe and Rexona; and colour cosmetics under the brand Lakme. The food group covers tea products under the brands Brooke Bond and Lipton; coffee under the brand Brooke Bond Bru; ice cream under the brand Kwality Wall's; and food products under the brands Kissan, Annapurna, and Knorr. The Water group is comprised of in-home water purifier under the brand Pureit. Hindustan Unilever further produces preserved marine products (e.g. surimi, crabsticks and shrimps) under the brands Ocean Diamond, Ocean Excellence, Shogun, Hima, Gold Seal, Tara and Prima; and rice products under the brands Gold Seal, Indus Valley, Rozana and Annapurna.The company exports its products in Europe, Asia, the Middle East, Africa, Australia, and North America, among others. The company's common shares are traded on the Bombay Stock Exchange under the ticker symbol HINDUNILVR.</v>
          </cell>
          <cell r="O6" t="str">
            <v>Manufacturing</v>
          </cell>
          <cell r="P6" t="str">
            <v>www.hul.co.in</v>
          </cell>
          <cell r="R6" t="str">
            <v>India</v>
          </cell>
          <cell r="S6" t="str">
            <v>HINDUNILVR</v>
          </cell>
          <cell r="T6" t="str">
            <v>C+</v>
          </cell>
          <cell r="U6" t="str">
            <v>2841</v>
          </cell>
          <cell r="V6" t="str">
            <v>Primarily engaged in the manufacture of fast moving consumer goods (home and personal care products, foods and beverages)</v>
          </cell>
          <cell r="W6" t="str">
            <v>The Company is engaged in the business of home care, beauty, personal care include products in the categories of oral care, foods, refreshment and others include exports, infant care products.</v>
          </cell>
          <cell r="X6" t="str">
            <v>HINDUSTAN LEVER LIMITED</v>
          </cell>
          <cell r="Z6" t="str">
            <v>IN30019FI</v>
          </cell>
          <cell r="AA6">
            <v>605800000000</v>
          </cell>
          <cell r="AB6">
            <v>524500000000</v>
          </cell>
          <cell r="AC6">
            <v>470290000000</v>
          </cell>
          <cell r="AD6">
            <v>397830000000</v>
          </cell>
          <cell r="AE6">
            <v>595490000000</v>
          </cell>
          <cell r="AF6">
            <v>515480000000</v>
          </cell>
          <cell r="AG6">
            <v>463210000000</v>
          </cell>
          <cell r="AH6">
            <v>392380000000</v>
          </cell>
          <cell r="AI6" t="str">
            <v>n.a.</v>
          </cell>
          <cell r="AJ6" t="str">
            <v>n.a.</v>
          </cell>
          <cell r="AK6" t="str">
            <v>n.a.</v>
          </cell>
          <cell r="AL6" t="str">
            <v>n.a.</v>
          </cell>
          <cell r="AM6">
            <v>595490000000</v>
          </cell>
          <cell r="AN6">
            <v>515480000000</v>
          </cell>
          <cell r="AO6">
            <v>463210000000</v>
          </cell>
          <cell r="AP6">
            <v>392380000000</v>
          </cell>
          <cell r="AQ6">
            <v>10310000000</v>
          </cell>
          <cell r="AR6">
            <v>9020000000</v>
          </cell>
          <cell r="AS6">
            <v>7080000000</v>
          </cell>
          <cell r="AT6">
            <v>5450000000</v>
          </cell>
          <cell r="AU6">
            <v>-317160000000</v>
          </cell>
          <cell r="AV6">
            <v>-257350000000</v>
          </cell>
          <cell r="AW6">
            <v>-221480000000</v>
          </cell>
          <cell r="AX6">
            <v>-182590000000</v>
          </cell>
          <cell r="AY6">
            <v>0</v>
          </cell>
          <cell r="AZ6">
            <v>0</v>
          </cell>
          <cell r="BA6">
            <v>0</v>
          </cell>
          <cell r="BB6">
            <v>0</v>
          </cell>
          <cell r="BC6">
            <v>-147000000000</v>
          </cell>
          <cell r="BD6">
            <v>-138400000000</v>
          </cell>
          <cell r="BE6">
            <v>-131960000000</v>
          </cell>
          <cell r="BF6">
            <v>-116630000000</v>
          </cell>
          <cell r="BG6">
            <v>141640000000</v>
          </cell>
          <cell r="BH6">
            <v>128750000000</v>
          </cell>
          <cell r="BI6">
            <v>116850000000</v>
          </cell>
          <cell r="BJ6">
            <v>98610000000</v>
          </cell>
          <cell r="BK6">
            <v>-11530000000</v>
          </cell>
          <cell r="BL6">
            <v>-11060000000</v>
          </cell>
          <cell r="BM6">
            <v>-11340000000</v>
          </cell>
          <cell r="BN6">
            <v>-10020000000</v>
          </cell>
          <cell r="BO6">
            <v>-11290000000</v>
          </cell>
          <cell r="BP6">
            <v>-10800000000</v>
          </cell>
          <cell r="BQ6">
            <v>-11070000000</v>
          </cell>
          <cell r="BR6">
            <v>-9860000000</v>
          </cell>
          <cell r="BS6">
            <v>-240000000</v>
          </cell>
          <cell r="BT6">
            <v>-260000000</v>
          </cell>
          <cell r="BU6">
            <v>-270000000</v>
          </cell>
          <cell r="BV6">
            <v>-160000000</v>
          </cell>
          <cell r="BW6">
            <v>101200000000</v>
          </cell>
          <cell r="BX6">
            <v>88790000000</v>
          </cell>
          <cell r="BY6">
            <v>79950000000</v>
          </cell>
          <cell r="BZ6">
            <v>67480000000</v>
          </cell>
          <cell r="CA6">
            <v>169980000000</v>
          </cell>
          <cell r="CB6">
            <v>155220000000</v>
          </cell>
          <cell r="CC6">
            <v>142170000000</v>
          </cell>
          <cell r="CD6">
            <v>123210000000</v>
          </cell>
          <cell r="CE6">
            <v>42510000000</v>
          </cell>
          <cell r="CF6">
            <v>40960000000</v>
          </cell>
          <cell r="CG6">
            <v>35790000000</v>
          </cell>
          <cell r="CH6">
            <v>27670000000</v>
          </cell>
          <cell r="CI6">
            <v>30790000000</v>
          </cell>
          <cell r="CJ6">
            <v>22360000000</v>
          </cell>
          <cell r="CK6">
            <v>17580000000</v>
          </cell>
          <cell r="CL6">
            <v>11490000000</v>
          </cell>
          <cell r="CM6">
            <v>5700000000</v>
          </cell>
          <cell r="CN6">
            <v>5270000000</v>
          </cell>
          <cell r="CO6">
            <v>4050000000</v>
          </cell>
          <cell r="CP6">
            <v>10840000000</v>
          </cell>
          <cell r="CQ6">
            <v>83530000000</v>
          </cell>
          <cell r="CR6">
            <v>79750000000</v>
          </cell>
          <cell r="CS6">
            <v>79780000000</v>
          </cell>
          <cell r="CT6">
            <v>70310000000</v>
          </cell>
          <cell r="CU6">
            <v>36750000000</v>
          </cell>
          <cell r="CV6">
            <v>41290000000</v>
          </cell>
          <cell r="CW6">
            <v>35070000000</v>
          </cell>
          <cell r="CX6">
            <v>19180000000</v>
          </cell>
          <cell r="CY6">
            <v>14780000000</v>
          </cell>
          <cell r="CZ6">
            <v>16460000000</v>
          </cell>
          <cell r="DA6">
            <v>10760000000</v>
          </cell>
          <cell r="DB6">
            <v>8900000000</v>
          </cell>
          <cell r="DC6">
            <v>730870000000</v>
          </cell>
          <cell r="DD6">
            <v>705170000000</v>
          </cell>
          <cell r="DE6">
            <v>687570000000</v>
          </cell>
          <cell r="DF6">
            <v>201530000000</v>
          </cell>
          <cell r="DG6">
            <v>595490000000</v>
          </cell>
          <cell r="DH6">
            <v>-317160000000</v>
          </cell>
          <cell r="DI6">
            <v>-147000000000</v>
          </cell>
          <cell r="DJ6">
            <v>-11530000000</v>
          </cell>
          <cell r="DK6">
            <v>119800000000</v>
          </cell>
          <cell r="DL6">
            <v>0.20117886110597999</v>
          </cell>
          <cell r="DM6">
            <v>0.25184468876789501</v>
          </cell>
          <cell r="DN6">
            <v>0</v>
          </cell>
          <cell r="DO6">
            <v>41735000000</v>
          </cell>
          <cell r="DP6">
            <v>15620000000</v>
          </cell>
          <cell r="DR6">
            <v>515480000000</v>
          </cell>
          <cell r="DS6">
            <v>-257350000000</v>
          </cell>
          <cell r="DT6">
            <v>-138400000000</v>
          </cell>
          <cell r="DU6">
            <v>-11060000000</v>
          </cell>
          <cell r="DV6">
            <v>108670000000</v>
          </cell>
          <cell r="DW6">
            <v>0.210813222627454</v>
          </cell>
          <cell r="DX6">
            <v>0.26712716009930898</v>
          </cell>
          <cell r="DY6">
            <v>0</v>
          </cell>
          <cell r="DZ6">
            <v>38375000000</v>
          </cell>
          <cell r="EA6">
            <v>13610000000</v>
          </cell>
          <cell r="EC6">
            <v>463210000000</v>
          </cell>
          <cell r="ED6">
            <v>-221480000000</v>
          </cell>
          <cell r="EE6">
            <v>-131960000000</v>
          </cell>
          <cell r="EF6">
            <v>-11340000000</v>
          </cell>
          <cell r="EG6">
            <v>98430000000</v>
          </cell>
          <cell r="EH6">
            <v>0.212495412447918</v>
          </cell>
          <cell r="EI6">
            <v>0.26983387247107798</v>
          </cell>
          <cell r="EJ6">
            <v>0</v>
          </cell>
          <cell r="EK6">
            <v>31730000000</v>
          </cell>
          <cell r="EL6">
            <v>9830000000</v>
          </cell>
          <cell r="EN6">
            <v>524726666666.66699</v>
          </cell>
          <cell r="EO6">
            <v>-265330000000</v>
          </cell>
          <cell r="EP6">
            <v>-139120000000</v>
          </cell>
          <cell r="EQ6">
            <v>-11310000000</v>
          </cell>
          <cell r="ER6">
            <v>108966666666.66701</v>
          </cell>
          <cell r="ES6">
            <v>0.207663672515214</v>
          </cell>
          <cell r="ET6">
            <v>0.26209030851132098</v>
          </cell>
        </row>
        <row r="7">
          <cell r="B7" t="str">
            <v>LG H&amp;H CO.,LTD.</v>
          </cell>
          <cell r="C7" t="str">
            <v>exclude</v>
          </cell>
          <cell r="D7" t="str">
            <v>Independence(A+, A, A-, U)</v>
          </cell>
          <cell r="H7" t="str">
            <v/>
          </cell>
          <cell r="J7" t="str">
            <v>exclude</v>
          </cell>
          <cell r="K7" t="str">
            <v>Independence(A+, A, A-, U)</v>
          </cell>
          <cell r="M7" t="str">
            <v>LG H&amp;H CO.,LTD.</v>
          </cell>
          <cell r="N7" t="str">
            <v>This company is engaged in the manufacture of household and cosmetic products. It was founded as Lucky Chemical Industrial Co. in 1947. Its registered headquarters is located in Seoul, Korea. The company is traded on the Korea Stock Exchange under the ticker symbol 051900.The company's business is categorized in two segments: household and cosmetics. Its household segment offers toothpastes, toothbrushes, oral rinses, soaps, body shampoos, hair shampoos, hair conditioners, powder detergents, fabric softeners, liquid detergents, disposable diapers, wet tissues, bathroom cleansers and other related products. Its cosmetic segment provides facial foams, facial moisturizers, anti wrinkle products, eye shadows, pressed powders, foundations, lipsticks, eye creams, ultraviolet (UV) products, and whitening products.The company has global operations in the United States, China, and Vietnam.</v>
          </cell>
          <cell r="O7" t="str">
            <v>Manufacturing</v>
          </cell>
          <cell r="P7" t="str">
            <v>www.lghnh.com</v>
          </cell>
          <cell r="R7" t="str">
            <v>Republic of Korea</v>
          </cell>
          <cell r="S7" t="str">
            <v>051900</v>
          </cell>
          <cell r="T7" t="str">
            <v>B+</v>
          </cell>
          <cell r="U7" t="str">
            <v>2844</v>
          </cell>
          <cell r="V7" t="str">
            <v>Engaged in the manufacture of household and cosmetic products</v>
          </cell>
          <cell r="W7" t="str">
            <v>- In April 2001, LGCI (LG Corp., LG Chem Co., Ltd., LG Chem Co., Ltd.) was newly established to manufacture and sell household goods and cosmetics as a main business and listed on the Dongwol Securities Market.Domestic market leader in the household goods division, cosmetics beauty division second in domestic market, and beverage refresher division second in domestic market.- Each brand has its own brand, Perio and Elastin in the household goods division, and mid to low priced brands such as Prestige, Maestage and The Face Shop.</v>
          </cell>
          <cell r="X7" t="str">
            <v>LG HOUSEHOLD &amp; HEALTHCARE LTD.</v>
          </cell>
          <cell r="Z7" t="str">
            <v>KR1101112208000</v>
          </cell>
          <cell r="AA7">
            <v>7185759184000</v>
          </cell>
          <cell r="AB7">
            <v>8091511298000</v>
          </cell>
          <cell r="AC7">
            <v>7844506057000</v>
          </cell>
          <cell r="AD7">
            <v>7685424230000</v>
          </cell>
          <cell r="AE7">
            <v>7185759184000</v>
          </cell>
          <cell r="AF7">
            <v>8091511298000</v>
          </cell>
          <cell r="AG7">
            <v>7844506057000</v>
          </cell>
          <cell r="AH7">
            <v>7685424230000</v>
          </cell>
          <cell r="AI7" t="str">
            <v>n.a.</v>
          </cell>
          <cell r="AJ7" t="str">
            <v>n.a.</v>
          </cell>
          <cell r="AK7" t="str">
            <v>n.a.</v>
          </cell>
          <cell r="AL7" t="str">
            <v>n.a.</v>
          </cell>
          <cell r="AM7">
            <v>7185759184000</v>
          </cell>
          <cell r="AN7">
            <v>8091511298000</v>
          </cell>
          <cell r="AO7">
            <v>7844506057000</v>
          </cell>
          <cell r="AP7">
            <v>7685424230000</v>
          </cell>
          <cell r="AQ7" t="str">
            <v>n.a.</v>
          </cell>
          <cell r="AR7" t="str">
            <v>n.a.</v>
          </cell>
          <cell r="AS7" t="str">
            <v>n.a.</v>
          </cell>
          <cell r="AT7" t="str">
            <v>n.a.</v>
          </cell>
          <cell r="AU7">
            <v>-3168512093000</v>
          </cell>
          <cell r="AV7">
            <v>-3039883555000</v>
          </cell>
          <cell r="AW7">
            <v>-2962930554000</v>
          </cell>
          <cell r="AX7">
            <v>-2917246275000</v>
          </cell>
          <cell r="AY7">
            <v>-25356000000</v>
          </cell>
          <cell r="AZ7">
            <v>-24734000000</v>
          </cell>
          <cell r="BA7">
            <v>-34058000000</v>
          </cell>
          <cell r="BB7">
            <v>-26047000000</v>
          </cell>
          <cell r="BC7">
            <v>-3108414157000</v>
          </cell>
          <cell r="BD7">
            <v>-3565277319000</v>
          </cell>
          <cell r="BE7">
            <v>-3447748772000</v>
          </cell>
          <cell r="BF7">
            <v>-3392991709000</v>
          </cell>
          <cell r="BG7">
            <v>883476934000</v>
          </cell>
          <cell r="BH7">
            <v>1461616424000</v>
          </cell>
          <cell r="BI7">
            <v>1399768731000</v>
          </cell>
          <cell r="BJ7">
            <v>1349139246000</v>
          </cell>
          <cell r="BK7">
            <v>-172354000000</v>
          </cell>
          <cell r="BL7">
            <v>-171986000000</v>
          </cell>
          <cell r="BM7">
            <v>-178904000000</v>
          </cell>
          <cell r="BN7">
            <v>-172728000000</v>
          </cell>
          <cell r="BO7">
            <v>-133945000000</v>
          </cell>
          <cell r="BP7">
            <v>-141034000000</v>
          </cell>
          <cell r="BQ7">
            <v>-152377000000</v>
          </cell>
          <cell r="BR7">
            <v>-146284000000</v>
          </cell>
          <cell r="BS7">
            <v>-38409000000</v>
          </cell>
          <cell r="BT7">
            <v>-30952000000</v>
          </cell>
          <cell r="BU7">
            <v>-26527000000</v>
          </cell>
          <cell r="BV7">
            <v>-26444000000</v>
          </cell>
          <cell r="BW7">
            <v>236572426000</v>
          </cell>
          <cell r="BX7">
            <v>844523496000</v>
          </cell>
          <cell r="BY7">
            <v>797628673000</v>
          </cell>
          <cell r="BZ7">
            <v>778097707000</v>
          </cell>
          <cell r="CA7">
            <v>2284388637000</v>
          </cell>
          <cell r="CB7">
            <v>2472884296000</v>
          </cell>
          <cell r="CC7">
            <v>1982768918000</v>
          </cell>
          <cell r="CD7">
            <v>2163074841000</v>
          </cell>
          <cell r="CE7">
            <v>955432615000</v>
          </cell>
          <cell r="CF7">
            <v>1000655942000</v>
          </cell>
          <cell r="CG7">
            <v>808965988000</v>
          </cell>
          <cell r="CH7">
            <v>746323199000</v>
          </cell>
          <cell r="CI7">
            <v>583310506000</v>
          </cell>
          <cell r="CJ7">
            <v>576428051000</v>
          </cell>
          <cell r="CK7">
            <v>611446696000</v>
          </cell>
          <cell r="CL7">
            <v>642440865000</v>
          </cell>
          <cell r="CM7">
            <v>45354159000</v>
          </cell>
          <cell r="CN7">
            <v>114346691000</v>
          </cell>
          <cell r="CO7">
            <v>87714770000</v>
          </cell>
          <cell r="CP7">
            <v>78400058000</v>
          </cell>
          <cell r="CQ7">
            <v>655119563000</v>
          </cell>
          <cell r="CR7">
            <v>734520612000</v>
          </cell>
          <cell r="CS7">
            <v>434105464000</v>
          </cell>
          <cell r="CT7">
            <v>647104059000</v>
          </cell>
          <cell r="CU7">
            <v>27000000</v>
          </cell>
          <cell r="CV7" t="str">
            <v>n.a.</v>
          </cell>
          <cell r="CW7" t="str">
            <v>n.a.</v>
          </cell>
          <cell r="CX7" t="str">
            <v>n.a.</v>
          </cell>
          <cell r="CY7">
            <v>545185277000</v>
          </cell>
          <cell r="CZ7">
            <v>669098181000</v>
          </cell>
          <cell r="DA7">
            <v>740742013000</v>
          </cell>
          <cell r="DB7">
            <v>691402655000</v>
          </cell>
          <cell r="DC7">
            <v>7302929652000</v>
          </cell>
          <cell r="DD7">
            <v>7555239418000</v>
          </cell>
          <cell r="DE7">
            <v>6801415784000</v>
          </cell>
          <cell r="DF7">
            <v>6493669663000</v>
          </cell>
          <cell r="DG7">
            <v>7185759184000</v>
          </cell>
          <cell r="DH7">
            <v>-3168512093000</v>
          </cell>
          <cell r="DI7">
            <v>-3133770157000</v>
          </cell>
          <cell r="DJ7">
            <v>-172354000000</v>
          </cell>
          <cell r="DK7">
            <v>711122934000</v>
          </cell>
          <cell r="DL7">
            <v>9.89628118325208E-2</v>
          </cell>
          <cell r="DM7">
            <v>0.10983210585768401</v>
          </cell>
          <cell r="DN7">
            <v>-25356000000</v>
          </cell>
          <cell r="DO7">
            <v>978044278500</v>
          </cell>
          <cell r="DP7">
            <v>607141729000</v>
          </cell>
          <cell r="DR7">
            <v>8091511298000</v>
          </cell>
          <cell r="DS7">
            <v>-3039883555000</v>
          </cell>
          <cell r="DT7">
            <v>-3590011319000</v>
          </cell>
          <cell r="DU7">
            <v>-171986000000</v>
          </cell>
          <cell r="DV7">
            <v>1289630424000</v>
          </cell>
          <cell r="DW7">
            <v>0.159380661597638</v>
          </cell>
          <cell r="DX7">
            <v>0.189599090000176</v>
          </cell>
          <cell r="DY7">
            <v>-24734000000</v>
          </cell>
          <cell r="DZ7">
            <v>904810965000</v>
          </cell>
          <cell r="EA7">
            <v>704920097000</v>
          </cell>
          <cell r="EC7">
            <v>7844506057000</v>
          </cell>
          <cell r="ED7">
            <v>-2962930554000</v>
          </cell>
          <cell r="EE7">
            <v>-3481806772000</v>
          </cell>
          <cell r="EF7">
            <v>-178904000000</v>
          </cell>
          <cell r="EG7">
            <v>1220864731000</v>
          </cell>
          <cell r="EH7">
            <v>0.15563309176242801</v>
          </cell>
          <cell r="EI7">
            <v>0.18431926955460301</v>
          </cell>
          <cell r="EJ7">
            <v>-34058000000</v>
          </cell>
          <cell r="EK7">
            <v>777644593500</v>
          </cell>
          <cell r="EL7">
            <v>716072334000</v>
          </cell>
          <cell r="EN7">
            <v>7707258846333.3301</v>
          </cell>
          <cell r="EO7">
            <v>-3057108734000</v>
          </cell>
          <cell r="EP7">
            <v>-3401862749333.3301</v>
          </cell>
          <cell r="EQ7">
            <v>-174414666666.66699</v>
          </cell>
          <cell r="ER7">
            <v>1073872696333.33</v>
          </cell>
          <cell r="ES7">
            <v>0.139332636640875</v>
          </cell>
          <cell r="ET7">
            <v>0.16188906721996499</v>
          </cell>
        </row>
        <row r="8">
          <cell r="B8" t="str">
            <v>AMORE PACIFIC GROUP</v>
          </cell>
          <cell r="C8" t="str">
            <v>exclude</v>
          </cell>
          <cell r="D8" t="str">
            <v>Independence(A+, A, A-, U)</v>
          </cell>
          <cell r="H8" t="str">
            <v/>
          </cell>
          <cell r="J8" t="str">
            <v>exclude</v>
          </cell>
          <cell r="K8" t="str">
            <v>Independence(A+, A, A-, U)</v>
          </cell>
          <cell r="M8" t="str">
            <v>AMORE PACIFIC GROUP</v>
          </cell>
          <cell r="N8" t="str">
            <v>This Korean holding company is engaged in the manufacture of glass containers for cosmetics and fragrances. The company, formerly known as AmorePacific Corporation, was established in March 1959. It is headquartered in Seoul, Republic of Korea. It also manufactures cosmetics, personal care and healthcare products.The company aims to be a global provider of total care in beauty and health. It has strong presence in China, Japan, France and the United States. Through its major subsidiaries, the company offers skin care products, makeup products, men's products, fragrances, as well as medicinal tea products and an arthritis treatment medicine with the brand names of Etude, Odyssey, Primera, Espoir and Iplip. Its cosmetics are sold under the brand names of AmorePacific, Laneige, Hera, Iope, Mamonde, Innisfree, Sulwhasoo, Lirikos, Verite and Mise en scene. For personal care, the company offers the Dantrol, Dubore, Songyeom and Median brands. Other health care products are sold under the brands Sulloc and Ketotop.The company's R&amp;D Institute for Cosmetics is focused on identifying market trends and customer needs and analyzing new materials and publications. It also cooperates with individual brands' marketing teams, the company's factory's production and quality control teams, and a range of governmental agencies, including the Food and Drug Administration and the Korean Intellectual Property Office.</v>
          </cell>
          <cell r="O8" t="str">
            <v>Manufacturing</v>
          </cell>
          <cell r="P8" t="str">
            <v>www.apgroup.com</v>
          </cell>
          <cell r="R8" t="str">
            <v>Republic of Korea</v>
          </cell>
          <cell r="S8" t="str">
            <v>002790</v>
          </cell>
          <cell r="T8" t="str">
            <v>D</v>
          </cell>
          <cell r="U8" t="str">
            <v>2844</v>
          </cell>
          <cell r="V8" t="str">
            <v>Engaged in the manufacture of glass containers for cosmetics and fragrances</v>
          </cell>
          <cell r="W8" t="str">
            <v>- The company was established in 1959 for the manufacture and sale of cosmetics and household goods. The company changed to a holding company in 2007, which has a controlling stake in subsidiaries and funds and management.- Major subsidiaries are AmorePacfic Co.,Ltd, Etude, and Innisfree Co.,Ltd, manufacturer and seller of cosmetics and there are subsidiary and affiliates such sa Estra Co.,Ltd(manufacturer and seller of pharmaceuticals). - AMOREPACIFIC and INNISFREE and Etude have strong brand power both domestically and internationally in cosmetics. The company secures group synergy by completing cosmetics value.</v>
          </cell>
          <cell r="X8" t="str">
            <v>PACIFIC CORPORATION</v>
          </cell>
          <cell r="Z8" t="str">
            <v>KR1101110026644</v>
          </cell>
          <cell r="AA8">
            <v>4494956807000</v>
          </cell>
          <cell r="AB8">
            <v>5326080007000</v>
          </cell>
          <cell r="AC8">
            <v>4930083150000</v>
          </cell>
          <cell r="AD8">
            <v>6284255176000</v>
          </cell>
          <cell r="AE8">
            <v>4494956807000</v>
          </cell>
          <cell r="AF8">
            <v>5326080007000</v>
          </cell>
          <cell r="AG8">
            <v>4930083150000</v>
          </cell>
          <cell r="AH8">
            <v>6284255176000</v>
          </cell>
          <cell r="AI8" t="str">
            <v>n.a.</v>
          </cell>
          <cell r="AJ8" t="str">
            <v>n.a.</v>
          </cell>
          <cell r="AK8" t="str">
            <v>n.a.</v>
          </cell>
          <cell r="AL8" t="str">
            <v>n.a.</v>
          </cell>
          <cell r="AM8">
            <v>4494956807000</v>
          </cell>
          <cell r="AN8">
            <v>5326080007000</v>
          </cell>
          <cell r="AO8">
            <v>4930083150000</v>
          </cell>
          <cell r="AP8">
            <v>6284255176000</v>
          </cell>
          <cell r="AQ8" t="str">
            <v>n.a.</v>
          </cell>
          <cell r="AR8" t="str">
            <v>n.a.</v>
          </cell>
          <cell r="AS8" t="str">
            <v>n.a.</v>
          </cell>
          <cell r="AT8" t="str">
            <v>n.a.</v>
          </cell>
          <cell r="AU8">
            <v>-1347786581000</v>
          </cell>
          <cell r="AV8">
            <v>-1461565392000</v>
          </cell>
          <cell r="AW8">
            <v>-1371125561000</v>
          </cell>
          <cell r="AX8">
            <v>-1641834346000</v>
          </cell>
          <cell r="AY8">
            <v>-98631000000</v>
          </cell>
          <cell r="AZ8">
            <v>-105555000000</v>
          </cell>
          <cell r="BA8">
            <v>-91006000000</v>
          </cell>
          <cell r="BB8">
            <v>-98613000000</v>
          </cell>
          <cell r="BC8">
            <v>-2539012513000</v>
          </cell>
          <cell r="BD8">
            <v>-3076684342000</v>
          </cell>
          <cell r="BE8">
            <v>-2880741541000</v>
          </cell>
          <cell r="BF8">
            <v>-3573391013000</v>
          </cell>
          <cell r="BG8">
            <v>509526713000</v>
          </cell>
          <cell r="BH8">
            <v>682275273000</v>
          </cell>
          <cell r="BI8">
            <v>587210048000</v>
          </cell>
          <cell r="BJ8">
            <v>970416817000</v>
          </cell>
          <cell r="BK8">
            <v>-237626000000</v>
          </cell>
          <cell r="BL8">
            <v>-326104000000</v>
          </cell>
          <cell r="BM8">
            <v>-436549000000</v>
          </cell>
          <cell r="BN8">
            <v>-472167000000</v>
          </cell>
          <cell r="BO8">
            <v>-237626000000</v>
          </cell>
          <cell r="BP8">
            <v>-326104000000</v>
          </cell>
          <cell r="BQ8">
            <v>-436549000000</v>
          </cell>
          <cell r="BR8">
            <v>-430272000000</v>
          </cell>
          <cell r="BS8" t="str">
            <v>n.a.</v>
          </cell>
          <cell r="BT8" t="str">
            <v>n.a.</v>
          </cell>
          <cell r="BU8" t="str">
            <v>n.a.</v>
          </cell>
          <cell r="BV8">
            <v>-41895000000</v>
          </cell>
          <cell r="BW8">
            <v>62237029000</v>
          </cell>
          <cell r="BX8">
            <v>179995030000</v>
          </cell>
          <cell r="BY8">
            <v>10381314000</v>
          </cell>
          <cell r="BZ8">
            <v>133732557000</v>
          </cell>
          <cell r="CA8">
            <v>2566383547000</v>
          </cell>
          <cell r="CB8">
            <v>3015471536000</v>
          </cell>
          <cell r="CC8">
            <v>2853056756000</v>
          </cell>
          <cell r="CD8">
            <v>2905906252000</v>
          </cell>
          <cell r="CE8">
            <v>459962411000</v>
          </cell>
          <cell r="CF8">
            <v>542815041000</v>
          </cell>
          <cell r="CG8">
            <v>478448079000</v>
          </cell>
          <cell r="CH8">
            <v>524543689000</v>
          </cell>
          <cell r="CI8">
            <v>311527901000</v>
          </cell>
          <cell r="CJ8">
            <v>320555820000</v>
          </cell>
          <cell r="CK8">
            <v>315545983000</v>
          </cell>
          <cell r="CL8">
            <v>406284796000</v>
          </cell>
          <cell r="CM8">
            <v>286388276000</v>
          </cell>
          <cell r="CN8">
            <v>353487428000</v>
          </cell>
          <cell r="CO8">
            <v>366709074000</v>
          </cell>
          <cell r="CP8">
            <v>318060960000</v>
          </cell>
          <cell r="CQ8">
            <v>1462154321000</v>
          </cell>
          <cell r="CR8">
            <v>1734419302000</v>
          </cell>
          <cell r="CS8">
            <v>1602080206000</v>
          </cell>
          <cell r="CT8">
            <v>1575051467000</v>
          </cell>
          <cell r="CU8">
            <v>812088316000</v>
          </cell>
          <cell r="CV8">
            <v>863824272000</v>
          </cell>
          <cell r="CW8">
            <v>411153895000</v>
          </cell>
          <cell r="CX8">
            <v>157610206000</v>
          </cell>
          <cell r="CY8">
            <v>215105111000</v>
          </cell>
          <cell r="CZ8">
            <v>210894211000</v>
          </cell>
          <cell r="DA8">
            <v>259123223000</v>
          </cell>
          <cell r="DB8">
            <v>1024007754000</v>
          </cell>
          <cell r="DC8">
            <v>7651003801000</v>
          </cell>
          <cell r="DD8">
            <v>8038142932000</v>
          </cell>
          <cell r="DE8">
            <v>7788743600000</v>
          </cell>
          <cell r="DF8">
            <v>8281393134000</v>
          </cell>
          <cell r="DG8">
            <v>4494956807000</v>
          </cell>
          <cell r="DH8">
            <v>-1347786581000</v>
          </cell>
          <cell r="DI8">
            <v>-2637643513000</v>
          </cell>
          <cell r="DJ8">
            <v>-237626000000</v>
          </cell>
          <cell r="DK8">
            <v>271900713000</v>
          </cell>
          <cell r="DL8">
            <v>6.04901725810955E-2</v>
          </cell>
          <cell r="DM8">
            <v>6.4384821548145899E-2</v>
          </cell>
          <cell r="DN8">
            <v>-98631000000</v>
          </cell>
          <cell r="DO8">
            <v>501388726000</v>
          </cell>
          <cell r="DP8">
            <v>212999661000</v>
          </cell>
          <cell r="DR8">
            <v>5326080007000</v>
          </cell>
          <cell r="DS8">
            <v>-1461565392000</v>
          </cell>
          <cell r="DT8">
            <v>-3182239342000</v>
          </cell>
          <cell r="DU8">
            <v>-326104000000</v>
          </cell>
          <cell r="DV8">
            <v>356171273000</v>
          </cell>
          <cell r="DW8">
            <v>6.68730609626383E-2</v>
          </cell>
          <cell r="DX8">
            <v>7.1665556062100497E-2</v>
          </cell>
          <cell r="DY8">
            <v>-105555000000</v>
          </cell>
          <cell r="DZ8">
            <v>510631560000</v>
          </cell>
          <cell r="EA8">
            <v>235008717000</v>
          </cell>
          <cell r="EC8">
            <v>4930083150000</v>
          </cell>
          <cell r="ED8">
            <v>-1371125561000</v>
          </cell>
          <cell r="EE8">
            <v>-2971747541000</v>
          </cell>
          <cell r="EF8">
            <v>-436549000000</v>
          </cell>
          <cell r="EG8">
            <v>150661048000</v>
          </cell>
          <cell r="EH8">
            <v>3.0559534883301102E-2</v>
          </cell>
          <cell r="EI8">
            <v>3.1522858785993001E-2</v>
          </cell>
          <cell r="EJ8">
            <v>-91006000000</v>
          </cell>
          <cell r="EK8">
            <v>501495884000</v>
          </cell>
          <cell r="EL8">
            <v>641565488500</v>
          </cell>
          <cell r="EN8">
            <v>4917039988000</v>
          </cell>
          <cell r="EO8">
            <v>-1393492511333.3301</v>
          </cell>
          <cell r="EP8">
            <v>-2930543465333.3301</v>
          </cell>
          <cell r="EQ8">
            <v>-333426333333.33301</v>
          </cell>
          <cell r="ER8">
            <v>259577678000</v>
          </cell>
          <cell r="ES8">
            <v>5.2791451489818599E-2</v>
          </cell>
          <cell r="ET8">
            <v>5.5733715212823699E-2</v>
          </cell>
        </row>
        <row r="9">
          <cell r="B9" t="str">
            <v>AMOREPACIFIC CORP.</v>
          </cell>
          <cell r="C9" t="str">
            <v>exclude</v>
          </cell>
          <cell r="D9" t="str">
            <v>Independence(A+, A, A-, U)</v>
          </cell>
          <cell r="H9" t="str">
            <v/>
          </cell>
          <cell r="J9" t="str">
            <v>exclude</v>
          </cell>
          <cell r="K9" t="str">
            <v>Independence(A+, A, A-, U)</v>
          </cell>
          <cell r="M9" t="str">
            <v>AMOREPACIFIC CORP.</v>
          </cell>
          <cell r="N9" t="str">
            <v>This company is engaged in the production and wholesale distribution of cosmetics, personal care goods, food, and other related products. It was founded in 1945. The registered head office of the company is located in Seoul, Republic of Korea.The company offers skin care products, makeup products and perfumes under the brand names of Sulwhasoo, Hera, IOPE, Laneige, MAMONDE, Haneul, and Odyssey. It also provides shampoos, body cleansers and toothpastes under the brand names of Mise-En-Scene, Happy Bath, Ryoe, Dantrol and Median. In addition, the company offers green tea products under the brand name of O'Sulloc.It is considered one of the world's largest cosmetics companies.The company is active and operational in the Republic of Korea.It serves discount stores, specialty stores, department stores, online shopping malls, and overseas markets.</v>
          </cell>
          <cell r="O9" t="str">
            <v>Manufacturing; Wholesale</v>
          </cell>
          <cell r="P9" t="str">
            <v>www.apgroup.com</v>
          </cell>
          <cell r="R9" t="str">
            <v>Republic of Korea</v>
          </cell>
          <cell r="S9" t="str">
            <v>090430</v>
          </cell>
          <cell r="T9" t="str">
            <v>B+</v>
          </cell>
          <cell r="U9" t="str">
            <v>2844</v>
          </cell>
          <cell r="V9" t="str">
            <v>Engaged in the production and wholesale distribution of cosmetics, personal care goods, food, and other related products</v>
          </cell>
          <cell r="W9" t="str">
            <v>- In June 2006, the company was established as a subsidiary of AMOREPACIFIC Group to manufacture and sell cosmetics, household products, and food products.- Company have established various positioning brands such as Sulwhasoo, Hera, Primera, Laneige, and Mamonde, and have secured brand and service competitiveness with high recognition.- The company is continuing to expand its global market share in North America and Europe centering on Asia, and are developing market competitiveness by developing high value-added functional products and expanding sales channels.</v>
          </cell>
          <cell r="Y9" t="str">
            <v>Sulwhasoo; Hera; IOPE; Laneige; MAMONDE; Haneul; Odyssey; Mise-En-Scene; Happy Bath; Ryoe; Dantrol; Median; O'Sulloc</v>
          </cell>
          <cell r="Z9" t="str">
            <v>KR1101113471036</v>
          </cell>
          <cell r="AA9">
            <v>4134932512000</v>
          </cell>
          <cell r="AB9">
            <v>4863128497000</v>
          </cell>
          <cell r="AC9">
            <v>4432179039000</v>
          </cell>
          <cell r="AD9">
            <v>5580142193000</v>
          </cell>
          <cell r="AE9">
            <v>4134932512000</v>
          </cell>
          <cell r="AF9">
            <v>4863128497000</v>
          </cell>
          <cell r="AG9">
            <v>4432179039000</v>
          </cell>
          <cell r="AH9">
            <v>5580142193000</v>
          </cell>
          <cell r="AI9" t="str">
            <v>n.a.</v>
          </cell>
          <cell r="AJ9" t="str">
            <v>n.a.</v>
          </cell>
          <cell r="AK9" t="str">
            <v>n.a.</v>
          </cell>
          <cell r="AL9" t="str">
            <v>n.a.</v>
          </cell>
          <cell r="AM9">
            <v>4134932512000</v>
          </cell>
          <cell r="AN9">
            <v>4863128497000</v>
          </cell>
          <cell r="AO9">
            <v>4432179039000</v>
          </cell>
          <cell r="AP9">
            <v>5580142193000</v>
          </cell>
          <cell r="AQ9" t="str">
            <v>n.a.</v>
          </cell>
          <cell r="AR9" t="str">
            <v>n.a.</v>
          </cell>
          <cell r="AS9" t="str">
            <v>n.a.</v>
          </cell>
          <cell r="AT9" t="str">
            <v>n.a.</v>
          </cell>
          <cell r="AU9">
            <v>-1337512407000</v>
          </cell>
          <cell r="AV9">
            <v>-1362639202000</v>
          </cell>
          <cell r="AW9">
            <v>-1265398065000</v>
          </cell>
          <cell r="AX9">
            <v>-1500515578000</v>
          </cell>
          <cell r="AY9">
            <v>-97025000000</v>
          </cell>
          <cell r="AZ9">
            <v>-103878000000</v>
          </cell>
          <cell r="BA9">
            <v>-89073000000</v>
          </cell>
          <cell r="BB9">
            <v>-96391000000</v>
          </cell>
          <cell r="BC9">
            <v>-2277728850000</v>
          </cell>
          <cell r="BD9">
            <v>-2766811485000</v>
          </cell>
          <cell r="BE9">
            <v>-2550637855000</v>
          </cell>
          <cell r="BF9">
            <v>-3147608018000</v>
          </cell>
          <cell r="BG9">
            <v>422666255000</v>
          </cell>
          <cell r="BH9">
            <v>629799810000.00098</v>
          </cell>
          <cell r="BI9">
            <v>527070119000</v>
          </cell>
          <cell r="BJ9">
            <v>835627597000</v>
          </cell>
          <cell r="BK9">
            <v>-208433000000</v>
          </cell>
          <cell r="BL9">
            <v>-286442000000</v>
          </cell>
          <cell r="BM9">
            <v>-384061000000</v>
          </cell>
          <cell r="BN9">
            <v>-407793000000</v>
          </cell>
          <cell r="BO9">
            <v>-208433000000</v>
          </cell>
          <cell r="BP9">
            <v>-286442000000</v>
          </cell>
          <cell r="BQ9">
            <v>-384061000000</v>
          </cell>
          <cell r="BR9">
            <v>-371605000000</v>
          </cell>
          <cell r="BS9" t="str">
            <v>n.a.</v>
          </cell>
          <cell r="BT9" t="str">
            <v>n.a.</v>
          </cell>
          <cell r="BU9" t="str">
            <v>n.a.</v>
          </cell>
          <cell r="BV9">
            <v>-36188000000</v>
          </cell>
          <cell r="BW9">
            <v>134474812000</v>
          </cell>
          <cell r="BX9">
            <v>193680579000</v>
          </cell>
          <cell r="BY9">
            <v>35132160000</v>
          </cell>
          <cell r="BZ9">
            <v>238804192000</v>
          </cell>
          <cell r="CA9">
            <v>1735019347000</v>
          </cell>
          <cell r="CB9">
            <v>2018526858000</v>
          </cell>
          <cell r="CC9">
            <v>1825732428000</v>
          </cell>
          <cell r="CD9">
            <v>1803063671000</v>
          </cell>
          <cell r="CE9">
            <v>408934397000</v>
          </cell>
          <cell r="CF9">
            <v>493223643000</v>
          </cell>
          <cell r="CG9">
            <v>414482961000</v>
          </cell>
          <cell r="CH9">
            <v>452589072000</v>
          </cell>
          <cell r="CI9">
            <v>305539515000</v>
          </cell>
          <cell r="CJ9">
            <v>327583709000</v>
          </cell>
          <cell r="CK9">
            <v>295920804000</v>
          </cell>
          <cell r="CL9">
            <v>387444814000</v>
          </cell>
          <cell r="CM9">
            <v>141145947000</v>
          </cell>
          <cell r="CN9">
            <v>117796656000</v>
          </cell>
          <cell r="CO9">
            <v>75955178000</v>
          </cell>
          <cell r="CP9">
            <v>83633914000</v>
          </cell>
          <cell r="CQ9">
            <v>841083840000</v>
          </cell>
          <cell r="CR9">
            <v>1028532963000</v>
          </cell>
          <cell r="CS9">
            <v>960191529000</v>
          </cell>
          <cell r="CT9">
            <v>811103301000</v>
          </cell>
          <cell r="CU9">
            <v>391485892000</v>
          </cell>
          <cell r="CV9">
            <v>490839332000</v>
          </cell>
          <cell r="CW9">
            <v>166463243000</v>
          </cell>
          <cell r="CX9">
            <v>137522926000</v>
          </cell>
          <cell r="CY9">
            <v>191017690000</v>
          </cell>
          <cell r="CZ9">
            <v>200383151000</v>
          </cell>
          <cell r="DA9">
            <v>247111198000</v>
          </cell>
          <cell r="DB9">
            <v>894941508000</v>
          </cell>
          <cell r="DC9">
            <v>5801783178000</v>
          </cell>
          <cell r="DD9">
            <v>6116713933000</v>
          </cell>
          <cell r="DE9">
            <v>5701918176000</v>
          </cell>
          <cell r="DF9">
            <v>5989007791000</v>
          </cell>
          <cell r="DG9">
            <v>4134932512000</v>
          </cell>
          <cell r="DH9">
            <v>-1337512407000</v>
          </cell>
          <cell r="DI9">
            <v>-2374753850000</v>
          </cell>
          <cell r="DJ9">
            <v>-208433000000</v>
          </cell>
          <cell r="DK9">
            <v>214233255000</v>
          </cell>
          <cell r="DL9">
            <v>5.1810580796245898E-2</v>
          </cell>
          <cell r="DM9">
            <v>5.46415934906277E-2</v>
          </cell>
          <cell r="DN9">
            <v>-97025000000</v>
          </cell>
          <cell r="DO9">
            <v>451079020000</v>
          </cell>
          <cell r="DP9">
            <v>195700420500</v>
          </cell>
          <cell r="DR9">
            <v>4863128497000</v>
          </cell>
          <cell r="DS9">
            <v>-1362639202000</v>
          </cell>
          <cell r="DT9">
            <v>-2870689485000</v>
          </cell>
          <cell r="DU9">
            <v>-286442000000</v>
          </cell>
          <cell r="DV9">
            <v>343357810000</v>
          </cell>
          <cell r="DW9">
            <v>7.0604305481916194E-2</v>
          </cell>
          <cell r="DX9">
            <v>7.5967971337037907E-2</v>
          </cell>
          <cell r="DY9">
            <v>-103878000000</v>
          </cell>
          <cell r="DZ9">
            <v>453853302000</v>
          </cell>
          <cell r="EA9">
            <v>223747174500</v>
          </cell>
          <cell r="EC9">
            <v>4432179039000</v>
          </cell>
          <cell r="ED9">
            <v>-1265398065000</v>
          </cell>
          <cell r="EE9">
            <v>-2639710855000</v>
          </cell>
          <cell r="EF9">
            <v>-384061000000</v>
          </cell>
          <cell r="EG9">
            <v>143009119000</v>
          </cell>
          <cell r="EH9">
            <v>3.2266097046536803E-2</v>
          </cell>
          <cell r="EI9">
            <v>3.3341910361993798E-2</v>
          </cell>
          <cell r="EJ9">
            <v>-89073000000</v>
          </cell>
          <cell r="EK9">
            <v>433536016500</v>
          </cell>
          <cell r="EL9">
            <v>571026353000</v>
          </cell>
          <cell r="EN9">
            <v>4476746682666.6699</v>
          </cell>
          <cell r="EO9">
            <v>-1321849891333.3301</v>
          </cell>
          <cell r="EP9">
            <v>-2628384730000</v>
          </cell>
          <cell r="EQ9">
            <v>-292978666666.66699</v>
          </cell>
          <cell r="ER9">
            <v>233533394666.66699</v>
          </cell>
          <cell r="ES9">
            <v>5.2165872054113702E-2</v>
          </cell>
          <cell r="ET9">
            <v>5.5036921035082197E-2</v>
          </cell>
        </row>
        <row r="10">
          <cell r="B10" t="str">
            <v>LION CORPORATION</v>
          </cell>
          <cell r="C10" t="str">
            <v>exclude</v>
          </cell>
          <cell r="D10" t="str">
            <v>Lev SDA/SDP</v>
          </cell>
          <cell r="H10" t="str">
            <v/>
          </cell>
          <cell r="J10" t="str">
            <v>exclude</v>
          </cell>
          <cell r="K10" t="str">
            <v>lev SDA/SDP</v>
          </cell>
          <cell r="M10" t="str">
            <v>LION CORPORATION</v>
          </cell>
          <cell r="N10" t="str">
            <v>This company is engaged in the production and wholesale distribution of oral care products, beauty care products, pharmaceutical products, household products, and chemical products. It was established by Tomijiro Kobayashi in 1918, and has its registered corporate headquarters located in Tokyo, Japan. It a leading manufacturer of household products. It aims to combine the power of people, the power of technology and the power of marketing to provide excellent products that are useful for its daily lives. The company's products include toothpastes, toothbrushes, mouthwashes and breath fresheners, shampoos, conditioners, and treatments, hair-styling products, hair-nourishment treatments, anti-diarrheic drugs, medicine for intestinal disorders, gastrointestinal medicine, allergy-care products, laundry detergents, pre-care products, bleaches, dishwashing detergents, and disinfectants. Some of its brands are Clinica, Dentor, Prime, Hitect, Between, Dent, Etiquette, Shokubutsu-Monotari, and Free &amp; Free. Through the operations of its affiliates, the company is also active in Taiwan, Hong Kong, Thailand, Malaysia, Singapore, Indonesia, China, and South Korea.</v>
          </cell>
          <cell r="O10" t="str">
            <v>Manufacturing; Wholesale</v>
          </cell>
          <cell r="P10" t="str">
            <v>www.lion.co.jp</v>
          </cell>
          <cell r="R10" t="str">
            <v>Japan</v>
          </cell>
          <cell r="S10" t="str">
            <v>4912</v>
          </cell>
          <cell r="T10" t="str">
            <v>A+</v>
          </cell>
          <cell r="U10" t="str">
            <v>2844</v>
          </cell>
          <cell r="V10" t="str">
            <v>Engaged in the production and wholesale distribution of oral care products, beauty care products, pharmaceutical products, household products, and chemical products</v>
          </cell>
          <cell r="W10" t="str">
            <v>The Company is a Japan-based company mainly engaged in the manufacture and sale of consumable goods and industrial products.</v>
          </cell>
          <cell r="X10" t="str">
            <v>THE LION DENTIFRICE CO LTD</v>
          </cell>
          <cell r="Y10" t="str">
            <v>Clinica; Dentor; Prime; Hitect; Between; Dent; Etiquette; Shokubutsu-Monotari; and Free &amp; Free</v>
          </cell>
          <cell r="Z10" t="str">
            <v>JP1010601016863</v>
          </cell>
          <cell r="AA10">
            <v>391294000000</v>
          </cell>
          <cell r="AB10">
            <v>367414000000</v>
          </cell>
          <cell r="AC10">
            <v>356571000000</v>
          </cell>
          <cell r="AD10">
            <v>349038000000</v>
          </cell>
          <cell r="AE10">
            <v>389869000000</v>
          </cell>
          <cell r="AF10">
            <v>366234000000</v>
          </cell>
          <cell r="AG10">
            <v>355352000000</v>
          </cell>
          <cell r="AH10">
            <v>347519000000</v>
          </cell>
          <cell r="AI10" t="str">
            <v>n.a.</v>
          </cell>
          <cell r="AJ10" t="str">
            <v>n.a.</v>
          </cell>
          <cell r="AK10" t="str">
            <v>n.a.</v>
          </cell>
          <cell r="AL10" t="str">
            <v>n.a.</v>
          </cell>
          <cell r="AM10">
            <v>389869000000</v>
          </cell>
          <cell r="AN10">
            <v>366234000000</v>
          </cell>
          <cell r="AO10">
            <v>355352000000</v>
          </cell>
          <cell r="AP10">
            <v>347519000000</v>
          </cell>
          <cell r="AQ10">
            <v>1425000000</v>
          </cell>
          <cell r="AR10">
            <v>1180000000</v>
          </cell>
          <cell r="AS10">
            <v>1219000000</v>
          </cell>
          <cell r="AT10">
            <v>1519000000</v>
          </cell>
          <cell r="AU10">
            <v>-215263000000</v>
          </cell>
          <cell r="AV10">
            <v>-187129000000</v>
          </cell>
          <cell r="AW10">
            <v>-175479000000</v>
          </cell>
          <cell r="AX10">
            <v>-175588000000</v>
          </cell>
          <cell r="AY10">
            <v>-11077000000</v>
          </cell>
          <cell r="AZ10">
            <v>-11180000000</v>
          </cell>
          <cell r="BA10">
            <v>-10906000000</v>
          </cell>
          <cell r="BB10">
            <v>-10944000000</v>
          </cell>
          <cell r="BC10">
            <v>-122900000000</v>
          </cell>
          <cell r="BD10">
            <v>-123285000000</v>
          </cell>
          <cell r="BE10">
            <v>-121984000000</v>
          </cell>
          <cell r="BF10">
            <v>-121695000000</v>
          </cell>
          <cell r="BG10">
            <v>42054000000</v>
          </cell>
          <cell r="BH10">
            <v>45820000000</v>
          </cell>
          <cell r="BI10">
            <v>48202000000</v>
          </cell>
          <cell r="BJ10">
            <v>40811000000</v>
          </cell>
          <cell r="BK10">
            <v>-18166000000</v>
          </cell>
          <cell r="BL10">
            <v>-14267000000</v>
          </cell>
          <cell r="BM10">
            <v>-14746000000</v>
          </cell>
          <cell r="BN10">
            <v>-10614000000</v>
          </cell>
          <cell r="BO10">
            <v>-18166000000</v>
          </cell>
          <cell r="BP10">
            <v>-14267000000</v>
          </cell>
          <cell r="BQ10">
            <v>-14746000000</v>
          </cell>
          <cell r="BR10">
            <v>-10614000000</v>
          </cell>
          <cell r="BS10">
            <v>0</v>
          </cell>
          <cell r="BT10">
            <v>0</v>
          </cell>
          <cell r="BU10">
            <v>0</v>
          </cell>
          <cell r="BV10">
            <v>0</v>
          </cell>
          <cell r="BW10">
            <v>21939000000</v>
          </cell>
          <cell r="BX10">
            <v>23759000000</v>
          </cell>
          <cell r="BY10">
            <v>29870000000</v>
          </cell>
          <cell r="BZ10">
            <v>20559000000</v>
          </cell>
          <cell r="CA10">
            <v>237691000000</v>
          </cell>
          <cell r="CB10">
            <v>232150000000</v>
          </cell>
          <cell r="CC10">
            <v>245419000000</v>
          </cell>
          <cell r="CD10">
            <v>222497000000</v>
          </cell>
          <cell r="CE10">
            <v>53909000000</v>
          </cell>
          <cell r="CF10">
            <v>51714000000</v>
          </cell>
          <cell r="CG10">
            <v>45158000000</v>
          </cell>
          <cell r="CH10">
            <v>43555000000</v>
          </cell>
          <cell r="CI10">
            <v>69350000000</v>
          </cell>
          <cell r="CJ10">
            <v>69183000000</v>
          </cell>
          <cell r="CK10">
            <v>61528000000</v>
          </cell>
          <cell r="CL10">
            <v>61071000000</v>
          </cell>
          <cell r="CM10">
            <v>5377000000</v>
          </cell>
          <cell r="CN10">
            <v>7347000000</v>
          </cell>
          <cell r="CO10">
            <v>8607000000</v>
          </cell>
          <cell r="CP10">
            <v>3442000000</v>
          </cell>
          <cell r="CQ10">
            <v>109055000000</v>
          </cell>
          <cell r="CR10">
            <v>103906000000</v>
          </cell>
          <cell r="CS10">
            <v>130126000000</v>
          </cell>
          <cell r="CT10">
            <v>114429000000</v>
          </cell>
          <cell r="CU10">
            <v>10258000000</v>
          </cell>
          <cell r="CV10">
            <v>9629000000</v>
          </cell>
          <cell r="CW10">
            <v>10114000000</v>
          </cell>
          <cell r="CX10">
            <v>39612000000</v>
          </cell>
          <cell r="CY10">
            <v>39072000000</v>
          </cell>
          <cell r="CZ10">
            <v>32949000000</v>
          </cell>
          <cell r="DA10">
            <v>62207000000</v>
          </cell>
          <cell r="DB10">
            <v>38117000000</v>
          </cell>
          <cell r="DC10">
            <v>469278000000</v>
          </cell>
          <cell r="DD10">
            <v>428025000000</v>
          </cell>
          <cell r="DE10">
            <v>435501000000</v>
          </cell>
          <cell r="DF10">
            <v>380701000000</v>
          </cell>
          <cell r="DG10">
            <v>389869000000</v>
          </cell>
          <cell r="DH10">
            <v>-215263000000</v>
          </cell>
          <cell r="DI10">
            <v>-133977000000</v>
          </cell>
          <cell r="DJ10">
            <v>-18166000000</v>
          </cell>
          <cell r="DK10">
            <v>22463000000</v>
          </cell>
          <cell r="DL10">
            <v>5.7616789229202603E-2</v>
          </cell>
          <cell r="DM10">
            <v>6.1139447913207703E-2</v>
          </cell>
          <cell r="DN10">
            <v>-11077000000</v>
          </cell>
          <cell r="DO10">
            <v>52811500000</v>
          </cell>
          <cell r="DP10">
            <v>36010500000</v>
          </cell>
          <cell r="DR10">
            <v>366234000000</v>
          </cell>
          <cell r="DS10">
            <v>-187129000000</v>
          </cell>
          <cell r="DT10">
            <v>-134465000000</v>
          </cell>
          <cell r="DU10">
            <v>-14267000000</v>
          </cell>
          <cell r="DV10">
            <v>30373000000</v>
          </cell>
          <cell r="DW10">
            <v>8.2933315858167198E-2</v>
          </cell>
          <cell r="DX10">
            <v>9.0433244705398999E-2</v>
          </cell>
          <cell r="DY10">
            <v>-11180000000</v>
          </cell>
          <cell r="DZ10">
            <v>48436000000</v>
          </cell>
          <cell r="EA10">
            <v>47578000000</v>
          </cell>
          <cell r="EC10">
            <v>355352000000</v>
          </cell>
          <cell r="ED10">
            <v>-175479000000</v>
          </cell>
          <cell r="EE10">
            <v>-132890000000</v>
          </cell>
          <cell r="EF10">
            <v>-14746000000</v>
          </cell>
          <cell r="EG10">
            <v>32237000000</v>
          </cell>
          <cell r="EH10">
            <v>9.0718498840586206E-2</v>
          </cell>
          <cell r="EI10">
            <v>9.9769431935997993E-2</v>
          </cell>
          <cell r="EJ10">
            <v>-10906000000</v>
          </cell>
          <cell r="EK10">
            <v>44356500000</v>
          </cell>
          <cell r="EL10">
            <v>50162000000</v>
          </cell>
          <cell r="EN10">
            <v>370485000000</v>
          </cell>
          <cell r="EO10">
            <v>-192623666666.66699</v>
          </cell>
          <cell r="EP10">
            <v>-133777333333.33299</v>
          </cell>
          <cell r="EQ10">
            <v>-15726333333.3333</v>
          </cell>
          <cell r="ER10">
            <v>28357666666.666698</v>
          </cell>
          <cell r="ES10">
            <v>7.6542010247828293E-2</v>
          </cell>
          <cell r="ET10">
            <v>8.2886293797046401E-2</v>
          </cell>
        </row>
        <row r="11">
          <cell r="B11" t="str">
            <v>PT UNILEVER INDONESIA TBK</v>
          </cell>
          <cell r="C11" t="str">
            <v>exclude</v>
          </cell>
          <cell r="D11" t="str">
            <v>Independence(A+, A, A-, U)</v>
          </cell>
          <cell r="H11" t="str">
            <v/>
          </cell>
          <cell r="J11" t="str">
            <v>exclude</v>
          </cell>
          <cell r="K11" t="str">
            <v>Independence(A+, A, A-, U)</v>
          </cell>
          <cell r="M11" t="str">
            <v>PT UNILEVER INDONESIA TBK</v>
          </cell>
          <cell r="N11" t="str">
            <v>This company is a consumer goods company engaged in the manufacture, marketing, and distribution of fast moving consumer goods in Indonesia. Its products include soaps, detergents, margarine, vegetable oil, ice cream, tea drinks, milk products and cosmetics, which are divided into four categories: cooking &amp; eating, healthy living, beauty and style and around the house. The company was founded in 1933 as Lever's Zeepfabrieken N.V.Based in Jakarta, Indonesia, the company offers its products under the Pepsodent, Pond's, Lux, Lifebuoy, Dove, Sunsilk, Clear, Rexona, Vaseline, Rinso, Surf, Molto, Sunlight, Wall's, Blue Band, Royco, Bango, and Close Up brand names. It is supported by one production facility in each of Bekasi in West Java, and Surabaya in East Java.</v>
          </cell>
          <cell r="O11" t="str">
            <v>Manufacturing</v>
          </cell>
          <cell r="P11" t="str">
            <v>www.unilever.co.id</v>
          </cell>
          <cell r="R11" t="str">
            <v>Indonesia</v>
          </cell>
          <cell r="S11" t="str">
            <v>UNVR</v>
          </cell>
          <cell r="T11" t="str">
            <v>D</v>
          </cell>
          <cell r="U11" t="str">
            <v>2841</v>
          </cell>
          <cell r="V11" t="str">
            <v>Consumer goods company engaged in the manufacture, marketing, and distribution of fast moving consumer goods in Indonesia</v>
          </cell>
          <cell r="W11" t="str">
            <v>The scope of activities comprises manufacturing, trading and chemicals. Currently, the Company is engaged in the manufacture of paper, paper products, packaging and others</v>
          </cell>
          <cell r="Z11" t="str">
            <v>ID30014FD</v>
          </cell>
          <cell r="AA11">
            <v>41218881000000</v>
          </cell>
          <cell r="AB11">
            <v>39547487000000</v>
          </cell>
          <cell r="AC11">
            <v>42972474000000</v>
          </cell>
          <cell r="AD11">
            <v>42922563000000</v>
          </cell>
          <cell r="AE11">
            <v>41218881000000</v>
          </cell>
          <cell r="AF11">
            <v>39545959000000</v>
          </cell>
          <cell r="AG11">
            <v>42972474000000</v>
          </cell>
          <cell r="AH11">
            <v>42922563000000</v>
          </cell>
          <cell r="AI11" t="str">
            <v>n.a.</v>
          </cell>
          <cell r="AJ11" t="str">
            <v>n.a.</v>
          </cell>
          <cell r="AK11" t="str">
            <v>n.a.</v>
          </cell>
          <cell r="AL11" t="str">
            <v>n.a.</v>
          </cell>
          <cell r="AM11">
            <v>41218881000000</v>
          </cell>
          <cell r="AN11">
            <v>39545959000000</v>
          </cell>
          <cell r="AO11">
            <v>42972474000000</v>
          </cell>
          <cell r="AP11">
            <v>42922563000000</v>
          </cell>
          <cell r="AQ11" t="str">
            <v>n.a.</v>
          </cell>
          <cell r="AR11">
            <v>1528000000</v>
          </cell>
          <cell r="AS11" t="str">
            <v>n.a.</v>
          </cell>
          <cell r="AT11" t="str">
            <v>n.a.</v>
          </cell>
          <cell r="AU11">
            <v>-21525509000000</v>
          </cell>
          <cell r="AV11">
            <v>-19281843000000</v>
          </cell>
          <cell r="AW11">
            <v>-19884228000000</v>
          </cell>
          <cell r="AX11">
            <v>-20220174000000</v>
          </cell>
          <cell r="AY11">
            <v>-3042793000000</v>
          </cell>
          <cell r="AZ11">
            <v>-2183726000000</v>
          </cell>
          <cell r="BA11">
            <v>-2420189000000</v>
          </cell>
          <cell r="BB11">
            <v>-2475620000000</v>
          </cell>
          <cell r="BC11">
            <v>-5529553000000</v>
          </cell>
          <cell r="BD11">
            <v>-9019837000000</v>
          </cell>
          <cell r="BE11">
            <v>-10113609000000</v>
          </cell>
          <cell r="BF11">
            <v>-8979600000000</v>
          </cell>
          <cell r="BG11">
            <v>11121026000000</v>
          </cell>
          <cell r="BH11">
            <v>9062081000000</v>
          </cell>
          <cell r="BI11">
            <v>10554448000000</v>
          </cell>
          <cell r="BJ11">
            <v>11247169000000</v>
          </cell>
          <cell r="BK11">
            <v>-1053985000000</v>
          </cell>
          <cell r="BL11">
            <v>-1076908000000</v>
          </cell>
          <cell r="BM11">
            <v>-1103436000000</v>
          </cell>
          <cell r="BN11">
            <v>-1129345000000</v>
          </cell>
          <cell r="BO11">
            <v>-1006601000000</v>
          </cell>
          <cell r="BP11">
            <v>-1041927000000</v>
          </cell>
          <cell r="BQ11">
            <v>-1066753000000</v>
          </cell>
          <cell r="BR11">
            <v>-1097858000000</v>
          </cell>
          <cell r="BS11">
            <v>-47384000000</v>
          </cell>
          <cell r="BT11">
            <v>-34981000000</v>
          </cell>
          <cell r="BU11">
            <v>-36683000000</v>
          </cell>
          <cell r="BV11">
            <v>-31487000000</v>
          </cell>
          <cell r="BW11">
            <v>5364761000000</v>
          </cell>
          <cell r="BX11">
            <v>5758148000000</v>
          </cell>
          <cell r="BY11">
            <v>7163536000000</v>
          </cell>
          <cell r="BZ11">
            <v>7392837000000</v>
          </cell>
          <cell r="CA11">
            <v>7567768000000</v>
          </cell>
          <cell r="CB11">
            <v>7642208000000</v>
          </cell>
          <cell r="CC11">
            <v>8828360000000</v>
          </cell>
          <cell r="CD11">
            <v>8530334000000</v>
          </cell>
          <cell r="CE11">
            <v>2625116000000</v>
          </cell>
          <cell r="CF11">
            <v>2453871000000</v>
          </cell>
          <cell r="CG11">
            <v>2463104000000</v>
          </cell>
          <cell r="CH11">
            <v>2429234000000</v>
          </cell>
          <cell r="CI11">
            <v>3924499000000</v>
          </cell>
          <cell r="CJ11">
            <v>4516555000000</v>
          </cell>
          <cell r="CK11">
            <v>5295288000000</v>
          </cell>
          <cell r="CL11">
            <v>5335489000000</v>
          </cell>
          <cell r="CM11">
            <v>74246000000</v>
          </cell>
          <cell r="CN11">
            <v>68645000000</v>
          </cell>
          <cell r="CO11">
            <v>118066000000</v>
          </cell>
          <cell r="CP11">
            <v>112262000000</v>
          </cell>
          <cell r="CQ11">
            <v>502882000000</v>
          </cell>
          <cell r="CR11">
            <v>325197000000</v>
          </cell>
          <cell r="CS11">
            <v>844076000000</v>
          </cell>
          <cell r="CT11">
            <v>628649000000</v>
          </cell>
          <cell r="CU11" t="str">
            <v>n.a.</v>
          </cell>
          <cell r="CV11" t="str">
            <v>n.a.</v>
          </cell>
          <cell r="CW11" t="str">
            <v>n.a.</v>
          </cell>
          <cell r="CX11" t="str">
            <v>n.a.</v>
          </cell>
          <cell r="CY11">
            <v>712491000000</v>
          </cell>
          <cell r="CZ11">
            <v>749409000000</v>
          </cell>
          <cell r="DA11">
            <v>889998000000</v>
          </cell>
          <cell r="DB11">
            <v>1245266000000</v>
          </cell>
          <cell r="DC11">
            <v>18318114000000</v>
          </cell>
          <cell r="DD11">
            <v>19068532000000</v>
          </cell>
          <cell r="DE11">
            <v>20534632000000</v>
          </cell>
          <cell r="DF11">
            <v>20649371000000</v>
          </cell>
          <cell r="DG11">
            <v>41218881000000</v>
          </cell>
          <cell r="DH11">
            <v>-21525509000000</v>
          </cell>
          <cell r="DI11">
            <v>-8572346000000</v>
          </cell>
          <cell r="DJ11">
            <v>-1053985000000</v>
          </cell>
          <cell r="DK11">
            <v>10067041000000</v>
          </cell>
          <cell r="DL11">
            <v>0.24423372871282001</v>
          </cell>
          <cell r="DM11">
            <v>0.32316039758807202</v>
          </cell>
          <cell r="DN11">
            <v>-3042793000000</v>
          </cell>
          <cell r="DO11">
            <v>2539493500000</v>
          </cell>
          <cell r="DP11">
            <v>730950000000</v>
          </cell>
          <cell r="DR11">
            <v>39545959000000</v>
          </cell>
          <cell r="DS11">
            <v>-19281843000000</v>
          </cell>
          <cell r="DT11">
            <v>-11203563000000</v>
          </cell>
          <cell r="DU11">
            <v>-1076908000000</v>
          </cell>
          <cell r="DV11">
            <v>7983645000000</v>
          </cell>
          <cell r="DW11">
            <v>0.20188270058136701</v>
          </cell>
          <cell r="DX11">
            <v>0.25294865896080998</v>
          </cell>
          <cell r="DY11">
            <v>-2183726000000</v>
          </cell>
          <cell r="DZ11">
            <v>2458487500000</v>
          </cell>
          <cell r="EA11">
            <v>819703500000</v>
          </cell>
          <cell r="EC11">
            <v>42972474000000</v>
          </cell>
          <cell r="ED11">
            <v>-19884228000000</v>
          </cell>
          <cell r="EE11">
            <v>-12533798000000</v>
          </cell>
          <cell r="EF11">
            <v>-1103436000000</v>
          </cell>
          <cell r="EG11">
            <v>9451012000000</v>
          </cell>
          <cell r="EH11">
            <v>0.21993176376114601</v>
          </cell>
          <cell r="EI11">
            <v>0.28193913499357498</v>
          </cell>
          <cell r="EJ11">
            <v>-2420189000000</v>
          </cell>
          <cell r="EK11">
            <v>2446169000000</v>
          </cell>
          <cell r="EL11">
            <v>1067632000000</v>
          </cell>
          <cell r="EN11">
            <v>41245771333333.297</v>
          </cell>
          <cell r="EO11">
            <v>-20230526666666.699</v>
          </cell>
          <cell r="EP11">
            <v>-10769902333333.301</v>
          </cell>
          <cell r="EQ11">
            <v>-1078109666666.67</v>
          </cell>
          <cell r="ER11">
            <v>9167232666666.6699</v>
          </cell>
          <cell r="ES11">
            <v>0.22225872787249901</v>
          </cell>
          <cell r="ET11">
            <v>0.28577463462176</v>
          </cell>
        </row>
        <row r="12">
          <cell r="B12" t="str">
            <v>KOSE CORPORATION</v>
          </cell>
          <cell r="C12" t="str">
            <v>include before</v>
          </cell>
          <cell r="H12">
            <v>7.2948977632585899E-2</v>
          </cell>
          <cell r="J12" t="str">
            <v>Include before</v>
          </cell>
          <cell r="K12">
            <v>0</v>
          </cell>
          <cell r="M12" t="str">
            <v>KOSE CORPORATION</v>
          </cell>
          <cell r="N12" t="str">
            <v>This company is engaged in the manufacture and sale of cosmetics, skin care and hair care products. The company was founded by Kozaburo Kobayashi in 1946. Its corporate headquarters is located in Chuo-ku, Tokyo, Japan. It operates its business primarily in the domestic market.The company's principal brands include Astalution, Infinity, Cosme Decorte AQ, Cosme Decorte, Jill Stuart, Stephen Knoll, Awake, Beaute de KOSE, Espirique Precious, and Rimmel, among others. The company's products are sold in retail, department and general merchandise stores, and other sales channels through its subsidiaries. The company has active operations in China, Taiwan, South Korea, and the United States. The company serves as the parent company of the following companies: Intercosme Inc, engaged in the manufacture of plastic containers and cosmetics; Technolabo Co Ltd, specialized in the manufacture and processing of cosmetics; KOSE Sales Co., Ltd., engaged in the wholesale of cosmetics; Carte Laboratories Inc., focuses on the marketing of cosmetics on consignment; Advance Co., Ltd., an independent cosmetics manufacturer; Albion Co., Ltd., a manufacturer of cosmetics; and Taiwan KOSE Co., Ltd., involved in the manufacture, import and marketing of cosmetics.</v>
          </cell>
          <cell r="O12" t="str">
            <v>Manufacturing</v>
          </cell>
          <cell r="P12" t="str">
            <v>www.kose.co.jp</v>
          </cell>
          <cell r="R12" t="str">
            <v>Japan</v>
          </cell>
          <cell r="S12" t="str">
            <v>4922</v>
          </cell>
          <cell r="T12" t="str">
            <v>A+</v>
          </cell>
          <cell r="U12" t="str">
            <v>2844</v>
          </cell>
          <cell r="V12" t="str">
            <v>Engaged in the manufacture and sale of cosmetics, skin care and hair care products</v>
          </cell>
          <cell r="W12" t="str">
            <v>The Company is a Japan-based company principally engaged in the manufacture and sale of cosmetic products.</v>
          </cell>
          <cell r="Z12" t="str">
            <v>JP7010001043552</v>
          </cell>
          <cell r="AA12">
            <v>289136000000</v>
          </cell>
          <cell r="AB12">
            <v>224983000000</v>
          </cell>
          <cell r="AC12">
            <v>279389000000</v>
          </cell>
          <cell r="AD12">
            <v>327724000000</v>
          </cell>
          <cell r="AE12">
            <v>289136000000</v>
          </cell>
          <cell r="AF12">
            <v>224983000000</v>
          </cell>
          <cell r="AG12">
            <v>279389000000</v>
          </cell>
          <cell r="AH12">
            <v>327724000000</v>
          </cell>
          <cell r="AI12" t="str">
            <v>n.a.</v>
          </cell>
          <cell r="AJ12" t="str">
            <v>n.a.</v>
          </cell>
          <cell r="AK12" t="str">
            <v>n.a.</v>
          </cell>
          <cell r="AL12" t="str">
            <v>n.a.</v>
          </cell>
          <cell r="AM12">
            <v>289136000000</v>
          </cell>
          <cell r="AN12">
            <v>224983000000</v>
          </cell>
          <cell r="AO12">
            <v>279389000000</v>
          </cell>
          <cell r="AP12">
            <v>327724000000</v>
          </cell>
          <cell r="AQ12" t="str">
            <v>n.a.</v>
          </cell>
          <cell r="AR12" t="str">
            <v>n.a.</v>
          </cell>
          <cell r="AS12" t="str">
            <v>n.a.</v>
          </cell>
          <cell r="AT12" t="str">
            <v>n.a.</v>
          </cell>
          <cell r="AU12">
            <v>-77834000000</v>
          </cell>
          <cell r="AV12">
            <v>-63444000000</v>
          </cell>
          <cell r="AW12">
            <v>-70873000000</v>
          </cell>
          <cell r="AX12">
            <v>-79070000000</v>
          </cell>
          <cell r="AY12">
            <v>-6092000000</v>
          </cell>
          <cell r="AZ12">
            <v>-4362000000</v>
          </cell>
          <cell r="BA12">
            <v>-5996000000</v>
          </cell>
          <cell r="BB12">
            <v>-6299000000</v>
          </cell>
          <cell r="BC12">
            <v>-172387000000</v>
          </cell>
          <cell r="BD12">
            <v>-129897000000</v>
          </cell>
          <cell r="BE12">
            <v>-178067000000</v>
          </cell>
          <cell r="BF12">
            <v>-192490000000</v>
          </cell>
          <cell r="BG12">
            <v>32823000000</v>
          </cell>
          <cell r="BH12">
            <v>27280000000</v>
          </cell>
          <cell r="BI12">
            <v>24453000000</v>
          </cell>
          <cell r="BJ12">
            <v>49865000000</v>
          </cell>
          <cell r="BK12">
            <v>-10873000000</v>
          </cell>
          <cell r="BL12">
            <v>-8502000000</v>
          </cell>
          <cell r="BM12">
            <v>-11231000000</v>
          </cell>
          <cell r="BN12">
            <v>-9709000000</v>
          </cell>
          <cell r="BO12">
            <v>-9914000000</v>
          </cell>
          <cell r="BP12">
            <v>-7902000000</v>
          </cell>
          <cell r="BQ12">
            <v>-10452000000</v>
          </cell>
          <cell r="BR12">
            <v>-8914000000</v>
          </cell>
          <cell r="BS12">
            <v>-959000000</v>
          </cell>
          <cell r="BT12">
            <v>-600000000</v>
          </cell>
          <cell r="BU12">
            <v>-779000000</v>
          </cell>
          <cell r="BV12">
            <v>-795000000</v>
          </cell>
          <cell r="BW12">
            <v>18771000000</v>
          </cell>
          <cell r="BX12">
            <v>13341000000</v>
          </cell>
          <cell r="BY12">
            <v>11986000000</v>
          </cell>
          <cell r="BZ12">
            <v>26682000000</v>
          </cell>
          <cell r="CA12">
            <v>244481000000</v>
          </cell>
          <cell r="CB12">
            <v>217324000000</v>
          </cell>
          <cell r="CC12">
            <v>205031000000</v>
          </cell>
          <cell r="CD12">
            <v>204438000000</v>
          </cell>
          <cell r="CE12">
            <v>69076000000</v>
          </cell>
          <cell r="CF12">
            <v>63743000000</v>
          </cell>
          <cell r="CG12">
            <v>57337000000</v>
          </cell>
          <cell r="CH12">
            <v>61439000000</v>
          </cell>
          <cell r="CI12">
            <v>51787000000</v>
          </cell>
          <cell r="CJ12">
            <v>44055000000</v>
          </cell>
          <cell r="CK12">
            <v>39349000000</v>
          </cell>
          <cell r="CL12">
            <v>38294000000</v>
          </cell>
          <cell r="CM12">
            <v>7083000000</v>
          </cell>
          <cell r="CN12">
            <v>4245000000</v>
          </cell>
          <cell r="CO12">
            <v>4954000000</v>
          </cell>
          <cell r="CP12">
            <v>7149000000</v>
          </cell>
          <cell r="CQ12">
            <v>116535000000</v>
          </cell>
          <cell r="CR12">
            <v>105281000000</v>
          </cell>
          <cell r="CS12">
            <v>103391000000</v>
          </cell>
          <cell r="CT12">
            <v>97556000000</v>
          </cell>
          <cell r="CU12" t="str">
            <v>n.a.</v>
          </cell>
          <cell r="CV12" t="str">
            <v>n.a.</v>
          </cell>
          <cell r="CW12" t="str">
            <v>n.a.</v>
          </cell>
          <cell r="CX12" t="str">
            <v>n.a.</v>
          </cell>
          <cell r="CY12">
            <v>46744000000</v>
          </cell>
          <cell r="CZ12">
            <v>45343000000</v>
          </cell>
          <cell r="DA12">
            <v>44594000000</v>
          </cell>
          <cell r="DB12">
            <v>54219000000</v>
          </cell>
          <cell r="DC12">
            <v>359600000000</v>
          </cell>
          <cell r="DD12">
            <v>320018000000</v>
          </cell>
          <cell r="DE12">
            <v>308386000000</v>
          </cell>
          <cell r="DF12">
            <v>308606000000</v>
          </cell>
          <cell r="DG12">
            <v>289136000000</v>
          </cell>
          <cell r="DH12">
            <v>-77834000000</v>
          </cell>
          <cell r="DI12">
            <v>-178479000000</v>
          </cell>
          <cell r="DJ12">
            <v>-10873000000</v>
          </cell>
          <cell r="DK12">
            <v>21950000000</v>
          </cell>
          <cell r="DL12">
            <v>7.5915831996015704E-2</v>
          </cell>
          <cell r="DM12">
            <v>8.2152507990688101E-2</v>
          </cell>
          <cell r="DN12">
            <v>-6092000000</v>
          </cell>
          <cell r="DO12">
            <v>66409500000</v>
          </cell>
          <cell r="DP12">
            <v>46043500000</v>
          </cell>
          <cell r="DR12">
            <v>224983000000</v>
          </cell>
          <cell r="DS12">
            <v>-63444000000</v>
          </cell>
          <cell r="DT12">
            <v>-134259000000</v>
          </cell>
          <cell r="DU12">
            <v>-8502000000</v>
          </cell>
          <cell r="DV12">
            <v>18778000000</v>
          </cell>
          <cell r="DW12">
            <v>8.3464083953009804E-2</v>
          </cell>
          <cell r="DX12">
            <v>9.1064717150408606E-2</v>
          </cell>
          <cell r="DY12">
            <v>-4362000000</v>
          </cell>
          <cell r="DZ12">
            <v>60540000000</v>
          </cell>
          <cell r="EA12">
            <v>44968500000</v>
          </cell>
          <cell r="EC12">
            <v>279389000000</v>
          </cell>
          <cell r="ED12">
            <v>-70873000000</v>
          </cell>
          <cell r="EE12">
            <v>-184063000000</v>
          </cell>
          <cell r="EF12">
            <v>-11231000000</v>
          </cell>
          <cell r="EG12">
            <v>13222000000</v>
          </cell>
          <cell r="EH12">
            <v>4.7324697822748903E-2</v>
          </cell>
          <cell r="EI12">
            <v>4.9675579617307897E-2</v>
          </cell>
          <cell r="EJ12">
            <v>-5996000000</v>
          </cell>
          <cell r="EK12">
            <v>59388000000</v>
          </cell>
          <cell r="EL12">
            <v>49406500000</v>
          </cell>
          <cell r="EN12">
            <v>264502666666.66699</v>
          </cell>
          <cell r="EO12">
            <v>-70717000000</v>
          </cell>
          <cell r="EP12">
            <v>-165600333333.33301</v>
          </cell>
          <cell r="EQ12">
            <v>-10202000000</v>
          </cell>
          <cell r="ER12">
            <v>17983333333.333302</v>
          </cell>
          <cell r="ES12">
            <v>6.7989232622733403E-2</v>
          </cell>
          <cell r="ET12">
            <v>7.2948977632585899E-2</v>
          </cell>
        </row>
        <row r="13">
          <cell r="B13" t="str">
            <v>GODREJ INDUSTRIES LIMITED</v>
          </cell>
          <cell r="C13" t="str">
            <v>exclude</v>
          </cell>
          <cell r="D13" t="str">
            <v>Lev SDA/SDP</v>
          </cell>
          <cell r="H13" t="str">
            <v/>
          </cell>
          <cell r="J13" t="str">
            <v>exclude</v>
          </cell>
          <cell r="K13" t="str">
            <v>lev SDA/SDP</v>
          </cell>
          <cell r="M13" t="str">
            <v>GODREJ INDUSTRIES LIMITED</v>
          </cell>
          <cell r="N13" t="str">
            <v>The company is one of the Godrej Group's holding companies. It has significant interests in consumer goods, real estate, agriculture and gourmet retail through its subsidiary and associate companies, across 18 countries. It was established in the year 1897 and conducts its business from its registered head office which is strategically located in District Bharuch, India. The company is thus not separated into several divisions, but rather acts as a holding company owning companies such as Godrej Consumer Products; Godrej Properties; Godrej Agrovet, a diversified, Research &amp; Development backed agri-business company; and Godrej Nature’s Basket, India's foremost retail destination for fine foods from across the world. Its Chemicals division, ranks among India's leading manufacturers of oleochemicals and surfactants and its products are exported to more than 80 countries in North and South America, Asia, Europe, Australia and Africa.</v>
          </cell>
          <cell r="O13" t="str">
            <v>Services</v>
          </cell>
          <cell r="P13" t="str">
            <v>www.godrejinds.com</v>
          </cell>
          <cell r="R13" t="str">
            <v>India</v>
          </cell>
          <cell r="S13" t="str">
            <v>GODREJIND</v>
          </cell>
          <cell r="T13" t="str">
            <v>A+</v>
          </cell>
          <cell r="U13" t="str">
            <v>2841</v>
          </cell>
          <cell r="V13" t="str">
            <v>One of the Godrej Group's holding companies</v>
          </cell>
          <cell r="W13" t="str">
            <v>The Company is engaged in the businesses of manufacture and marketing of oleo-chemicals, their precursors and derivatives, bulk edible oils, estate management and investment activities.  The Company operates in six segments: chemicals, estate, finance &amp; investments, animal feed, veg oils and others.</v>
          </cell>
          <cell r="X13" t="str">
            <v>GODREJ SOAPS LIMITED</v>
          </cell>
          <cell r="Z13" t="str">
            <v>IN30195FI</v>
          </cell>
          <cell r="AA13">
            <v>165857600000</v>
          </cell>
          <cell r="AB13">
            <v>142263600000</v>
          </cell>
          <cell r="AC13">
            <v>93955000000</v>
          </cell>
          <cell r="AD13">
            <v>114568900000</v>
          </cell>
          <cell r="AE13">
            <v>162650500000</v>
          </cell>
          <cell r="AF13">
            <v>139045700000</v>
          </cell>
          <cell r="AG13">
            <v>92012900000</v>
          </cell>
          <cell r="AH13">
            <v>112130900000</v>
          </cell>
          <cell r="AI13" t="str">
            <v>n.a.</v>
          </cell>
          <cell r="AJ13" t="str">
            <v>n.a.</v>
          </cell>
          <cell r="AK13" t="str">
            <v>n.a.</v>
          </cell>
          <cell r="AL13" t="str">
            <v>n.a.</v>
          </cell>
          <cell r="AM13">
            <v>162650500000</v>
          </cell>
          <cell r="AN13">
            <v>139045700000</v>
          </cell>
          <cell r="AO13">
            <v>92012900000</v>
          </cell>
          <cell r="AP13">
            <v>112130900000</v>
          </cell>
          <cell r="AQ13">
            <v>3207100000</v>
          </cell>
          <cell r="AR13">
            <v>3217900000</v>
          </cell>
          <cell r="AS13">
            <v>1942100000</v>
          </cell>
          <cell r="AT13">
            <v>2438000000</v>
          </cell>
          <cell r="AU13">
            <v>-121926100000</v>
          </cell>
          <cell r="AV13">
            <v>-106105200000</v>
          </cell>
          <cell r="AW13">
            <v>-69093200000</v>
          </cell>
          <cell r="AX13">
            <v>-84724400000</v>
          </cell>
          <cell r="AY13">
            <v>-223700000</v>
          </cell>
          <cell r="AZ13">
            <v>-62900000</v>
          </cell>
          <cell r="BA13">
            <v>-46200000</v>
          </cell>
          <cell r="BB13">
            <v>0</v>
          </cell>
          <cell r="BC13">
            <v>-29497600000</v>
          </cell>
          <cell r="BD13">
            <v>-23672200000</v>
          </cell>
          <cell r="BE13">
            <v>-20117300000</v>
          </cell>
          <cell r="BF13">
            <v>-20733600000</v>
          </cell>
          <cell r="BG13">
            <v>14210200000</v>
          </cell>
          <cell r="BH13">
            <v>12423300000</v>
          </cell>
          <cell r="BI13">
            <v>4698300000</v>
          </cell>
          <cell r="BJ13">
            <v>9110900000</v>
          </cell>
          <cell r="BK13">
            <v>-3045200000</v>
          </cell>
          <cell r="BL13">
            <v>-2778800000</v>
          </cell>
          <cell r="BM13">
            <v>-2423400000</v>
          </cell>
          <cell r="BN13">
            <v>-2417900000</v>
          </cell>
          <cell r="BO13">
            <v>-2874800000</v>
          </cell>
          <cell r="BP13">
            <v>-2677600000</v>
          </cell>
          <cell r="BQ13">
            <v>-2360600000</v>
          </cell>
          <cell r="BR13">
            <v>-2357500000</v>
          </cell>
          <cell r="BS13">
            <v>-170400000</v>
          </cell>
          <cell r="BT13">
            <v>-101200000</v>
          </cell>
          <cell r="BU13">
            <v>-62800000</v>
          </cell>
          <cell r="BV13">
            <v>-60400000</v>
          </cell>
          <cell r="BW13">
            <v>9747800000</v>
          </cell>
          <cell r="BX13">
            <v>6537300000</v>
          </cell>
          <cell r="BY13">
            <v>3346300000</v>
          </cell>
          <cell r="BZ13">
            <v>5538100000</v>
          </cell>
          <cell r="CA13">
            <v>260998900000</v>
          </cell>
          <cell r="CB13">
            <v>204659700000</v>
          </cell>
          <cell r="CC13">
            <v>176171600000</v>
          </cell>
          <cell r="CD13">
            <v>105732900000</v>
          </cell>
          <cell r="CE13">
            <v>139769100000</v>
          </cell>
          <cell r="CF13">
            <v>77186600000</v>
          </cell>
          <cell r="CG13">
            <v>61874200000</v>
          </cell>
          <cell r="CH13">
            <v>31875600000</v>
          </cell>
          <cell r="CI13">
            <v>15002100000</v>
          </cell>
          <cell r="CJ13">
            <v>16760400000</v>
          </cell>
          <cell r="CK13">
            <v>15230500000</v>
          </cell>
          <cell r="CL13">
            <v>15517200000</v>
          </cell>
          <cell r="CM13">
            <v>45906800000</v>
          </cell>
          <cell r="CN13">
            <v>39408000000</v>
          </cell>
          <cell r="CO13">
            <v>30954300000</v>
          </cell>
          <cell r="CP13">
            <v>21568700000</v>
          </cell>
          <cell r="CQ13">
            <v>50537400000</v>
          </cell>
          <cell r="CR13">
            <v>59850100000</v>
          </cell>
          <cell r="CS13">
            <v>58907500000</v>
          </cell>
          <cell r="CT13">
            <v>30400300000</v>
          </cell>
          <cell r="CU13">
            <v>20987500000</v>
          </cell>
          <cell r="CV13">
            <v>41610700000</v>
          </cell>
          <cell r="CW13">
            <v>50386000000</v>
          </cell>
          <cell r="CX13">
            <v>20615700000</v>
          </cell>
          <cell r="CY13">
            <v>12949400000</v>
          </cell>
          <cell r="CZ13">
            <v>7349500000</v>
          </cell>
          <cell r="DA13">
            <v>6626900000</v>
          </cell>
          <cell r="DB13">
            <v>4975300000</v>
          </cell>
          <cell r="DC13">
            <v>439750500000</v>
          </cell>
          <cell r="DD13">
            <v>340412000000</v>
          </cell>
          <cell r="DE13">
            <v>290024500000</v>
          </cell>
          <cell r="DF13">
            <v>204492900000</v>
          </cell>
          <cell r="DG13">
            <v>162650500000</v>
          </cell>
          <cell r="DH13">
            <v>-121926100000</v>
          </cell>
          <cell r="DI13">
            <v>-29721300000</v>
          </cell>
          <cell r="DJ13">
            <v>-3045200000</v>
          </cell>
          <cell r="DK13">
            <v>7957900000</v>
          </cell>
          <cell r="DL13">
            <v>4.8926378953646002E-2</v>
          </cell>
          <cell r="DM13">
            <v>5.1443314030535398E-2</v>
          </cell>
          <cell r="DN13">
            <v>-223700000</v>
          </cell>
          <cell r="DO13">
            <v>108477850000</v>
          </cell>
          <cell r="DP13">
            <v>10149450000</v>
          </cell>
          <cell r="DR13">
            <v>139045700000</v>
          </cell>
          <cell r="DS13">
            <v>-106105200000</v>
          </cell>
          <cell r="DT13">
            <v>-23735100000</v>
          </cell>
          <cell r="DU13">
            <v>-2778800000</v>
          </cell>
          <cell r="DV13">
            <v>6426600000</v>
          </cell>
          <cell r="DW13">
            <v>4.6219336520295098E-2</v>
          </cell>
          <cell r="DX13">
            <v>4.8459083193898897E-2</v>
          </cell>
          <cell r="DY13">
            <v>-62900000</v>
          </cell>
          <cell r="DZ13">
            <v>69530400000</v>
          </cell>
          <cell r="EA13">
            <v>6988200000</v>
          </cell>
          <cell r="EC13">
            <v>92012900000</v>
          </cell>
          <cell r="ED13">
            <v>-69093200000</v>
          </cell>
          <cell r="EE13">
            <v>-20163500000</v>
          </cell>
          <cell r="EF13">
            <v>-2423400000</v>
          </cell>
          <cell r="EG13">
            <v>332800000</v>
          </cell>
          <cell r="EH13">
            <v>3.61688415428706E-3</v>
          </cell>
          <cell r="EI13">
            <v>3.6300134925681799E-3</v>
          </cell>
          <cell r="EJ13">
            <v>-46200000</v>
          </cell>
          <cell r="EK13">
            <v>46874900000</v>
          </cell>
          <cell r="EL13">
            <v>5801100000</v>
          </cell>
          <cell r="EN13">
            <v>131236366666.66701</v>
          </cell>
          <cell r="EO13">
            <v>-99041500000</v>
          </cell>
          <cell r="EP13">
            <v>-24539966666.666698</v>
          </cell>
          <cell r="EQ13">
            <v>-2749133333.3333302</v>
          </cell>
          <cell r="ER13">
            <v>4905766666.6666698</v>
          </cell>
          <cell r="ES13">
            <v>3.73811527343412E-2</v>
          </cell>
          <cell r="ET13">
            <v>3.8832766302595502E-2</v>
          </cell>
        </row>
        <row r="14">
          <cell r="B14" t="str">
            <v>CHENGZHI CO.,LTD.</v>
          </cell>
          <cell r="C14" t="str">
            <v>exclude</v>
          </cell>
          <cell r="D14" t="str">
            <v>Independence(A+, A, A-, U)</v>
          </cell>
          <cell r="H14" t="str">
            <v/>
          </cell>
          <cell r="J14" t="str">
            <v>exclude</v>
          </cell>
          <cell r="K14" t="str">
            <v>Independence(A+, A, A-, U)</v>
          </cell>
          <cell r="M14" t="str">
            <v>CHENGZHI CO.,LTD.</v>
          </cell>
          <cell r="N14" t="str">
            <v>The company is engaged in the management activities of holding companies. The company was incorporated in 1998. The registered head office of the company is located in Nanchang, China. 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 Lastly, the company is active in the operation of bank holding companies and management investment offices.</v>
          </cell>
          <cell r="O14" t="str">
            <v>Services</v>
          </cell>
          <cell r="P14" t="str">
            <v>www.chengzhi.com.cn</v>
          </cell>
          <cell r="R14" t="str">
            <v>China</v>
          </cell>
          <cell r="S14" t="str">
            <v>000990</v>
          </cell>
          <cell r="T14" t="str">
            <v>B+</v>
          </cell>
          <cell r="U14" t="str">
            <v>2841</v>
          </cell>
          <cell r="V14" t="str">
            <v>Engaged in the management activities of holding companies</v>
          </cell>
          <cell r="W14" t="str">
            <v>The Company is principally engaged in the three main businesses of 'Clean Energy', 'Display Materials' and 'Medical Health'.</v>
          </cell>
          <cell r="X14" t="str">
            <v>CHENGZHI SHAREHOLDING COMPANY LIMITED</v>
          </cell>
          <cell r="Z14" t="str">
            <v>CN31699PC</v>
          </cell>
          <cell r="AA14">
            <v>11688878000</v>
          </cell>
          <cell r="AB14">
            <v>12124752000</v>
          </cell>
          <cell r="AC14">
            <v>9692680000</v>
          </cell>
          <cell r="AD14">
            <v>6865734000</v>
          </cell>
          <cell r="AE14">
            <v>11051427000</v>
          </cell>
          <cell r="AF14">
            <v>12018223000</v>
          </cell>
          <cell r="AG14">
            <v>9491367000</v>
          </cell>
          <cell r="AH14">
            <v>6660607000</v>
          </cell>
          <cell r="AI14">
            <v>-60943000</v>
          </cell>
          <cell r="AJ14">
            <v>-80864000</v>
          </cell>
          <cell r="AK14">
            <v>-65053000</v>
          </cell>
          <cell r="AL14">
            <v>-62522000</v>
          </cell>
          <cell r="AM14">
            <v>10990484000</v>
          </cell>
          <cell r="AN14">
            <v>11937359000</v>
          </cell>
          <cell r="AO14">
            <v>9426314000</v>
          </cell>
          <cell r="AP14">
            <v>6598085000</v>
          </cell>
          <cell r="AQ14">
            <v>698394000</v>
          </cell>
          <cell r="AR14">
            <v>187393000</v>
          </cell>
          <cell r="AS14">
            <v>266366000</v>
          </cell>
          <cell r="AT14">
            <v>267649000</v>
          </cell>
          <cell r="AU14">
            <v>-9279524000</v>
          </cell>
          <cell r="AV14">
            <v>-8545583000</v>
          </cell>
          <cell r="AW14">
            <v>-7141677000</v>
          </cell>
          <cell r="AX14">
            <v>-4454309000</v>
          </cell>
          <cell r="AY14" t="str">
            <v>n.a.</v>
          </cell>
          <cell r="AZ14" t="str">
            <v>n.a.</v>
          </cell>
          <cell r="BA14" t="str">
            <v>n.a.</v>
          </cell>
          <cell r="BB14" t="str">
            <v>n.a.</v>
          </cell>
          <cell r="BC14">
            <v>-1361920000</v>
          </cell>
          <cell r="BD14">
            <v>-1174931000</v>
          </cell>
          <cell r="BE14">
            <v>-996111000</v>
          </cell>
          <cell r="BF14">
            <v>-1021746000</v>
          </cell>
          <cell r="BG14">
            <v>1047434000</v>
          </cell>
          <cell r="BH14">
            <v>2404238000</v>
          </cell>
          <cell r="BI14">
            <v>1554892000</v>
          </cell>
          <cell r="BJ14">
            <v>1389679000</v>
          </cell>
          <cell r="BK14">
            <v>-615097000</v>
          </cell>
          <cell r="BL14">
            <v>-780566000</v>
          </cell>
          <cell r="BM14">
            <v>-650507000</v>
          </cell>
          <cell r="BN14">
            <v>-513640000</v>
          </cell>
          <cell r="BO14">
            <v>-524406000</v>
          </cell>
          <cell r="BP14">
            <v>-552164000</v>
          </cell>
          <cell r="BQ14">
            <v>-546908000</v>
          </cell>
          <cell r="BR14">
            <v>-420371000</v>
          </cell>
          <cell r="BS14">
            <v>-90691000</v>
          </cell>
          <cell r="BT14">
            <v>-228402000</v>
          </cell>
          <cell r="BU14">
            <v>-103599000</v>
          </cell>
          <cell r="BV14">
            <v>-93269000</v>
          </cell>
          <cell r="BW14">
            <v>52880000</v>
          </cell>
          <cell r="BX14">
            <v>1008442000</v>
          </cell>
          <cell r="BY14">
            <v>355076000</v>
          </cell>
          <cell r="BZ14">
            <v>442550000</v>
          </cell>
          <cell r="CA14">
            <v>6001702000</v>
          </cell>
          <cell r="CB14">
            <v>5851559000</v>
          </cell>
          <cell r="CC14">
            <v>5787492000</v>
          </cell>
          <cell r="CD14">
            <v>5266485000</v>
          </cell>
          <cell r="CE14">
            <v>860451000</v>
          </cell>
          <cell r="CF14">
            <v>1128210000</v>
          </cell>
          <cell r="CG14">
            <v>869164000</v>
          </cell>
          <cell r="CH14">
            <v>761902000</v>
          </cell>
          <cell r="CI14">
            <v>893579000</v>
          </cell>
          <cell r="CJ14">
            <v>827942000</v>
          </cell>
          <cell r="CK14">
            <v>1098299000</v>
          </cell>
          <cell r="CL14">
            <v>1081877000</v>
          </cell>
          <cell r="CM14">
            <v>1939107000</v>
          </cell>
          <cell r="CN14">
            <v>1722603000</v>
          </cell>
          <cell r="CO14">
            <v>1722851000</v>
          </cell>
          <cell r="CP14">
            <v>1486128000</v>
          </cell>
          <cell r="CQ14">
            <v>1918474000</v>
          </cell>
          <cell r="CR14">
            <v>1816204000</v>
          </cell>
          <cell r="CS14">
            <v>1854644000</v>
          </cell>
          <cell r="CT14">
            <v>1780053000</v>
          </cell>
          <cell r="CU14">
            <v>606107000</v>
          </cell>
          <cell r="CV14">
            <v>85911000</v>
          </cell>
          <cell r="CW14">
            <v>275000</v>
          </cell>
          <cell r="CX14" t="str">
            <v>n.a.</v>
          </cell>
          <cell r="CY14">
            <v>338743000</v>
          </cell>
          <cell r="CZ14">
            <v>306032000</v>
          </cell>
          <cell r="DA14">
            <v>183131000</v>
          </cell>
          <cell r="DB14">
            <v>107236000</v>
          </cell>
          <cell r="DC14">
            <v>24525691000</v>
          </cell>
          <cell r="DD14">
            <v>24447251000</v>
          </cell>
          <cell r="DE14">
            <v>24412389000</v>
          </cell>
          <cell r="DF14">
            <v>24056062000</v>
          </cell>
          <cell r="DG14">
            <v>10990484000</v>
          </cell>
          <cell r="DH14">
            <v>-9279524000</v>
          </cell>
          <cell r="DI14">
            <v>-1361920000</v>
          </cell>
          <cell r="DJ14">
            <v>-615097000</v>
          </cell>
          <cell r="DK14">
            <v>-266057000</v>
          </cell>
          <cell r="DL14">
            <v>-2.4207942070613098E-2</v>
          </cell>
          <cell r="DM14">
            <v>-2.3635768749920599E-2</v>
          </cell>
          <cell r="DN14" t="str">
            <v>n.a.</v>
          </cell>
          <cell r="DO14">
            <v>994330500</v>
          </cell>
          <cell r="DP14">
            <v>322387500</v>
          </cell>
          <cell r="DR14">
            <v>11937359000</v>
          </cell>
          <cell r="DS14">
            <v>-8545583000</v>
          </cell>
          <cell r="DT14">
            <v>-1174931000</v>
          </cell>
          <cell r="DU14">
            <v>-780566000</v>
          </cell>
          <cell r="DV14">
            <v>1436279000</v>
          </cell>
          <cell r="DW14">
            <v>0.12031798658312901</v>
          </cell>
          <cell r="DX14">
            <v>0.13677440796565701</v>
          </cell>
          <cell r="DY14" t="str">
            <v>n.a.</v>
          </cell>
          <cell r="DZ14">
            <v>998687000</v>
          </cell>
          <cell r="EA14">
            <v>244581500</v>
          </cell>
          <cell r="EC14">
            <v>9426314000</v>
          </cell>
          <cell r="ED14">
            <v>-7141677000</v>
          </cell>
          <cell r="EE14">
            <v>-996111000</v>
          </cell>
          <cell r="EF14">
            <v>-650507000</v>
          </cell>
          <cell r="EG14">
            <v>638019000</v>
          </cell>
          <cell r="EH14">
            <v>6.7684887221028306E-2</v>
          </cell>
          <cell r="EI14">
            <v>7.2598723643209503E-2</v>
          </cell>
          <cell r="EJ14" t="str">
            <v>n.a.</v>
          </cell>
          <cell r="EK14">
            <v>815533000</v>
          </cell>
          <cell r="EL14">
            <v>145183500</v>
          </cell>
          <cell r="EN14">
            <v>10784719000</v>
          </cell>
          <cell r="EO14">
            <v>-8322261333.3333302</v>
          </cell>
          <cell r="EP14">
            <v>-1177654000</v>
          </cell>
          <cell r="EQ14">
            <v>-682056666.66666698</v>
          </cell>
          <cell r="ER14">
            <v>602747000</v>
          </cell>
          <cell r="ES14">
            <v>5.5888985146483702E-2</v>
          </cell>
          <cell r="ET14">
            <v>5.9197471766765902E-2</v>
          </cell>
        </row>
        <row r="15">
          <cell r="B15" t="str">
            <v>GODREJ CONSUMER PRODUCTS LIMITED</v>
          </cell>
          <cell r="C15" t="str">
            <v>exclude</v>
          </cell>
          <cell r="D15" t="str">
            <v>Independence(A+, A, A-, U)</v>
          </cell>
          <cell r="H15" t="str">
            <v/>
          </cell>
          <cell r="J15" t="str">
            <v>exclude</v>
          </cell>
          <cell r="K15" t="str">
            <v>Independence(A+, A, A-, U)</v>
          </cell>
          <cell r="M15" t="str">
            <v>GODREJ CONSUMER PRODUCTS LIMITED</v>
          </cell>
          <cell r="N15" t="str">
            <v>This company is engaged in the manufacture and sale of personal and household products. It was incorporated in November 2000 and has its registered head office in the city of Mumbai, India. The company operates in two business segments: soap and personal care. It is among the largest marketer of toilet soaps in the country with leading brands such as CINTHOL, FAIRGLOW, and GODREJ NO 1. Its personal care segment offers hair color, shaving cream and gel, talcum powder, deodorant, fairness cream, liquid detergent and other toiletries. The company is also a leader in the hair color category in India and has a vast product under the brands: Godrej Renew Coloursoft Liquid Hair Colours, Godrej Liquid &amp; Powder Hair Dyes and Godrej Kesh Kala Oil. Its other brands include: Vigil, Allcare, Ezee and Nikhar. The company focuses on providing its customers with innovative value for money solutions for meeting their daily needs and improving the quality of their life. It employs approximately 950 people and has three state-of-the-art manufacturing facilities at Malanpur (M.P.), Guwahati (Assam) and Baddi (H.P.). It distributes its products in Asia, Africa, Australia, Europe, Middle East, and the Americas.</v>
          </cell>
          <cell r="O15" t="str">
            <v>Manufacturing; Wholesale</v>
          </cell>
          <cell r="P15" t="str">
            <v>www.godrejcp.com</v>
          </cell>
          <cell r="R15" t="str">
            <v>India</v>
          </cell>
          <cell r="S15" t="str">
            <v>GODREJCP</v>
          </cell>
          <cell r="T15" t="str">
            <v>B+</v>
          </cell>
          <cell r="U15" t="str">
            <v>2844</v>
          </cell>
          <cell r="V15" t="str">
            <v>Engaged in the manufacture and sale of personal and household products</v>
          </cell>
          <cell r="W15" t="str">
            <v>The Company is engaged in fast-moving consumer goods business comprising home and personal care, foods and refreshments.  The Company is focused on manufacturing of personal and household care products.</v>
          </cell>
          <cell r="Y15" t="str">
            <v>Vigil, Allcare, Ezee and Nikhar; Godrej Renew Coloursoft Liquid Hair Colours, Godrej Liquid &amp; Powder Hair Dyes and Godrej Kesh Kala Oil; CINTHOL, FAIRGLOW, and GODREJ NO 1</v>
          </cell>
          <cell r="Z15" t="str">
            <v>IN30479FI</v>
          </cell>
          <cell r="AA15">
            <v>133272700000</v>
          </cell>
          <cell r="AB15">
            <v>122874700000</v>
          </cell>
          <cell r="AC15">
            <v>110406400000</v>
          </cell>
          <cell r="AD15">
            <v>99108000000</v>
          </cell>
          <cell r="AE15">
            <v>143581500000</v>
          </cell>
          <cell r="AF15">
            <v>132508700000</v>
          </cell>
          <cell r="AG15">
            <v>119129100000</v>
          </cell>
          <cell r="AH15">
            <v>98265100000</v>
          </cell>
          <cell r="AI15">
            <v>-11594700000</v>
          </cell>
          <cell r="AJ15">
            <v>-10766500000</v>
          </cell>
          <cell r="AK15">
            <v>-9769000000</v>
          </cell>
          <cell r="AL15" t="str">
            <v>n.a.</v>
          </cell>
          <cell r="AM15">
            <v>131986800000</v>
          </cell>
          <cell r="AN15">
            <v>121742200000</v>
          </cell>
          <cell r="AO15">
            <v>109360100000</v>
          </cell>
          <cell r="AP15">
            <v>98265100000</v>
          </cell>
          <cell r="AQ15">
            <v>1285900000</v>
          </cell>
          <cell r="AR15">
            <v>1132500000</v>
          </cell>
          <cell r="AS15">
            <v>1046300000</v>
          </cell>
          <cell r="AT15">
            <v>842900000</v>
          </cell>
          <cell r="AU15">
            <v>-67378800000</v>
          </cell>
          <cell r="AV15">
            <v>-61081100000</v>
          </cell>
          <cell r="AW15">
            <v>-49643700000</v>
          </cell>
          <cell r="AX15">
            <v>-43001700000</v>
          </cell>
          <cell r="AY15">
            <v>-221700000</v>
          </cell>
          <cell r="AZ15">
            <v>-206600000</v>
          </cell>
          <cell r="BA15">
            <v>-234000000</v>
          </cell>
          <cell r="BB15">
            <v>0</v>
          </cell>
          <cell r="BC15">
            <v>-39986200000</v>
          </cell>
          <cell r="BD15">
            <v>-36387300000</v>
          </cell>
          <cell r="BE15">
            <v>-35824700000</v>
          </cell>
          <cell r="BF15">
            <v>-34503800000</v>
          </cell>
          <cell r="BG15">
            <v>25686000000</v>
          </cell>
          <cell r="BH15">
            <v>25199700000</v>
          </cell>
          <cell r="BI15">
            <v>24704000000</v>
          </cell>
          <cell r="BJ15">
            <v>21602500000</v>
          </cell>
          <cell r="BK15">
            <v>-2362900000</v>
          </cell>
          <cell r="BL15">
            <v>-2099300000</v>
          </cell>
          <cell r="BM15">
            <v>-2038500000</v>
          </cell>
          <cell r="BN15">
            <v>-1972800000</v>
          </cell>
          <cell r="BO15">
            <v>-2071300000</v>
          </cell>
          <cell r="BP15">
            <v>-1782000000</v>
          </cell>
          <cell r="BQ15">
            <v>-1681100000</v>
          </cell>
          <cell r="BR15">
            <v>-1610000000</v>
          </cell>
          <cell r="BS15">
            <v>-291600000</v>
          </cell>
          <cell r="BT15">
            <v>-317300000</v>
          </cell>
          <cell r="BU15">
            <v>-357400000</v>
          </cell>
          <cell r="BV15">
            <v>-362800000</v>
          </cell>
          <cell r="BW15">
            <v>17024600000</v>
          </cell>
          <cell r="BX15">
            <v>17833900000</v>
          </cell>
          <cell r="BY15">
            <v>17208200000</v>
          </cell>
          <cell r="BZ15">
            <v>14965800000</v>
          </cell>
          <cell r="CA15">
            <v>58059700000</v>
          </cell>
          <cell r="CB15">
            <v>56872700000</v>
          </cell>
          <cell r="CC15">
            <v>44724100000</v>
          </cell>
          <cell r="CD15">
            <v>48083400000</v>
          </cell>
          <cell r="CE15">
            <v>15371500000</v>
          </cell>
          <cell r="CF15">
            <v>21298500000</v>
          </cell>
          <cell r="CG15">
            <v>17162500000</v>
          </cell>
          <cell r="CH15">
            <v>17031200000</v>
          </cell>
          <cell r="CI15">
            <v>12452800000</v>
          </cell>
          <cell r="CJ15">
            <v>11163200000</v>
          </cell>
          <cell r="CK15">
            <v>10045000000</v>
          </cell>
          <cell r="CL15">
            <v>11572500000</v>
          </cell>
          <cell r="CM15">
            <v>1877500000</v>
          </cell>
          <cell r="CN15">
            <v>2274100000</v>
          </cell>
          <cell r="CO15">
            <v>2183800000</v>
          </cell>
          <cell r="CP15">
            <v>3260900000</v>
          </cell>
          <cell r="CQ15">
            <v>25961300000</v>
          </cell>
          <cell r="CR15">
            <v>19595500000</v>
          </cell>
          <cell r="CS15">
            <v>13439300000</v>
          </cell>
          <cell r="CT15">
            <v>14299700000</v>
          </cell>
          <cell r="CU15">
            <v>22054100000</v>
          </cell>
          <cell r="CV15">
            <v>8517800000</v>
          </cell>
          <cell r="CW15">
            <v>6717200000</v>
          </cell>
          <cell r="CX15">
            <v>6598100000</v>
          </cell>
          <cell r="CY15">
            <v>2051300000</v>
          </cell>
          <cell r="CZ15">
            <v>2665500000</v>
          </cell>
          <cell r="DA15">
            <v>1897100000</v>
          </cell>
          <cell r="DB15">
            <v>1234600000</v>
          </cell>
          <cell r="DC15">
            <v>174987700000</v>
          </cell>
          <cell r="DD15">
            <v>161340600000</v>
          </cell>
          <cell r="DE15">
            <v>142828200000</v>
          </cell>
          <cell r="DF15">
            <v>149570100000</v>
          </cell>
          <cell r="DG15">
            <v>131986800000</v>
          </cell>
          <cell r="DH15">
            <v>-67378800000</v>
          </cell>
          <cell r="DI15">
            <v>-40207900000</v>
          </cell>
          <cell r="DJ15">
            <v>-2362900000</v>
          </cell>
          <cell r="DK15">
            <v>22037200000</v>
          </cell>
          <cell r="DL15">
            <v>0.166965181366622</v>
          </cell>
          <cell r="DM15">
            <v>0.20043001520696799</v>
          </cell>
          <cell r="DN15">
            <v>-221700000</v>
          </cell>
          <cell r="DO15">
            <v>18335000000</v>
          </cell>
          <cell r="DP15">
            <v>2358400000</v>
          </cell>
          <cell r="DR15">
            <v>121742200000</v>
          </cell>
          <cell r="DS15">
            <v>-61081100000</v>
          </cell>
          <cell r="DT15">
            <v>-36593900000</v>
          </cell>
          <cell r="DU15">
            <v>-2099300000</v>
          </cell>
          <cell r="DV15">
            <v>21967900000</v>
          </cell>
          <cell r="DW15">
            <v>0.18044605732441199</v>
          </cell>
          <cell r="DX15">
            <v>0.22017593709001201</v>
          </cell>
          <cell r="DY15">
            <v>-206600000</v>
          </cell>
          <cell r="DZ15">
            <v>19230500000</v>
          </cell>
          <cell r="EA15">
            <v>2281300000</v>
          </cell>
          <cell r="EC15">
            <v>109360100000</v>
          </cell>
          <cell r="ED15">
            <v>-49643700000</v>
          </cell>
          <cell r="EE15">
            <v>-36058700000</v>
          </cell>
          <cell r="EF15">
            <v>-2038500000</v>
          </cell>
          <cell r="EG15">
            <v>21619200000</v>
          </cell>
          <cell r="EH15">
            <v>0.19768818792228601</v>
          </cell>
          <cell r="EI15">
            <v>0.24639820197878101</v>
          </cell>
          <cell r="EJ15">
            <v>-234000000</v>
          </cell>
          <cell r="EK15">
            <v>17096850000</v>
          </cell>
          <cell r="EL15">
            <v>1565850000</v>
          </cell>
          <cell r="EN15">
            <v>121029700000</v>
          </cell>
          <cell r="EO15">
            <v>-59367866666.666702</v>
          </cell>
          <cell r="EP15">
            <v>-37620166666.666702</v>
          </cell>
          <cell r="EQ15">
            <v>-2166900000</v>
          </cell>
          <cell r="ER15">
            <v>21874766666.666698</v>
          </cell>
          <cell r="ES15">
            <v>0.18073883242432801</v>
          </cell>
          <cell r="ET15">
            <v>0.220611985014698</v>
          </cell>
        </row>
        <row r="16">
          <cell r="B16" t="str">
            <v>ALS LIMITED</v>
          </cell>
          <cell r="C16" t="str">
            <v>exclude</v>
          </cell>
          <cell r="D16" t="str">
            <v>Significantly different activities</v>
          </cell>
          <cell r="E16" t="str">
            <v>分析测试服务</v>
          </cell>
          <cell r="H16" t="str">
            <v/>
          </cell>
          <cell r="J16" t="str">
            <v>exclude</v>
          </cell>
          <cell r="K16" t="str">
            <v>Independence(A+, A, A-, U)</v>
          </cell>
          <cell r="M16" t="str">
            <v>ALS LIMITED</v>
          </cell>
          <cell r="N16" t="str">
            <v>The company is primarily engaged in the provision of analytical testing services. It commenced operations in Brisbane as Australian Laboratory Services (ALS) in 1974 as a privately owned company. Starting from humble beginnings, it initially provided analytical services for the oil shale and mineral exploration industries, and grew steadily in the first decade of operations. The company's corporate headquarters is located in Milton, Australia.As one of the world's largest and most diversified testing services providers, the company has sites strategically located around the world to provide accurate and timely services. It has operations in more than 350 locations, in 55 countries and on six continents. The company has teams of experts around the world available to provide specialised business solutions that align with client needs. Major hub facilities are located in Australia, Asia, North America, South America, Europe, the Middle East and Africa.Formerly known as Campbell Brothers Limited, the company's major business today is its international testing services business. In that business, it is focused on delivering superior services through four main divisions: Minerals (Geochemistry, Metallurgy, Mine Site and Inspection); Life Sciences (Environmental, Food and Pharmaceutical, Animal Health and Electronics); Energy (Coal, and Oil and Gas); and Industrial (Asset Care and Tribology); and offering a broad range of technical services to its clients that is unrivalled.</v>
          </cell>
          <cell r="O16" t="str">
            <v>Services</v>
          </cell>
          <cell r="P16" t="str">
            <v>www.alsglobal.com</v>
          </cell>
          <cell r="R16" t="str">
            <v>Australia</v>
          </cell>
          <cell r="S16" t="str">
            <v>ALQ</v>
          </cell>
          <cell r="T16" t="str">
            <v>A+</v>
          </cell>
          <cell r="U16" t="str">
            <v>2841</v>
          </cell>
          <cell r="V16" t="str">
            <v>Engaged in the provision of analytical testing services; Engaged in the provision of analytical testing services</v>
          </cell>
          <cell r="W16" t="str">
            <v>principal activities of the Group during the course of the financial year were the provision of professional technical services, primarily in the areas of testing, measurement and inspection, supporting:
  environmental monitoring,food and pharmaceutical quality assurance,mining and mineral exploration,commodity certification,equipment maintenance,asset care operations and,oil and gas exploration and production.</v>
          </cell>
          <cell r="X16" t="str">
            <v>CAMPBELL BROTHERS LIMITED</v>
          </cell>
          <cell r="Z16" t="str">
            <v>AU009657489</v>
          </cell>
          <cell r="AA16">
            <v>2400900000</v>
          </cell>
          <cell r="AB16">
            <v>2108500000</v>
          </cell>
          <cell r="AC16">
            <v>1789300000</v>
          </cell>
          <cell r="AD16">
            <v>1890200000</v>
          </cell>
          <cell r="AE16">
            <v>2400900000</v>
          </cell>
          <cell r="AF16">
            <v>2108500000</v>
          </cell>
          <cell r="AG16">
            <v>1761400000</v>
          </cell>
          <cell r="AH16">
            <v>1836100000</v>
          </cell>
          <cell r="AI16" t="str">
            <v>n.a.</v>
          </cell>
          <cell r="AJ16" t="str">
            <v>n.a.</v>
          </cell>
          <cell r="AK16" t="str">
            <v>n.a.</v>
          </cell>
          <cell r="AL16" t="str">
            <v>n.a.</v>
          </cell>
          <cell r="AM16">
            <v>2400900000</v>
          </cell>
          <cell r="AN16">
            <v>2108500000</v>
          </cell>
          <cell r="AO16">
            <v>1761400000</v>
          </cell>
          <cell r="AP16">
            <v>1836100000</v>
          </cell>
          <cell r="AQ16" t="str">
            <v>n.a.</v>
          </cell>
          <cell r="AR16" t="str">
            <v>n.a.</v>
          </cell>
          <cell r="AS16">
            <v>27900000</v>
          </cell>
          <cell r="AT16">
            <v>54100000</v>
          </cell>
          <cell r="AU16">
            <v>-252200000</v>
          </cell>
          <cell r="AV16">
            <v>-227800000</v>
          </cell>
          <cell r="AW16">
            <v>-182100000</v>
          </cell>
          <cell r="AX16">
            <v>-193800000</v>
          </cell>
          <cell r="AY16">
            <v>0</v>
          </cell>
          <cell r="AZ16">
            <v>0</v>
          </cell>
          <cell r="BA16">
            <v>0</v>
          </cell>
          <cell r="BB16">
            <v>0</v>
          </cell>
          <cell r="BC16">
            <v>-1550000000</v>
          </cell>
          <cell r="BD16">
            <v>-1414400000</v>
          </cell>
          <cell r="BE16">
            <v>-1180800000</v>
          </cell>
          <cell r="BF16">
            <v>-1229400000</v>
          </cell>
          <cell r="BG16">
            <v>598700000</v>
          </cell>
          <cell r="BH16">
            <v>466300000</v>
          </cell>
          <cell r="BI16">
            <v>426400000</v>
          </cell>
          <cell r="BJ16">
            <v>467000000</v>
          </cell>
          <cell r="BK16">
            <v>-158500000</v>
          </cell>
          <cell r="BL16">
            <v>-138900000</v>
          </cell>
          <cell r="BM16">
            <v>-132600000</v>
          </cell>
          <cell r="BN16">
            <v>-134400000</v>
          </cell>
          <cell r="BO16">
            <v>-158500000</v>
          </cell>
          <cell r="BP16">
            <v>-138900000</v>
          </cell>
          <cell r="BQ16">
            <v>-132600000</v>
          </cell>
          <cell r="BR16">
            <v>-134400000</v>
          </cell>
          <cell r="BS16">
            <v>0</v>
          </cell>
          <cell r="BT16">
            <v>0</v>
          </cell>
          <cell r="BU16">
            <v>0</v>
          </cell>
          <cell r="BV16">
            <v>0</v>
          </cell>
          <cell r="BW16">
            <v>291200000</v>
          </cell>
          <cell r="BX16">
            <v>190500000</v>
          </cell>
          <cell r="BY16">
            <v>169600000</v>
          </cell>
          <cell r="BZ16">
            <v>127800000</v>
          </cell>
          <cell r="CA16">
            <v>753300000</v>
          </cell>
          <cell r="CB16">
            <v>641900000</v>
          </cell>
          <cell r="CC16">
            <v>611100000</v>
          </cell>
          <cell r="CD16">
            <v>936700000</v>
          </cell>
          <cell r="CE16">
            <v>101300000</v>
          </cell>
          <cell r="CF16">
            <v>71200000</v>
          </cell>
          <cell r="CG16">
            <v>64400000</v>
          </cell>
          <cell r="CH16">
            <v>78900000</v>
          </cell>
          <cell r="CI16">
            <v>341900000</v>
          </cell>
          <cell r="CJ16">
            <v>321800000</v>
          </cell>
          <cell r="CK16">
            <v>282900000</v>
          </cell>
          <cell r="CL16">
            <v>310700000</v>
          </cell>
          <cell r="CM16">
            <v>83100000</v>
          </cell>
          <cell r="CN16">
            <v>84300000</v>
          </cell>
          <cell r="CO16">
            <v>60200000</v>
          </cell>
          <cell r="CP16">
            <v>122700000</v>
          </cell>
          <cell r="CQ16">
            <v>179600000</v>
          </cell>
          <cell r="CR16">
            <v>122800000</v>
          </cell>
          <cell r="CS16">
            <v>168600000</v>
          </cell>
          <cell r="CT16">
            <v>424400000</v>
          </cell>
          <cell r="CU16" t="str">
            <v>n.a.</v>
          </cell>
          <cell r="CV16" t="str">
            <v>n.a.</v>
          </cell>
          <cell r="CW16" t="str">
            <v>n.a.</v>
          </cell>
          <cell r="CX16" t="str">
            <v>n.a.</v>
          </cell>
          <cell r="CY16">
            <v>56900000</v>
          </cell>
          <cell r="CZ16">
            <v>33700000</v>
          </cell>
          <cell r="DA16">
            <v>25200000</v>
          </cell>
          <cell r="DB16">
            <v>33700000</v>
          </cell>
          <cell r="DC16">
            <v>3330100000</v>
          </cell>
          <cell r="DD16">
            <v>2844200000</v>
          </cell>
          <cell r="DE16">
            <v>2481600000</v>
          </cell>
          <cell r="DF16">
            <v>2930800000</v>
          </cell>
          <cell r="DG16">
            <v>2400900000</v>
          </cell>
          <cell r="DH16">
            <v>-252200000</v>
          </cell>
          <cell r="DI16">
            <v>-1550000000</v>
          </cell>
          <cell r="DJ16">
            <v>-158500000</v>
          </cell>
          <cell r="DK16">
            <v>440200000</v>
          </cell>
          <cell r="DL16">
            <v>0.18334791119996699</v>
          </cell>
          <cell r="DM16">
            <v>0.224511654001122</v>
          </cell>
          <cell r="DN16">
            <v>0</v>
          </cell>
          <cell r="DO16">
            <v>86250000</v>
          </cell>
          <cell r="DP16">
            <v>45300000</v>
          </cell>
          <cell r="DR16">
            <v>2108500000</v>
          </cell>
          <cell r="DS16">
            <v>-227800000</v>
          </cell>
          <cell r="DT16">
            <v>-1414400000</v>
          </cell>
          <cell r="DU16">
            <v>-138900000</v>
          </cell>
          <cell r="DV16">
            <v>327400000</v>
          </cell>
          <cell r="DW16">
            <v>0.15527626274602799</v>
          </cell>
          <cell r="DX16">
            <v>0.183818988265679</v>
          </cell>
          <cell r="DY16">
            <v>0</v>
          </cell>
          <cell r="DZ16">
            <v>67800000</v>
          </cell>
          <cell r="EA16">
            <v>29450000</v>
          </cell>
          <cell r="EC16">
            <v>1761400000</v>
          </cell>
          <cell r="ED16">
            <v>-182100000</v>
          </cell>
          <cell r="EE16">
            <v>-1180800000</v>
          </cell>
          <cell r="EF16">
            <v>-132600000</v>
          </cell>
          <cell r="EG16">
            <v>265900000</v>
          </cell>
          <cell r="EH16">
            <v>0.15095946406267699</v>
          </cell>
          <cell r="EI16">
            <v>0.17780006686726799</v>
          </cell>
          <cell r="EJ16">
            <v>0</v>
          </cell>
          <cell r="EK16">
            <v>71650000</v>
          </cell>
          <cell r="EL16">
            <v>29450000</v>
          </cell>
          <cell r="EN16">
            <v>2090266666.6666701</v>
          </cell>
          <cell r="EO16">
            <v>-220700000</v>
          </cell>
          <cell r="EP16">
            <v>-1381733333.3333299</v>
          </cell>
          <cell r="EQ16">
            <v>-143333333.33333299</v>
          </cell>
          <cell r="ER16">
            <v>344500000</v>
          </cell>
          <cell r="ES16">
            <v>0.16481150730369301</v>
          </cell>
          <cell r="ET16">
            <v>0.19733450442021699</v>
          </cell>
        </row>
        <row r="17">
          <cell r="B17" t="str">
            <v>ZANYU TECHNOLOGY GROUP CO., LTD.</v>
          </cell>
          <cell r="C17" t="str">
            <v>exclude</v>
          </cell>
          <cell r="D17" t="str">
            <v>Significantly different products/services</v>
          </cell>
          <cell r="E17" t="str">
            <v>工业清洁剂，油漆室化学产品，预处理，食品和乳制品，金属加工润滑剂和冷却剂，特种化学品，纸浆和造纸化学品，塑料，清洁产品，水处理化学品</v>
          </cell>
          <cell r="H17" t="str">
            <v/>
          </cell>
          <cell r="J17" t="e">
            <v>#N/A</v>
          </cell>
          <cell r="K17" t="e">
            <v>#N/A</v>
          </cell>
          <cell r="M17" t="str">
            <v>ZANYU TECHNOLOGY GROUP CO., LTD.</v>
          </cell>
          <cell r="N17" t="str">
            <v>This company is engaged in the manufacture of industrial inorganic chemicals and allied products. It started its operations in 2000 and has its registered business office located in Hangzhou, China. The company offers a wide range of products that include industrial cleaners, paint booth chemistry products, pre-treatments, food and dairy products, metalworking lubricants and coolants, specialty chemicals, pulp and paper chemicals, plastics, janitorial products, water treatment chemicals and other related products. It also offers chemical formulating, custom processing and toll blending, packaging and private labeling services. The company conducts its business operations within the country.</v>
          </cell>
          <cell r="O17" t="str">
            <v>Manufacturing</v>
          </cell>
          <cell r="P17" t="str">
            <v>www.zzytech.com</v>
          </cell>
          <cell r="R17" t="str">
            <v>China</v>
          </cell>
          <cell r="S17" t="str">
            <v>002637</v>
          </cell>
          <cell r="T17" t="str">
            <v>A+</v>
          </cell>
          <cell r="U17" t="str">
            <v>2843</v>
          </cell>
          <cell r="V17" t="str">
            <v>Engaged in the manufacture of industrial inorganic chemicals and allied products</v>
          </cell>
          <cell r="W17" t="str">
            <v>Our Company specializes in R &amp; D, production and marketing of fine chemicals such as surfactants and environmental protection industries.</v>
          </cell>
          <cell r="X17" t="str">
            <v>ZHEJIANG ZANYU TECHNOLOGY COMPANY LIMITED</v>
          </cell>
          <cell r="Z17" t="str">
            <v>CN40519PC</v>
          </cell>
          <cell r="AA17">
            <v>11238596000</v>
          </cell>
          <cell r="AB17">
            <v>11201597000</v>
          </cell>
          <cell r="AC17">
            <v>7825030000</v>
          </cell>
          <cell r="AD17">
            <v>6588371000</v>
          </cell>
          <cell r="AE17">
            <v>11059830000</v>
          </cell>
          <cell r="AF17">
            <v>10796468000</v>
          </cell>
          <cell r="AG17">
            <v>7403995000</v>
          </cell>
          <cell r="AH17">
            <v>6255161000</v>
          </cell>
          <cell r="AI17">
            <v>-32383000</v>
          </cell>
          <cell r="AJ17">
            <v>-35002000</v>
          </cell>
          <cell r="AK17">
            <v>-24130000</v>
          </cell>
          <cell r="AL17">
            <v>-22507000</v>
          </cell>
          <cell r="AM17">
            <v>11027447000</v>
          </cell>
          <cell r="AN17">
            <v>10761466000</v>
          </cell>
          <cell r="AO17">
            <v>7379865000</v>
          </cell>
          <cell r="AP17">
            <v>6232654000</v>
          </cell>
          <cell r="AQ17">
            <v>211149000</v>
          </cell>
          <cell r="AR17">
            <v>440131000</v>
          </cell>
          <cell r="AS17">
            <v>445165000</v>
          </cell>
          <cell r="AT17">
            <v>355717000</v>
          </cell>
          <cell r="AU17">
            <v>-10235425000</v>
          </cell>
          <cell r="AV17">
            <v>-9022159000</v>
          </cell>
          <cell r="AW17">
            <v>-6107840000</v>
          </cell>
          <cell r="AX17">
            <v>-4909157000</v>
          </cell>
          <cell r="AY17" t="str">
            <v>n.a.</v>
          </cell>
          <cell r="AZ17" t="str">
            <v>n.a.</v>
          </cell>
          <cell r="BA17" t="str">
            <v>n.a.</v>
          </cell>
          <cell r="BB17" t="str">
            <v>n.a.</v>
          </cell>
          <cell r="BC17">
            <v>-576078000</v>
          </cell>
          <cell r="BD17">
            <v>-763953000</v>
          </cell>
          <cell r="BE17">
            <v>-900199000</v>
          </cell>
          <cell r="BF17">
            <v>-779867000</v>
          </cell>
          <cell r="BG17">
            <v>427093000</v>
          </cell>
          <cell r="BH17">
            <v>1415485000</v>
          </cell>
          <cell r="BI17">
            <v>816991000</v>
          </cell>
          <cell r="BJ17">
            <v>899347000</v>
          </cell>
          <cell r="BK17">
            <v>-287921000</v>
          </cell>
          <cell r="BL17">
            <v>-204043000</v>
          </cell>
          <cell r="BM17">
            <v>-311052000</v>
          </cell>
          <cell r="BN17">
            <v>-399505000</v>
          </cell>
          <cell r="BO17">
            <v>-205715000</v>
          </cell>
          <cell r="BP17">
            <v>-139722000</v>
          </cell>
          <cell r="BQ17">
            <v>-109001000</v>
          </cell>
          <cell r="BR17">
            <v>-322823000</v>
          </cell>
          <cell r="BS17">
            <v>-82206000</v>
          </cell>
          <cell r="BT17">
            <v>-64321000</v>
          </cell>
          <cell r="BU17">
            <v>-202051000</v>
          </cell>
          <cell r="BV17">
            <v>-76682000</v>
          </cell>
          <cell r="BW17">
            <v>-127958000</v>
          </cell>
          <cell r="BX17">
            <v>796031000</v>
          </cell>
          <cell r="BY17">
            <v>344719000</v>
          </cell>
          <cell r="BZ17">
            <v>354197000</v>
          </cell>
          <cell r="CA17">
            <v>3823971000</v>
          </cell>
          <cell r="CB17">
            <v>3815250000</v>
          </cell>
          <cell r="CC17">
            <v>3245166000</v>
          </cell>
          <cell r="CD17">
            <v>2674421000</v>
          </cell>
          <cell r="CE17">
            <v>1428325000</v>
          </cell>
          <cell r="CF17">
            <v>1302204000</v>
          </cell>
          <cell r="CG17">
            <v>940197000</v>
          </cell>
          <cell r="CH17">
            <v>889480000</v>
          </cell>
          <cell r="CI17">
            <v>489410000</v>
          </cell>
          <cell r="CJ17">
            <v>762600000</v>
          </cell>
          <cell r="CK17">
            <v>662681000</v>
          </cell>
          <cell r="CL17">
            <v>594450000</v>
          </cell>
          <cell r="CM17">
            <v>1007315000</v>
          </cell>
          <cell r="CN17">
            <v>611541000</v>
          </cell>
          <cell r="CO17">
            <v>566124000</v>
          </cell>
          <cell r="CP17">
            <v>537426000</v>
          </cell>
          <cell r="CQ17">
            <v>593658000</v>
          </cell>
          <cell r="CR17">
            <v>742762000</v>
          </cell>
          <cell r="CS17">
            <v>823837000</v>
          </cell>
          <cell r="CT17">
            <v>513055000</v>
          </cell>
          <cell r="CU17">
            <v>266214000</v>
          </cell>
          <cell r="CV17">
            <v>298799000</v>
          </cell>
          <cell r="CW17">
            <v>25000</v>
          </cell>
          <cell r="CX17">
            <v>123870000</v>
          </cell>
          <cell r="CY17">
            <v>220608000</v>
          </cell>
          <cell r="CZ17">
            <v>492607000</v>
          </cell>
          <cell r="DA17">
            <v>1120469000</v>
          </cell>
          <cell r="DB17">
            <v>1346438000</v>
          </cell>
          <cell r="DC17">
            <v>7667448000</v>
          </cell>
          <cell r="DD17">
            <v>8419519000</v>
          </cell>
          <cell r="DE17">
            <v>7218159000</v>
          </cell>
          <cell r="DF17">
            <v>6679238000</v>
          </cell>
          <cell r="DG17">
            <v>11027447000</v>
          </cell>
          <cell r="DH17">
            <v>-10235425000</v>
          </cell>
          <cell r="DI17">
            <v>-576078000</v>
          </cell>
          <cell r="DJ17">
            <v>-287921000</v>
          </cell>
          <cell r="DK17">
            <v>-71977000</v>
          </cell>
          <cell r="DL17">
            <v>-6.5270773915304201E-3</v>
          </cell>
          <cell r="DM17">
            <v>-6.4847509204081196E-3</v>
          </cell>
          <cell r="DN17" t="str">
            <v>n.a.</v>
          </cell>
          <cell r="DO17">
            <v>1365264500</v>
          </cell>
          <cell r="DP17">
            <v>356607500</v>
          </cell>
          <cell r="DR17">
            <v>10761466000</v>
          </cell>
          <cell r="DS17">
            <v>-9022159000</v>
          </cell>
          <cell r="DT17">
            <v>-763953000</v>
          </cell>
          <cell r="DU17">
            <v>-204043000</v>
          </cell>
          <cell r="DV17">
            <v>771311000</v>
          </cell>
          <cell r="DW17">
            <v>7.1673413269158701E-2</v>
          </cell>
          <cell r="DX17">
            <v>7.7207110400189002E-2</v>
          </cell>
          <cell r="DY17" t="str">
            <v>n.a.</v>
          </cell>
          <cell r="DZ17">
            <v>1121200500</v>
          </cell>
          <cell r="EA17">
            <v>806538000</v>
          </cell>
          <cell r="EC17">
            <v>7379865000</v>
          </cell>
          <cell r="ED17">
            <v>-6107840000</v>
          </cell>
          <cell r="EE17">
            <v>-900199000</v>
          </cell>
          <cell r="EF17">
            <v>-311052000</v>
          </cell>
          <cell r="EG17">
            <v>60774000</v>
          </cell>
          <cell r="EH17">
            <v>8.2351099918494403E-3</v>
          </cell>
          <cell r="EI17">
            <v>8.3034901465222893E-3</v>
          </cell>
          <cell r="EJ17" t="str">
            <v>n.a.</v>
          </cell>
          <cell r="EK17">
            <v>914838500</v>
          </cell>
          <cell r="EL17">
            <v>1233453500</v>
          </cell>
          <cell r="EN17">
            <v>9722926000</v>
          </cell>
          <cell r="EO17">
            <v>-8455141333.3333302</v>
          </cell>
          <cell r="EP17">
            <v>-746743333.33333302</v>
          </cell>
          <cell r="EQ17">
            <v>-267672000</v>
          </cell>
          <cell r="ER17">
            <v>253369333.333334</v>
          </cell>
          <cell r="ES17">
            <v>2.6058959343446E-2</v>
          </cell>
          <cell r="ET17">
            <v>2.67561980198299E-2</v>
          </cell>
        </row>
        <row r="18">
          <cell r="B18" t="str">
            <v>KOLMAR KOREA CO.,LTD.</v>
          </cell>
          <cell r="C18" t="str">
            <v>exclude</v>
          </cell>
          <cell r="D18" t="str">
            <v>Independence(A+, A, A-, U)</v>
          </cell>
          <cell r="H18" t="str">
            <v/>
          </cell>
          <cell r="J18" t="str">
            <v>exclude</v>
          </cell>
          <cell r="K18" t="str">
            <v>Independence(A+, A, A-, U)</v>
          </cell>
          <cell r="M18" t="str">
            <v>KOLMAR KOREA CO.,LTD.</v>
          </cell>
          <cell r="N18" t="str">
            <v>The company is engaged in the manufacture and wholesale distribution of perfumes and toilet preparations. It was incorporated in October of 2012 and conducts business in its registered head office located in Yeongi-gun, Republic of Korea.The company is primarily involved in producing and trading the following products: perfumes and cologne; soaps and other detergents, such as laundry detergents and dishwashing detergents; toothpaste gels and tooth powders; facial tissues; textile and leather finishing agents; deodorant; and other common items used in everyday maintenance of appearance.</v>
          </cell>
          <cell r="O18" t="str">
            <v>Manufacturing; Wholesale</v>
          </cell>
          <cell r="P18" t="str">
            <v>www.kolmar.co.kr</v>
          </cell>
          <cell r="R18" t="str">
            <v>Republic of Korea</v>
          </cell>
          <cell r="S18" t="str">
            <v>161890</v>
          </cell>
          <cell r="T18" t="str">
            <v>B+</v>
          </cell>
          <cell r="U18" t="str">
            <v>2844</v>
          </cell>
          <cell r="V18" t="str">
            <v>Engaged in the manufacture and wholesale distribution of perfumes and toilet preparations</v>
          </cell>
          <cell r="W18" t="str">
            <v>- The company was split off from Kolmar Holdings Korea (formerly Korea Kolmar) in October, 2012, and is engaged in the manufacture and sale of cosmetics and pharmaceuticals.The company acquired ISO22716 certification, the international standard CGMP for the first time in Korea, and is the leader in the cosmetics ODM / OEM market. The company focuses on strengthening our position in the industry through continuous investment and technology development.- Cosmetics manufacturing and sales subsidiaries in China, the United States and Canada As a subsidiary, Company acquire CKM Corp. in April 2018 and CJ Healthcare in April 2018 and expect synergies in the pharmaceutical business.</v>
          </cell>
          <cell r="Z18" t="str">
            <v>KR1647110030756</v>
          </cell>
          <cell r="AA18">
            <v>1865731523000</v>
          </cell>
          <cell r="AB18">
            <v>1586332710000</v>
          </cell>
          <cell r="AC18">
            <v>1322081318000</v>
          </cell>
          <cell r="AD18">
            <v>1378886358000</v>
          </cell>
          <cell r="AE18">
            <v>1865731523000</v>
          </cell>
          <cell r="AF18">
            <v>1586332710000</v>
          </cell>
          <cell r="AG18">
            <v>1322081318000</v>
          </cell>
          <cell r="AH18">
            <v>1378886358000</v>
          </cell>
          <cell r="AI18" t="str">
            <v>n.a.</v>
          </cell>
          <cell r="AJ18" t="str">
            <v>n.a.</v>
          </cell>
          <cell r="AK18" t="str">
            <v>n.a.</v>
          </cell>
          <cell r="AL18" t="str">
            <v>n.a.</v>
          </cell>
          <cell r="AM18">
            <v>1865731523000</v>
          </cell>
          <cell r="AN18">
            <v>1586332710000</v>
          </cell>
          <cell r="AO18">
            <v>1322081318000</v>
          </cell>
          <cell r="AP18">
            <v>1378886358000</v>
          </cell>
          <cell r="AQ18" t="str">
            <v>n.a.</v>
          </cell>
          <cell r="AR18" t="str">
            <v>n.a.</v>
          </cell>
          <cell r="AS18" t="str">
            <v>n.a.</v>
          </cell>
          <cell r="AT18" t="str">
            <v>n.a.</v>
          </cell>
          <cell r="AU18">
            <v>-1396896252000</v>
          </cell>
          <cell r="AV18">
            <v>-1158199758000</v>
          </cell>
          <cell r="AW18">
            <v>-895784181000</v>
          </cell>
          <cell r="AX18">
            <v>-982756835000</v>
          </cell>
          <cell r="AY18">
            <v>-24672718000</v>
          </cell>
          <cell r="AZ18">
            <v>-19926764000</v>
          </cell>
          <cell r="BA18">
            <v>-18926076000</v>
          </cell>
          <cell r="BB18">
            <v>-17207672000</v>
          </cell>
          <cell r="BC18">
            <v>-342115899000</v>
          </cell>
          <cell r="BD18">
            <v>-298835162000</v>
          </cell>
          <cell r="BE18">
            <v>-260899217000</v>
          </cell>
          <cell r="BF18">
            <v>-255245637000</v>
          </cell>
          <cell r="BG18">
            <v>102046654000</v>
          </cell>
          <cell r="BH18">
            <v>109371026000</v>
          </cell>
          <cell r="BI18">
            <v>146471844000</v>
          </cell>
          <cell r="BJ18">
            <v>123676214000</v>
          </cell>
          <cell r="BK18">
            <v>-28766213000</v>
          </cell>
          <cell r="BL18">
            <v>-25103473000</v>
          </cell>
          <cell r="BM18">
            <v>-24792717000</v>
          </cell>
          <cell r="BN18">
            <v>-23843988000</v>
          </cell>
          <cell r="BO18">
            <v>-15085896000</v>
          </cell>
          <cell r="BP18">
            <v>-13343147000</v>
          </cell>
          <cell r="BQ18">
            <v>-12034318000</v>
          </cell>
          <cell r="BR18">
            <v>-9424877000</v>
          </cell>
          <cell r="BS18">
            <v>-13680317000</v>
          </cell>
          <cell r="BT18">
            <v>-11760326000</v>
          </cell>
          <cell r="BU18">
            <v>-12758399000</v>
          </cell>
          <cell r="BV18">
            <v>-14419111000</v>
          </cell>
          <cell r="BW18">
            <v>-21981309000</v>
          </cell>
          <cell r="BX18">
            <v>35811331000</v>
          </cell>
          <cell r="BY18">
            <v>160269947000</v>
          </cell>
          <cell r="BZ18">
            <v>29057852000</v>
          </cell>
          <cell r="CA18">
            <v>816296193000</v>
          </cell>
          <cell r="CB18">
            <v>882876430000</v>
          </cell>
          <cell r="CC18">
            <v>775228937000</v>
          </cell>
          <cell r="CD18">
            <v>646020460000</v>
          </cell>
          <cell r="CE18">
            <v>239404825000</v>
          </cell>
          <cell r="CF18">
            <v>210170703000</v>
          </cell>
          <cell r="CG18">
            <v>148592292000</v>
          </cell>
          <cell r="CH18">
            <v>160663175000</v>
          </cell>
          <cell r="CI18">
            <v>260677794000</v>
          </cell>
          <cell r="CJ18">
            <v>230106583000</v>
          </cell>
          <cell r="CK18">
            <v>221831717000</v>
          </cell>
          <cell r="CL18">
            <v>230421095000</v>
          </cell>
          <cell r="CM18">
            <v>77899293000</v>
          </cell>
          <cell r="CN18">
            <v>142674611000</v>
          </cell>
          <cell r="CO18">
            <v>7545774000</v>
          </cell>
          <cell r="CP18">
            <v>17998129000</v>
          </cell>
          <cell r="CQ18">
            <v>225692654000</v>
          </cell>
          <cell r="CR18">
            <v>282476526000</v>
          </cell>
          <cell r="CS18">
            <v>377170647000</v>
          </cell>
          <cell r="CT18">
            <v>217711016000</v>
          </cell>
          <cell r="CU18">
            <v>5619271000</v>
          </cell>
          <cell r="CV18">
            <v>91257162000</v>
          </cell>
          <cell r="CW18" t="str">
            <v>n.a.</v>
          </cell>
          <cell r="CX18">
            <v>99097101000</v>
          </cell>
          <cell r="CY18">
            <v>258949699000</v>
          </cell>
          <cell r="CZ18">
            <v>145018320000</v>
          </cell>
          <cell r="DA18">
            <v>205826638000</v>
          </cell>
          <cell r="DB18">
            <v>159740739000</v>
          </cell>
          <cell r="DC18">
            <v>2933309479000</v>
          </cell>
          <cell r="DD18">
            <v>2606037352000</v>
          </cell>
          <cell r="DE18">
            <v>2489599417000</v>
          </cell>
          <cell r="DF18">
            <v>2400309459000</v>
          </cell>
          <cell r="DG18">
            <v>1865731523000</v>
          </cell>
          <cell r="DH18">
            <v>-1396896252000</v>
          </cell>
          <cell r="DI18">
            <v>-366788617000</v>
          </cell>
          <cell r="DJ18">
            <v>-28766213000</v>
          </cell>
          <cell r="DK18">
            <v>73280441000</v>
          </cell>
          <cell r="DL18">
            <v>3.9277055726736503E-2</v>
          </cell>
          <cell r="DM18">
            <v>4.0882812220590301E-2</v>
          </cell>
          <cell r="DN18">
            <v>-24672718000</v>
          </cell>
          <cell r="DO18">
            <v>224787764000</v>
          </cell>
          <cell r="DP18">
            <v>201984009500</v>
          </cell>
          <cell r="DR18">
            <v>1586332710000</v>
          </cell>
          <cell r="DS18">
            <v>-1158199758000</v>
          </cell>
          <cell r="DT18">
            <v>-318761926000</v>
          </cell>
          <cell r="DU18">
            <v>-25103473000</v>
          </cell>
          <cell r="DV18">
            <v>84267553000</v>
          </cell>
          <cell r="DW18">
            <v>5.3120983050270701E-2</v>
          </cell>
          <cell r="DX18">
            <v>5.6101130238786302E-2</v>
          </cell>
          <cell r="DY18">
            <v>-19926764000</v>
          </cell>
          <cell r="DZ18">
            <v>179381497500</v>
          </cell>
          <cell r="EA18">
            <v>175422479000</v>
          </cell>
          <cell r="EC18">
            <v>1322081318000</v>
          </cell>
          <cell r="ED18">
            <v>-895784181000</v>
          </cell>
          <cell r="EE18">
            <v>-279825293000</v>
          </cell>
          <cell r="EF18">
            <v>-24792717000</v>
          </cell>
          <cell r="EG18">
            <v>121679127000</v>
          </cell>
          <cell r="EH18">
            <v>9.2036038436782402E-2</v>
          </cell>
          <cell r="EI18">
            <v>0.101365298990861</v>
          </cell>
          <cell r="EJ18">
            <v>-18926076000</v>
          </cell>
          <cell r="EK18">
            <v>154627733500</v>
          </cell>
          <cell r="EL18">
            <v>182783688500</v>
          </cell>
          <cell r="EN18">
            <v>1591381850333.3301</v>
          </cell>
          <cell r="EO18">
            <v>-1150293397000</v>
          </cell>
          <cell r="EP18">
            <v>-321791945333.33301</v>
          </cell>
          <cell r="EQ18">
            <v>-26220801000</v>
          </cell>
          <cell r="ER18">
            <v>93075706999.999893</v>
          </cell>
          <cell r="ES18">
            <v>5.8487349834047797E-2</v>
          </cell>
          <cell r="ET18">
            <v>6.2120620284537603E-2</v>
          </cell>
        </row>
        <row r="19">
          <cell r="B19" t="str">
            <v>COSMAX INC.</v>
          </cell>
          <cell r="C19" t="str">
            <v>exclude</v>
          </cell>
          <cell r="D19" t="str">
            <v>Independence(A+, A, A-, U)</v>
          </cell>
          <cell r="H19" t="str">
            <v/>
          </cell>
          <cell r="J19" t="e">
            <v>#N/A</v>
          </cell>
          <cell r="K19" t="e">
            <v>#N/A</v>
          </cell>
          <cell r="M19" t="str">
            <v>COSMAX INC.</v>
          </cell>
          <cell r="N19" t="str">
            <v>This company is primarily engaged in the research, development and manufacture of cosmetics, health food products and medicines that offer health and beauty to its customers. It invests more than five percent of its total revenue into R&amp;D, and exports its products to more than 100 countries around the world. It was founded as Miroto Korea in November of 1992. The company's head office is located in Hwaseong-si, Gyeonggi-do, South Korea.The company operates an R&amp;I Center in Sungnam-si, Gyeonggi-do, South Korea. It is a company with specialised research laboratories that produce the best quality products, which are trusted and used all over the world. In its R&amp;I center, more than 350 researchers in the field of skincare, make-up, advanced tech, safety and regulatory, and global are working to develop innovative products with the highest quality standards in the world. Its key products include skincare, make-up, hair care, functional cosmetics, scent and mask sheet.Since its foundation, the company has been working to realize its corporate vision of being "Good, Different and Beautiful" based on the "creed of three apples that changed the world."</v>
          </cell>
          <cell r="O19" t="str">
            <v>Manufacturing</v>
          </cell>
          <cell r="P19" t="str">
            <v>www.cosmax.com</v>
          </cell>
          <cell r="R19" t="str">
            <v>Republic of Korea</v>
          </cell>
          <cell r="S19" t="str">
            <v>192820</v>
          </cell>
          <cell r="T19" t="str">
            <v>B+</v>
          </cell>
          <cell r="U19" t="str">
            <v>2844</v>
          </cell>
          <cell r="V19" t="str">
            <v>Engaged in the research, development and manufacture of cosmetics, health food products and medicines that offer health and beauty to its customers</v>
          </cell>
          <cell r="W19" t="str">
            <v>- In March 2014, cosmetics manufacturing division of Cosmax BTIA (formerly Cosmax Co., Ltd.) was established as a personnel division.- Company supply its own R &amp; D cosmetics to more than 600 domestic and overseas brands through ODM, and Company have secured a number of global cosmetics brands.- Company have a production and quality control system that meets global standards and R &amp; D capabilities of the industry''s highest level. Company also secure competitiveness by building global production infrastructures such as China, Indonesia, and the United States.</v>
          </cell>
          <cell r="Z19" t="str">
            <v>KR1348110294273</v>
          </cell>
          <cell r="AA19">
            <v>1600125770000</v>
          </cell>
          <cell r="AB19">
            <v>1591487622000</v>
          </cell>
          <cell r="AC19">
            <v>1382880689000</v>
          </cell>
          <cell r="AD19">
            <v>1330652929000</v>
          </cell>
          <cell r="AE19">
            <v>1600125770000</v>
          </cell>
          <cell r="AF19">
            <v>1591487622000</v>
          </cell>
          <cell r="AG19">
            <v>1382880689000</v>
          </cell>
          <cell r="AH19">
            <v>1330652929000</v>
          </cell>
          <cell r="AI19" t="str">
            <v>n.a.</v>
          </cell>
          <cell r="AJ19" t="str">
            <v>n.a.</v>
          </cell>
          <cell r="AK19" t="str">
            <v>n.a.</v>
          </cell>
          <cell r="AL19" t="str">
            <v>n.a.</v>
          </cell>
          <cell r="AM19">
            <v>1600125770000</v>
          </cell>
          <cell r="AN19">
            <v>1591487622000</v>
          </cell>
          <cell r="AO19">
            <v>1382880689000</v>
          </cell>
          <cell r="AP19">
            <v>1330652929000</v>
          </cell>
          <cell r="AQ19" t="str">
            <v>n.a.</v>
          </cell>
          <cell r="AR19" t="str">
            <v>n.a.</v>
          </cell>
          <cell r="AS19" t="str">
            <v>n.a.</v>
          </cell>
          <cell r="AT19" t="str">
            <v>n.a.</v>
          </cell>
          <cell r="AU19">
            <v>-1394855820000</v>
          </cell>
          <cell r="AV19">
            <v>-1313976468000</v>
          </cell>
          <cell r="AW19">
            <v>-1172041395000</v>
          </cell>
          <cell r="AX19">
            <v>-1147183005000</v>
          </cell>
          <cell r="AY19" t="str">
            <v>n.a.</v>
          </cell>
          <cell r="AZ19" t="str">
            <v>n.a.</v>
          </cell>
          <cell r="BA19" t="str">
            <v>n.a.</v>
          </cell>
          <cell r="BB19">
            <v>-910000</v>
          </cell>
          <cell r="BC19">
            <v>-141038786000</v>
          </cell>
          <cell r="BD19">
            <v>-146654235000</v>
          </cell>
          <cell r="BE19">
            <v>-137779389000</v>
          </cell>
          <cell r="BF19">
            <v>-123944747000</v>
          </cell>
          <cell r="BG19">
            <v>64231164000</v>
          </cell>
          <cell r="BH19">
            <v>130856919000</v>
          </cell>
          <cell r="BI19">
            <v>73059905000</v>
          </cell>
          <cell r="BJ19">
            <v>59524267000.000099</v>
          </cell>
          <cell r="BK19">
            <v>-11130310000</v>
          </cell>
          <cell r="BL19">
            <v>-8257008000</v>
          </cell>
          <cell r="BM19">
            <v>-6418477000</v>
          </cell>
          <cell r="BN19">
            <v>-5529130000</v>
          </cell>
          <cell r="BO19">
            <v>-7412501000</v>
          </cell>
          <cell r="BP19">
            <v>-5296437000</v>
          </cell>
          <cell r="BQ19">
            <v>-4434361000</v>
          </cell>
          <cell r="BR19">
            <v>-3892070000</v>
          </cell>
          <cell r="BS19">
            <v>-3717809000</v>
          </cell>
          <cell r="BT19">
            <v>-2960571000</v>
          </cell>
          <cell r="BU19">
            <v>-1984116000</v>
          </cell>
          <cell r="BV19">
            <v>-1637060000</v>
          </cell>
          <cell r="BW19">
            <v>20847691000</v>
          </cell>
          <cell r="BX19">
            <v>74435536000</v>
          </cell>
          <cell r="BY19">
            <v>21378297000</v>
          </cell>
          <cell r="BZ19">
            <v>31823144000</v>
          </cell>
          <cell r="CA19">
            <v>737152719000</v>
          </cell>
          <cell r="CB19">
            <v>792234583000</v>
          </cell>
          <cell r="CC19">
            <v>622616678000</v>
          </cell>
          <cell r="CD19">
            <v>618284149000</v>
          </cell>
          <cell r="CE19">
            <v>202277825000</v>
          </cell>
          <cell r="CF19">
            <v>223572134000</v>
          </cell>
          <cell r="CG19">
            <v>193315147000</v>
          </cell>
          <cell r="CH19">
            <v>208921488000</v>
          </cell>
          <cell r="CI19">
            <v>317360569000</v>
          </cell>
          <cell r="CJ19">
            <v>362919412000</v>
          </cell>
          <cell r="CK19">
            <v>305832486000</v>
          </cell>
          <cell r="CL19">
            <v>317735160000</v>
          </cell>
          <cell r="CM19">
            <v>24220875000</v>
          </cell>
          <cell r="CN19">
            <v>4507536000</v>
          </cell>
          <cell r="CO19">
            <v>4684450000</v>
          </cell>
          <cell r="CP19">
            <v>2812115000</v>
          </cell>
          <cell r="CQ19">
            <v>175453921000</v>
          </cell>
          <cell r="CR19">
            <v>181533520000</v>
          </cell>
          <cell r="CS19">
            <v>102513996000</v>
          </cell>
          <cell r="CT19">
            <v>76558221000</v>
          </cell>
          <cell r="CU19">
            <v>6337954000</v>
          </cell>
          <cell r="CV19">
            <v>81699800000</v>
          </cell>
          <cell r="CW19" t="str">
            <v>n.a.</v>
          </cell>
          <cell r="CX19" t="str">
            <v>n.a.</v>
          </cell>
          <cell r="CY19">
            <v>44000142000</v>
          </cell>
          <cell r="CZ19">
            <v>18034813000</v>
          </cell>
          <cell r="DA19">
            <v>19387335000</v>
          </cell>
          <cell r="DB19">
            <v>16041793000</v>
          </cell>
          <cell r="DC19">
            <v>1396450505000</v>
          </cell>
          <cell r="DD19">
            <v>1411928776000</v>
          </cell>
          <cell r="DE19">
            <v>1189042898000</v>
          </cell>
          <cell r="DF19">
            <v>1204354193000</v>
          </cell>
          <cell r="DG19">
            <v>1600125770000</v>
          </cell>
          <cell r="DH19">
            <v>-1394855820000</v>
          </cell>
          <cell r="DI19">
            <v>-141038786000</v>
          </cell>
          <cell r="DJ19">
            <v>-11130310000</v>
          </cell>
          <cell r="DK19">
            <v>53100854000</v>
          </cell>
          <cell r="DL19">
            <v>3.3185425168172897E-2</v>
          </cell>
          <cell r="DM19">
            <v>3.4324498235812503E-2</v>
          </cell>
          <cell r="DN19" t="str">
            <v>n.a.</v>
          </cell>
          <cell r="DO19">
            <v>212924979500</v>
          </cell>
          <cell r="DP19">
            <v>31017477500</v>
          </cell>
          <cell r="DR19">
            <v>1591487622000</v>
          </cell>
          <cell r="DS19">
            <v>-1313976468000</v>
          </cell>
          <cell r="DT19">
            <v>-146654235000</v>
          </cell>
          <cell r="DU19">
            <v>-8257008000</v>
          </cell>
          <cell r="DV19">
            <v>122599911000</v>
          </cell>
          <cell r="DW19">
            <v>7.7034787644738603E-2</v>
          </cell>
          <cell r="DX19">
            <v>8.3464454145739705E-2</v>
          </cell>
          <cell r="DY19" t="str">
            <v>n.a.</v>
          </cell>
          <cell r="DZ19">
            <v>208443640500</v>
          </cell>
          <cell r="EA19">
            <v>18711074000</v>
          </cell>
          <cell r="EC19">
            <v>1382880689000</v>
          </cell>
          <cell r="ED19">
            <v>-1172041395000</v>
          </cell>
          <cell r="EE19">
            <v>-137779389000</v>
          </cell>
          <cell r="EF19">
            <v>-6418477000</v>
          </cell>
          <cell r="EG19">
            <v>66641428000</v>
          </cell>
          <cell r="EH19">
            <v>4.8190294744943102E-2</v>
          </cell>
          <cell r="EI19">
            <v>5.0630177943005499E-2</v>
          </cell>
          <cell r="EJ19" t="str">
            <v>n.a.</v>
          </cell>
          <cell r="EK19">
            <v>201118317500</v>
          </cell>
          <cell r="EL19">
            <v>17714564000</v>
          </cell>
          <cell r="EN19">
            <v>1524831360333.3301</v>
          </cell>
          <cell r="EO19">
            <v>-1293624561000</v>
          </cell>
          <cell r="EP19">
            <v>-141824136666.66699</v>
          </cell>
          <cell r="EQ19">
            <v>-8601931666.6666698</v>
          </cell>
          <cell r="ER19">
            <v>80780730999.999893</v>
          </cell>
          <cell r="ES19">
            <v>5.2976829504831902E-2</v>
          </cell>
          <cell r="ET19">
            <v>5.5940373113713797E-2</v>
          </cell>
        </row>
        <row r="20">
          <cell r="B20" t="str">
            <v>MARICO LIMITED</v>
          </cell>
          <cell r="C20" t="str">
            <v>exclude</v>
          </cell>
          <cell r="D20" t="str">
            <v>Lev SDA/SDP</v>
          </cell>
          <cell r="H20" t="str">
            <v/>
          </cell>
          <cell r="J20" t="str">
            <v>exclude</v>
          </cell>
          <cell r="K20" t="str">
            <v>lev SDA/SDP</v>
          </cell>
          <cell r="M20" t="str">
            <v>MARICO LIMITED</v>
          </cell>
          <cell r="N20" t="str">
            <v>This company is engaged in the production and wholesale of beauty and wellness products. It was established in 1990 and has its corporate office located in Mumbai, India. It is a leading Indian company in consumer products and services in the global beauty and wellness sector. The company markets well-known brands such as Parachute, Saffola, Sweekar, Hair &amp; Care, Nihar, Shanti, Mediker, Revive, Kaya, Sundari, Aromatic Fiancee, and HairCode. Its brands and their extensions occupy leadership positions with significant market shares in most categories, including coconut oil, hair oils, anti-lice treatment, premium refined edible oils, and fabric care. The company's branded products are also present in Bangladesh, other SAARC (South Asian Association for Regional Cooperation) countries, the Middle East and Egypt. The company is present in the skin care services business through Kaya Limited, which has approximately 47 skin care clinics in India and the UAE; Sundari LLC (United States), the owner of the Sundari line of luxury Ayurvedic skin care products; and also through its nascent soap franchise in India and Bangladesh. The overseas sales franchise of its consumer products (whether as exports from India or as local operations in a foreign country) is one of the largest among Indian companies and is entirely in branded products and services.</v>
          </cell>
          <cell r="O20" t="str">
            <v>Manufacturing; Wholesale</v>
          </cell>
          <cell r="P20" t="str">
            <v>www.marico.com</v>
          </cell>
          <cell r="R20" t="str">
            <v>India</v>
          </cell>
          <cell r="S20" t="str">
            <v>MARICO</v>
          </cell>
          <cell r="T20" t="str">
            <v>A+</v>
          </cell>
          <cell r="U20" t="str">
            <v>2844</v>
          </cell>
          <cell r="V20" t="str">
            <v>Engaged in the production and wholesale of beauty and wellness products</v>
          </cell>
          <cell r="W20" t="str">
            <v>Marico is a leading Indian Group in Consumer Products and Services in the Global Beauty and Wellness space. Marico's brands and their extensions occupy leadership positions with significant market shares in most categories- Coconut Oil, Hair Oils, Anti-lice Treatment, Premium Refined Edible Oils, Fabric Care etc.</v>
          </cell>
          <cell r="X20" t="str">
            <v>MARICO INDUSTRIES LIMITED</v>
          </cell>
          <cell r="Y20" t="str">
            <v>Parachute; Saffola; Sweekar; Hair &amp; Care; Nihar; Shanti; Mediker; Revive; Kaya; Sundari; Aromatic Fiancee; and HairCode</v>
          </cell>
          <cell r="Z20" t="str">
            <v>IN30615FI</v>
          </cell>
          <cell r="AA20">
            <v>97770000000</v>
          </cell>
          <cell r="AB20">
            <v>95240000000</v>
          </cell>
          <cell r="AC20">
            <v>80530000000</v>
          </cell>
          <cell r="AD20">
            <v>73210000000</v>
          </cell>
          <cell r="AE20">
            <v>109490000000</v>
          </cell>
          <cell r="AF20">
            <v>104890000000</v>
          </cell>
          <cell r="AG20">
            <v>87920000000</v>
          </cell>
          <cell r="AH20">
            <v>79960000000</v>
          </cell>
          <cell r="AI20">
            <v>-12600000000</v>
          </cell>
          <cell r="AJ20">
            <v>-10370000000</v>
          </cell>
          <cell r="AK20">
            <v>-8010000000</v>
          </cell>
          <cell r="AL20">
            <v>-7420000000</v>
          </cell>
          <cell r="AM20">
            <v>96890000000</v>
          </cell>
          <cell r="AN20">
            <v>94520000000</v>
          </cell>
          <cell r="AO20">
            <v>79910000000</v>
          </cell>
          <cell r="AP20">
            <v>72540000000</v>
          </cell>
          <cell r="AQ20">
            <v>880000000</v>
          </cell>
          <cell r="AR20">
            <v>720000000</v>
          </cell>
          <cell r="AS20">
            <v>620000000</v>
          </cell>
          <cell r="AT20">
            <v>670000000</v>
          </cell>
          <cell r="AU20">
            <v>-53710000000</v>
          </cell>
          <cell r="AV20">
            <v>-54540000000</v>
          </cell>
          <cell r="AW20">
            <v>-42880000000</v>
          </cell>
          <cell r="AX20">
            <v>-37640000000</v>
          </cell>
          <cell r="AY20">
            <v>-32380000000</v>
          </cell>
          <cell r="AZ20">
            <v>-295800000</v>
          </cell>
          <cell r="BA20">
            <v>-296700000</v>
          </cell>
          <cell r="BB20">
            <v>-314700000</v>
          </cell>
          <cell r="BC20">
            <v>6550000000</v>
          </cell>
          <cell r="BD20">
            <v>-23474200000</v>
          </cell>
          <cell r="BE20">
            <v>-21363300000</v>
          </cell>
          <cell r="BF20">
            <v>-20535300000</v>
          </cell>
          <cell r="BG20">
            <v>18230000000</v>
          </cell>
          <cell r="BH20">
            <v>16930000000</v>
          </cell>
          <cell r="BI20">
            <v>15990000000</v>
          </cell>
          <cell r="BJ20">
            <v>14720000000</v>
          </cell>
          <cell r="BK20">
            <v>-1550000000</v>
          </cell>
          <cell r="BL20">
            <v>-1390000000</v>
          </cell>
          <cell r="BM20">
            <v>-1390000000</v>
          </cell>
          <cell r="BN20">
            <v>-1400000000</v>
          </cell>
          <cell r="BO20">
            <v>-1470000000</v>
          </cell>
          <cell r="BP20">
            <v>-1320000000</v>
          </cell>
          <cell r="BQ20">
            <v>-1330000000</v>
          </cell>
          <cell r="BR20">
            <v>-1370000000</v>
          </cell>
          <cell r="BS20">
            <v>-80000000</v>
          </cell>
          <cell r="BT20">
            <v>-70000000</v>
          </cell>
          <cell r="BU20">
            <v>-60000000</v>
          </cell>
          <cell r="BV20">
            <v>-30000000</v>
          </cell>
          <cell r="BW20">
            <v>13020000000</v>
          </cell>
          <cell r="BX20">
            <v>12250000000</v>
          </cell>
          <cell r="BY20">
            <v>11720000000</v>
          </cell>
          <cell r="BZ20">
            <v>10210000000</v>
          </cell>
          <cell r="CA20">
            <v>38200000000</v>
          </cell>
          <cell r="CB20">
            <v>35050000000</v>
          </cell>
          <cell r="CC20">
            <v>33360000000</v>
          </cell>
          <cell r="CD20">
            <v>31480000000</v>
          </cell>
          <cell r="CE20">
            <v>12250000000</v>
          </cell>
          <cell r="CF20">
            <v>14120000000</v>
          </cell>
          <cell r="CG20">
            <v>11260000000</v>
          </cell>
          <cell r="CH20">
            <v>13800000000</v>
          </cell>
          <cell r="CI20">
            <v>10150000000</v>
          </cell>
          <cell r="CJ20">
            <v>6520000000</v>
          </cell>
          <cell r="CK20">
            <v>3880000000</v>
          </cell>
          <cell r="CL20">
            <v>5390000000</v>
          </cell>
          <cell r="CM20">
            <v>1380000000</v>
          </cell>
          <cell r="CN20">
            <v>1320000000</v>
          </cell>
          <cell r="CO20">
            <v>1550000000</v>
          </cell>
          <cell r="CP20">
            <v>2300000000</v>
          </cell>
          <cell r="CQ20">
            <v>13360000000</v>
          </cell>
          <cell r="CR20">
            <v>12200000000</v>
          </cell>
          <cell r="CS20">
            <v>15720000000</v>
          </cell>
          <cell r="CT20">
            <v>9070000000</v>
          </cell>
          <cell r="CU20">
            <v>5800000000</v>
          </cell>
          <cell r="CV20">
            <v>6410000000</v>
          </cell>
          <cell r="CW20">
            <v>6280000000</v>
          </cell>
          <cell r="CX20">
            <v>6280000000</v>
          </cell>
          <cell r="CY20">
            <v>1350000000</v>
          </cell>
          <cell r="CZ20">
            <v>1010000000</v>
          </cell>
          <cell r="DA20">
            <v>790000000</v>
          </cell>
          <cell r="DB20">
            <v>1060000000</v>
          </cell>
          <cell r="DC20">
            <v>69460000000</v>
          </cell>
          <cell r="DD20">
            <v>57860000000</v>
          </cell>
          <cell r="DE20">
            <v>55100000000</v>
          </cell>
          <cell r="DF20">
            <v>49700000000</v>
          </cell>
          <cell r="DG20">
            <v>96890000000</v>
          </cell>
          <cell r="DH20">
            <v>-53710000000</v>
          </cell>
          <cell r="DI20">
            <v>-25830000000</v>
          </cell>
          <cell r="DJ20">
            <v>-1550000000</v>
          </cell>
          <cell r="DK20">
            <v>15800000000</v>
          </cell>
          <cell r="DL20">
            <v>0.16307152440912401</v>
          </cell>
          <cell r="DM20">
            <v>0.19484523369096099</v>
          </cell>
          <cell r="DN20">
            <v>-32380000000</v>
          </cell>
          <cell r="DO20">
            <v>13185000000</v>
          </cell>
          <cell r="DP20">
            <v>1180000000</v>
          </cell>
          <cell r="DR20">
            <v>94520000000</v>
          </cell>
          <cell r="DS20">
            <v>-54540000000</v>
          </cell>
          <cell r="DT20">
            <v>-23770000000</v>
          </cell>
          <cell r="DU20">
            <v>-1390000000</v>
          </cell>
          <cell r="DV20">
            <v>14820000000</v>
          </cell>
          <cell r="DW20">
            <v>0.15679221328819301</v>
          </cell>
          <cell r="DX20">
            <v>0.18594730238394</v>
          </cell>
          <cell r="DY20">
            <v>-295800000</v>
          </cell>
          <cell r="DZ20">
            <v>12690000000</v>
          </cell>
          <cell r="EA20">
            <v>900000000</v>
          </cell>
          <cell r="EC20">
            <v>79910000000</v>
          </cell>
          <cell r="ED20">
            <v>-42880000000</v>
          </cell>
          <cell r="EE20">
            <v>-21660000000</v>
          </cell>
          <cell r="EF20">
            <v>-1390000000</v>
          </cell>
          <cell r="EG20">
            <v>13980000000</v>
          </cell>
          <cell r="EH20">
            <v>0.17494681516706301</v>
          </cell>
          <cell r="EI20">
            <v>0.212043075989686</v>
          </cell>
          <cell r="EJ20">
            <v>-296700000</v>
          </cell>
          <cell r="EK20">
            <v>12530000000</v>
          </cell>
          <cell r="EL20">
            <v>925000000</v>
          </cell>
          <cell r="EN20">
            <v>90440000000</v>
          </cell>
          <cell r="EO20">
            <v>-50376666666.666702</v>
          </cell>
          <cell r="EP20">
            <v>-23753333333.333302</v>
          </cell>
          <cell r="EQ20">
            <v>-1443333333.3333299</v>
          </cell>
          <cell r="ER20">
            <v>14866666666.6667</v>
          </cell>
          <cell r="ES20">
            <v>0.16438154209052</v>
          </cell>
          <cell r="ET20">
            <v>0.196718419195483</v>
          </cell>
        </row>
        <row r="21">
          <cell r="B21" t="str">
            <v>CHENGDU XINGRONG ENVIRONMENT CO., LTD.</v>
          </cell>
          <cell r="C21" t="str">
            <v>exclude</v>
          </cell>
          <cell r="D21" t="str">
            <v>Independence(A+, A, A-, U)</v>
          </cell>
          <cell r="H21" t="str">
            <v/>
          </cell>
          <cell r="J21" t="str">
            <v>exclude</v>
          </cell>
          <cell r="K21" t="str">
            <v>Independence(A+, A, A-, U)</v>
          </cell>
          <cell r="M21" t="str">
            <v>CHENGDU XINGRONG ENVIRONMENT CO., LTD.</v>
          </cell>
          <cell r="N21" t="str">
            <v>The company is primarily engaged in the research, manufacture and distribution of industrial detergents, chemical products, plastic modified materials and chemical new materials. Incorporated in May of 1996, the company was formerly known as Blue Star Cleaning Co. Ltd. It has a registered office located in Chengdu, China.The company and its subsidiaries are involved in the provision of detergents, toluenediisocyanate (TDI), polyether and propylene oxide as well as cleaning engineering services business, industrial membranes and water treatment business and technical services business. It provides its products and services in the domestic markets. The company operates principally in the People's Republic of China.</v>
          </cell>
          <cell r="O21" t="str">
            <v>Manufacturing</v>
          </cell>
          <cell r="P21" t="str">
            <v>www.cdxrec.com</v>
          </cell>
          <cell r="R21" t="str">
            <v>China</v>
          </cell>
          <cell r="S21" t="str">
            <v>000598</v>
          </cell>
          <cell r="T21" t="str">
            <v>B+</v>
          </cell>
          <cell r="U21" t="str">
            <v>2841</v>
          </cell>
          <cell r="V21" t="str">
            <v>Primarily engaged in the research, manufacture and distribution of industrial detergents, chemical products, plastic modified materials and chemical new materials</v>
          </cell>
          <cell r="W21" t="str">
            <v>The Company's main business is water supply, sewage treatment and  landfill leachate treatment.</v>
          </cell>
          <cell r="X21" t="str">
            <v>CHENGDU XINGRONG INVESTMENT COMPANY LIMITED</v>
          </cell>
          <cell r="Z21" t="str">
            <v>CN30597PC</v>
          </cell>
          <cell r="AA21">
            <v>7574426000</v>
          </cell>
          <cell r="AB21">
            <v>6694202000</v>
          </cell>
          <cell r="AC21">
            <v>5390044000</v>
          </cell>
          <cell r="AD21">
            <v>4872601000</v>
          </cell>
          <cell r="AE21">
            <v>7472672000</v>
          </cell>
          <cell r="AF21">
            <v>6651283000</v>
          </cell>
          <cell r="AG21">
            <v>5223883000</v>
          </cell>
          <cell r="AH21">
            <v>4742579000</v>
          </cell>
          <cell r="AI21">
            <v>-75356000</v>
          </cell>
          <cell r="AJ21">
            <v>-64580000</v>
          </cell>
          <cell r="AK21">
            <v>-54873000</v>
          </cell>
          <cell r="AL21">
            <v>-52964000</v>
          </cell>
          <cell r="AM21">
            <v>7397316000</v>
          </cell>
          <cell r="AN21">
            <v>6586703000</v>
          </cell>
          <cell r="AO21">
            <v>5169010000</v>
          </cell>
          <cell r="AP21">
            <v>4689615000</v>
          </cell>
          <cell r="AQ21">
            <v>177110000</v>
          </cell>
          <cell r="AR21">
            <v>107499000</v>
          </cell>
          <cell r="AS21">
            <v>221034000</v>
          </cell>
          <cell r="AT21">
            <v>182986000</v>
          </cell>
          <cell r="AU21">
            <v>-3401461000</v>
          </cell>
          <cell r="AV21">
            <v>-2979598000</v>
          </cell>
          <cell r="AW21">
            <v>-2320375000</v>
          </cell>
          <cell r="AX21">
            <v>-2187596000</v>
          </cell>
          <cell r="AY21" t="str">
            <v>n.a.</v>
          </cell>
          <cell r="AZ21" t="str">
            <v>n.a.</v>
          </cell>
          <cell r="BA21" t="str">
            <v>n.a.</v>
          </cell>
          <cell r="BB21" t="str">
            <v>n.a.</v>
          </cell>
          <cell r="BC21">
            <v>-695188000</v>
          </cell>
          <cell r="BD21">
            <v>-611840000</v>
          </cell>
          <cell r="BE21">
            <v>-564628000</v>
          </cell>
          <cell r="BF21">
            <v>-487975000</v>
          </cell>
          <cell r="BG21">
            <v>3477777000</v>
          </cell>
          <cell r="BH21">
            <v>3102764000</v>
          </cell>
          <cell r="BI21">
            <v>2505041000</v>
          </cell>
          <cell r="BJ21">
            <v>2197030000</v>
          </cell>
          <cell r="BK21">
            <v>-1226574000</v>
          </cell>
          <cell r="BL21">
            <v>-1030390000</v>
          </cell>
          <cell r="BM21">
            <v>-809678000</v>
          </cell>
          <cell r="BN21">
            <v>-721859000</v>
          </cell>
          <cell r="BO21">
            <v>-660014000</v>
          </cell>
          <cell r="BP21">
            <v>-586525000</v>
          </cell>
          <cell r="BQ21">
            <v>-533434000</v>
          </cell>
          <cell r="BR21">
            <v>-503337000</v>
          </cell>
          <cell r="BS21">
            <v>-566560000</v>
          </cell>
          <cell r="BT21">
            <v>-443865000</v>
          </cell>
          <cell r="BU21">
            <v>-276244000</v>
          </cell>
          <cell r="BV21">
            <v>-218522000</v>
          </cell>
          <cell r="BW21">
            <v>1617825000</v>
          </cell>
          <cell r="BX21">
            <v>1494428000</v>
          </cell>
          <cell r="BY21">
            <v>1298430000</v>
          </cell>
          <cell r="BZ21">
            <v>1081299000</v>
          </cell>
          <cell r="CA21">
            <v>7416936000</v>
          </cell>
          <cell r="CB21">
            <v>6177443000</v>
          </cell>
          <cell r="CC21">
            <v>5997945000</v>
          </cell>
          <cell r="CD21">
            <v>5226881000</v>
          </cell>
          <cell r="CE21">
            <v>229691000</v>
          </cell>
          <cell r="CF21">
            <v>202854000</v>
          </cell>
          <cell r="CG21">
            <v>398733000</v>
          </cell>
          <cell r="CH21">
            <v>809338000</v>
          </cell>
          <cell r="CI21">
            <v>2131427000</v>
          </cell>
          <cell r="CJ21">
            <v>1782474000</v>
          </cell>
          <cell r="CK21">
            <v>1279606000</v>
          </cell>
          <cell r="CL21">
            <v>1094931000</v>
          </cell>
          <cell r="CM21">
            <v>1278622000</v>
          </cell>
          <cell r="CN21">
            <v>953086000</v>
          </cell>
          <cell r="CO21">
            <v>878121000</v>
          </cell>
          <cell r="CP21">
            <v>345388000</v>
          </cell>
          <cell r="CQ21">
            <v>3743678000</v>
          </cell>
          <cell r="CR21">
            <v>3207783000</v>
          </cell>
          <cell r="CS21">
            <v>3418244000</v>
          </cell>
          <cell r="CT21">
            <v>2949120000</v>
          </cell>
          <cell r="CU21">
            <v>52895000</v>
          </cell>
          <cell r="CV21">
            <v>24588000</v>
          </cell>
          <cell r="CW21" t="str">
            <v>n.a.</v>
          </cell>
          <cell r="CX21" t="str">
            <v>n.a.</v>
          </cell>
          <cell r="CY21">
            <v>13824074000</v>
          </cell>
          <cell r="CZ21">
            <v>12482604000</v>
          </cell>
          <cell r="DA21">
            <v>13276120000</v>
          </cell>
          <cell r="DB21">
            <v>10416312000</v>
          </cell>
          <cell r="DC21">
            <v>38338609000</v>
          </cell>
          <cell r="DD21">
            <v>34512010000</v>
          </cell>
          <cell r="DE21">
            <v>31210502000</v>
          </cell>
          <cell r="DF21">
            <v>25337499000</v>
          </cell>
          <cell r="DG21">
            <v>7397316000</v>
          </cell>
          <cell r="DH21">
            <v>-3401461000</v>
          </cell>
          <cell r="DI21">
            <v>-695188000</v>
          </cell>
          <cell r="DJ21">
            <v>-1226574000</v>
          </cell>
          <cell r="DK21">
            <v>2074093000</v>
          </cell>
          <cell r="DL21">
            <v>0.28038453406614</v>
          </cell>
          <cell r="DM21">
            <v>0.38963105622289401</v>
          </cell>
          <cell r="DN21" t="str">
            <v>n.a.</v>
          </cell>
          <cell r="DO21">
            <v>216272500</v>
          </cell>
          <cell r="DP21">
            <v>13153339000</v>
          </cell>
          <cell r="DR21">
            <v>6586703000</v>
          </cell>
          <cell r="DS21">
            <v>-2979598000</v>
          </cell>
          <cell r="DT21">
            <v>-611840000</v>
          </cell>
          <cell r="DU21">
            <v>-1030390000</v>
          </cell>
          <cell r="DV21">
            <v>1964875000</v>
          </cell>
          <cell r="DW21">
            <v>0.29830933624910699</v>
          </cell>
          <cell r="DX21">
            <v>0.42512940767159701</v>
          </cell>
          <cell r="DY21" t="str">
            <v>n.a.</v>
          </cell>
          <cell r="DZ21">
            <v>300793500</v>
          </cell>
          <cell r="EA21">
            <v>12879362000</v>
          </cell>
          <cell r="EC21">
            <v>5169010000</v>
          </cell>
          <cell r="ED21">
            <v>-2320375000</v>
          </cell>
          <cell r="EE21">
            <v>-564628000</v>
          </cell>
          <cell r="EF21">
            <v>-809678000</v>
          </cell>
          <cell r="EG21">
            <v>1474329000</v>
          </cell>
          <cell r="EH21">
            <v>0.28522463682600702</v>
          </cell>
          <cell r="EI21">
            <v>0.39904094561885001</v>
          </cell>
          <cell r="EJ21" t="str">
            <v>n.a.</v>
          </cell>
          <cell r="EK21">
            <v>604035500</v>
          </cell>
          <cell r="EL21">
            <v>11846216000</v>
          </cell>
          <cell r="EN21">
            <v>6384343000</v>
          </cell>
          <cell r="EO21">
            <v>-2900478000</v>
          </cell>
          <cell r="EP21">
            <v>-623885333.33333302</v>
          </cell>
          <cell r="EQ21">
            <v>-1022214000</v>
          </cell>
          <cell r="ER21">
            <v>1837765666.6666701</v>
          </cell>
          <cell r="ES21">
            <v>0.28785509592242597</v>
          </cell>
          <cell r="ET21">
            <v>0.40420860175258599</v>
          </cell>
        </row>
        <row r="22">
          <cell r="B22" t="str">
            <v>SHANGHAI JAHWA UNITED CO., LTD.</v>
          </cell>
          <cell r="C22" t="str">
            <v>exclude</v>
          </cell>
          <cell r="D22" t="str">
            <v>Independence(A+, A, A-, U)</v>
          </cell>
          <cell r="H22" t="str">
            <v/>
          </cell>
          <cell r="J22" t="e">
            <v>#N/A</v>
          </cell>
          <cell r="K22" t="e">
            <v>#N/A</v>
          </cell>
          <cell r="M22" t="str">
            <v>SHANGHAI JAHWA UNITED CO., LTD.</v>
          </cell>
          <cell r="N22" t="str">
            <v>This company is primarily engaged in the research, development, manufacture and distribution of daily-used cosmetic products. The company was incorporated in October 1999. The registered head office of the company is located in Shanghai, China.The company boasts abundant renowned brands including Liushen, MAXAM, Jia An, HERBOIST, CHINFIE, GF and COCOOL. Each brand is at the leading edge in its respective segment market, resembling colorful flowers and glaring crystal balls, competitively displaying their own beauty and leading a new beauty trend. The company's quality system is certified in accordance with ISO 9000. The company has established united laboratories integrating production, study and research with colleges and institutes like Fudan University, Dermatology Department of Huashan Hospital, Chinese Academy of Sciences, Shanghai Institute of Pharmaceutical Industry and Shanghai Second Medical.</v>
          </cell>
          <cell r="O22" t="str">
            <v>Manufacturing</v>
          </cell>
          <cell r="P22" t="str">
            <v>www.jahwa.com.cn</v>
          </cell>
          <cell r="R22" t="str">
            <v>China</v>
          </cell>
          <cell r="S22" t="str">
            <v>600315</v>
          </cell>
          <cell r="T22" t="str">
            <v>D</v>
          </cell>
          <cell r="U22" t="str">
            <v>2844</v>
          </cell>
          <cell r="V22" t="str">
            <v>Primarily engaged in the research, development, manufacture and distribution of daily-used cosmetic products</v>
          </cell>
          <cell r="W22" t="str">
            <v>The Company is mainly engaged in the research, development, manufacture and distribution of daily-used chemical products, as well as provide daily chemicals and cosmetic technology technical services.</v>
          </cell>
          <cell r="Z22" t="str">
            <v>CN31073PC</v>
          </cell>
          <cell r="AA22">
            <v>7127345000</v>
          </cell>
          <cell r="AB22">
            <v>7675115000</v>
          </cell>
          <cell r="AC22">
            <v>7069682000</v>
          </cell>
          <cell r="AD22">
            <v>7781624000</v>
          </cell>
          <cell r="AE22">
            <v>7099236000</v>
          </cell>
          <cell r="AF22">
            <v>7637877000</v>
          </cell>
          <cell r="AG22">
            <v>7028243000</v>
          </cell>
          <cell r="AH22">
            <v>7590860000</v>
          </cell>
          <cell r="AI22">
            <v>-48196000</v>
          </cell>
          <cell r="AJ22">
            <v>-59104000</v>
          </cell>
          <cell r="AK22">
            <v>-56898000</v>
          </cell>
          <cell r="AL22">
            <v>-53582000</v>
          </cell>
          <cell r="AM22">
            <v>7051040000</v>
          </cell>
          <cell r="AN22">
            <v>7578773000</v>
          </cell>
          <cell r="AO22">
            <v>6971345000</v>
          </cell>
          <cell r="AP22">
            <v>7537278000</v>
          </cell>
          <cell r="AQ22">
            <v>76305000</v>
          </cell>
          <cell r="AR22">
            <v>96342000</v>
          </cell>
          <cell r="AS22">
            <v>98337000</v>
          </cell>
          <cell r="AT22">
            <v>244346000</v>
          </cell>
          <cell r="AU22">
            <v>-2790926000</v>
          </cell>
          <cell r="AV22">
            <v>-2974984000</v>
          </cell>
          <cell r="AW22">
            <v>-2633403000</v>
          </cell>
          <cell r="AX22">
            <v>-2710987000</v>
          </cell>
          <cell r="AY22" t="str">
            <v>n.a.</v>
          </cell>
          <cell r="AZ22" t="str">
            <v>n.a.</v>
          </cell>
          <cell r="BA22" t="str">
            <v>n.a.</v>
          </cell>
          <cell r="BB22" t="str">
            <v>n.a.</v>
          </cell>
          <cell r="BC22">
            <v>-3445153000</v>
          </cell>
          <cell r="BD22">
            <v>-3906801000</v>
          </cell>
          <cell r="BE22">
            <v>-3791842000</v>
          </cell>
          <cell r="BF22">
            <v>-4320093000</v>
          </cell>
          <cell r="BG22">
            <v>891266000</v>
          </cell>
          <cell r="BH22">
            <v>793330000</v>
          </cell>
          <cell r="BI22">
            <v>644437000</v>
          </cell>
          <cell r="BJ22">
            <v>750544000</v>
          </cell>
          <cell r="BK22">
            <v>-251976000</v>
          </cell>
          <cell r="BL22">
            <v>-176530000</v>
          </cell>
          <cell r="BM22">
            <v>-191929000</v>
          </cell>
          <cell r="BN22">
            <v>-183664000</v>
          </cell>
          <cell r="BO22">
            <v>-192734000</v>
          </cell>
          <cell r="BP22">
            <v>-117998000</v>
          </cell>
          <cell r="BQ22">
            <v>-133748000</v>
          </cell>
          <cell r="BR22">
            <v>-128836000</v>
          </cell>
          <cell r="BS22">
            <v>-59242000</v>
          </cell>
          <cell r="BT22">
            <v>-58532000</v>
          </cell>
          <cell r="BU22">
            <v>-58181000</v>
          </cell>
          <cell r="BV22">
            <v>-54828000</v>
          </cell>
          <cell r="BW22">
            <v>472039000</v>
          </cell>
          <cell r="BX22">
            <v>649252000</v>
          </cell>
          <cell r="BY22">
            <v>430202000</v>
          </cell>
          <cell r="BZ22">
            <v>557091000</v>
          </cell>
          <cell r="CA22">
            <v>6554627000</v>
          </cell>
          <cell r="CB22">
            <v>6780434000</v>
          </cell>
          <cell r="CC22">
            <v>6154909000</v>
          </cell>
          <cell r="CD22">
            <v>5877516000</v>
          </cell>
          <cell r="CE22">
            <v>928956000</v>
          </cell>
          <cell r="CF22">
            <v>872052000</v>
          </cell>
          <cell r="CG22">
            <v>866505000</v>
          </cell>
          <cell r="CH22">
            <v>925168000</v>
          </cell>
          <cell r="CI22">
            <v>1323953000</v>
          </cell>
          <cell r="CJ22">
            <v>1108951000</v>
          </cell>
          <cell r="CK22">
            <v>1089566000</v>
          </cell>
          <cell r="CL22">
            <v>1228906000</v>
          </cell>
          <cell r="CM22">
            <v>405929000</v>
          </cell>
          <cell r="CN22">
            <v>395692000</v>
          </cell>
          <cell r="CO22">
            <v>131715000</v>
          </cell>
          <cell r="CP22">
            <v>116283000</v>
          </cell>
          <cell r="CQ22">
            <v>3806691000</v>
          </cell>
          <cell r="CR22">
            <v>4296743000</v>
          </cell>
          <cell r="CS22">
            <v>4019033000</v>
          </cell>
          <cell r="CT22">
            <v>3543228000</v>
          </cell>
          <cell r="CU22">
            <v>2121522000</v>
          </cell>
          <cell r="CV22">
            <v>2699489000</v>
          </cell>
          <cell r="CW22">
            <v>2732322000</v>
          </cell>
          <cell r="CX22">
            <v>1934093000</v>
          </cell>
          <cell r="CY22">
            <v>27532000</v>
          </cell>
          <cell r="CZ22">
            <v>24554000</v>
          </cell>
          <cell r="DA22">
            <v>24363000</v>
          </cell>
          <cell r="DB22">
            <v>23879000</v>
          </cell>
          <cell r="DC22">
            <v>12269486000</v>
          </cell>
          <cell r="DD22">
            <v>12145512000</v>
          </cell>
          <cell r="DE22">
            <v>11295321000</v>
          </cell>
          <cell r="DF22">
            <v>11147493000</v>
          </cell>
          <cell r="DG22">
            <v>7051040000</v>
          </cell>
          <cell r="DH22">
            <v>-2790926000</v>
          </cell>
          <cell r="DI22">
            <v>-3445153000</v>
          </cell>
          <cell r="DJ22">
            <v>-251976000</v>
          </cell>
          <cell r="DK22">
            <v>562985000</v>
          </cell>
          <cell r="DL22">
            <v>7.9844249926251998E-2</v>
          </cell>
          <cell r="DM22">
            <v>8.6772538148952194E-2</v>
          </cell>
          <cell r="DN22" t="str">
            <v>n.a.</v>
          </cell>
          <cell r="DO22">
            <v>900504000</v>
          </cell>
          <cell r="DP22">
            <v>26043000</v>
          </cell>
          <cell r="DR22">
            <v>7578773000</v>
          </cell>
          <cell r="DS22">
            <v>-2974984000</v>
          </cell>
          <cell r="DT22">
            <v>-3906801000</v>
          </cell>
          <cell r="DU22">
            <v>-176530000</v>
          </cell>
          <cell r="DV22">
            <v>520458000</v>
          </cell>
          <cell r="DW22">
            <v>6.8673121625360697E-2</v>
          </cell>
          <cell r="DX22">
            <v>7.3736862126442398E-2</v>
          </cell>
          <cell r="DY22" t="str">
            <v>n.a.</v>
          </cell>
          <cell r="DZ22">
            <v>869278500</v>
          </cell>
          <cell r="EA22">
            <v>24458500</v>
          </cell>
          <cell r="EC22">
            <v>6971345000</v>
          </cell>
          <cell r="ED22">
            <v>-2633403000</v>
          </cell>
          <cell r="EE22">
            <v>-3791842000</v>
          </cell>
          <cell r="EF22">
            <v>-191929000</v>
          </cell>
          <cell r="EG22">
            <v>354171000</v>
          </cell>
          <cell r="EH22">
            <v>5.0803826234392398E-2</v>
          </cell>
          <cell r="EI22">
            <v>5.3522999395210102E-2</v>
          </cell>
          <cell r="EJ22" t="str">
            <v>n.a.</v>
          </cell>
          <cell r="EK22">
            <v>895836500</v>
          </cell>
          <cell r="EL22">
            <v>24121000</v>
          </cell>
          <cell r="EN22">
            <v>7200386000</v>
          </cell>
          <cell r="EO22">
            <v>-2799771000</v>
          </cell>
          <cell r="EP22">
            <v>-3714598666.6666698</v>
          </cell>
          <cell r="EQ22">
            <v>-206811666.66666701</v>
          </cell>
          <cell r="ER22">
            <v>479204666.66666698</v>
          </cell>
          <cell r="ES22">
            <v>6.6552635742954197E-2</v>
          </cell>
          <cell r="ET22">
            <v>7.1297684573703904E-2</v>
          </cell>
        </row>
        <row r="23">
          <cell r="B23" t="str">
            <v>SAHA PATHANAPIBUL PCL</v>
          </cell>
          <cell r="C23" t="str">
            <v>exclude</v>
          </cell>
          <cell r="D23" t="str">
            <v>Lev SDA/SDP</v>
          </cell>
          <cell r="H23" t="str">
            <v/>
          </cell>
          <cell r="J23" t="str">
            <v>exclude</v>
          </cell>
          <cell r="K23" t="str">
            <v>Significantly different products/services</v>
          </cell>
          <cell r="M23" t="str">
            <v>SAHA PATHANAPIBUL PCL</v>
          </cell>
          <cell r="N23" t="str">
            <v>This company operates as a Thailand-based firm engaged in the retail sale of consumer products in Thailand. Its corporate office is located in Bangkok, Thailand. It was incorporated in 1942. The company retails household products, food products, baby products, personal care products and others. The household products include laundry detergents, dishwashing liquids, stain removers and kitchen cleaners. The food products include instant noodles, rice congees and porridges, instant meals, crackers and biscuits, mineral water, iodized salt, distilled vinegar and other products. The baby products include such items as baby shampoos, toothpastes, toothbrushes, baby soaps, talcum powder, specialty detergents and fabric softeners for babies' clothing. The personal care products include skin creams, shampoos, facial cleansing foams, toothpastes, toothbrushes and others. In addition, the company offers other products, such as seasoning sauces, soaps, and instant powdered milk.</v>
          </cell>
          <cell r="O23" t="str">
            <v>Retail</v>
          </cell>
          <cell r="P23" t="str">
            <v>www.sahapat.co.th</v>
          </cell>
          <cell r="R23" t="str">
            <v>Thailand</v>
          </cell>
          <cell r="S23" t="str">
            <v>SPC</v>
          </cell>
          <cell r="T23" t="str">
            <v>A+</v>
          </cell>
          <cell r="U23" t="str">
            <v>2841</v>
          </cell>
          <cell r="V23" t="str">
            <v>Operates as a Thailand-based firm engaged in the retail sale of consumer products in Thailand</v>
          </cell>
          <cell r="W23" t="str">
            <v>The Company is engaged in the consumer goods distribution and property development businesses in Thailand. It distributes consumer products, including food and beverages, household products, personal care, and baby care products. The company offers its products through approximately 90,000 distribution channels. It also exports its products primarily to countries in the Indo-China region and North Europe.</v>
          </cell>
          <cell r="Z23" t="str">
            <v>TH0107537001421</v>
          </cell>
          <cell r="AA23">
            <v>35259937000</v>
          </cell>
          <cell r="AB23">
            <v>33762019000</v>
          </cell>
          <cell r="AC23">
            <v>32460905000</v>
          </cell>
          <cell r="AD23">
            <v>33107876000</v>
          </cell>
          <cell r="AE23">
            <v>35177561000</v>
          </cell>
          <cell r="AF23">
            <v>33681454000</v>
          </cell>
          <cell r="AG23">
            <v>32398789000</v>
          </cell>
          <cell r="AH23">
            <v>32978453000</v>
          </cell>
          <cell r="AI23" t="str">
            <v>n.a.</v>
          </cell>
          <cell r="AJ23" t="str">
            <v>n.a.</v>
          </cell>
          <cell r="AK23" t="str">
            <v>n.a.</v>
          </cell>
          <cell r="AL23" t="str">
            <v>n.a.</v>
          </cell>
          <cell r="AM23">
            <v>35177561000</v>
          </cell>
          <cell r="AN23">
            <v>33681454000</v>
          </cell>
          <cell r="AO23">
            <v>32398789000</v>
          </cell>
          <cell r="AP23">
            <v>32978453000</v>
          </cell>
          <cell r="AQ23">
            <v>82376000</v>
          </cell>
          <cell r="AR23">
            <v>80565000</v>
          </cell>
          <cell r="AS23">
            <v>62116000</v>
          </cell>
          <cell r="AT23">
            <v>129423000</v>
          </cell>
          <cell r="AU23">
            <v>-29724910000</v>
          </cell>
          <cell r="AV23">
            <v>-28232294000</v>
          </cell>
          <cell r="AW23">
            <v>-27000908000</v>
          </cell>
          <cell r="AX23">
            <v>-27569407000</v>
          </cell>
          <cell r="AY23">
            <v>0</v>
          </cell>
          <cell r="AZ23">
            <v>0</v>
          </cell>
          <cell r="BA23">
            <v>0</v>
          </cell>
          <cell r="BB23">
            <v>0</v>
          </cell>
          <cell r="BC23">
            <v>-3708441000</v>
          </cell>
          <cell r="BD23">
            <v>-3457554000</v>
          </cell>
          <cell r="BE23">
            <v>-3455897000</v>
          </cell>
          <cell r="BF23">
            <v>-3531468000</v>
          </cell>
          <cell r="BG23">
            <v>1826586000</v>
          </cell>
          <cell r="BH23">
            <v>2072171000</v>
          </cell>
          <cell r="BI23">
            <v>2004100000</v>
          </cell>
          <cell r="BJ23">
            <v>2007001000</v>
          </cell>
          <cell r="BK23">
            <v>-158669000</v>
          </cell>
          <cell r="BL23">
            <v>-174137000</v>
          </cell>
          <cell r="BM23">
            <v>-169250000</v>
          </cell>
          <cell r="BN23">
            <v>-159399000</v>
          </cell>
          <cell r="BO23">
            <v>-158669000</v>
          </cell>
          <cell r="BP23">
            <v>-171495000</v>
          </cell>
          <cell r="BQ23">
            <v>-166096000</v>
          </cell>
          <cell r="BR23">
            <v>-156048000</v>
          </cell>
          <cell r="BS23">
            <v>0</v>
          </cell>
          <cell r="BT23">
            <v>-2642000</v>
          </cell>
          <cell r="BU23">
            <v>-3154000</v>
          </cell>
          <cell r="BV23">
            <v>-3351000</v>
          </cell>
          <cell r="BW23">
            <v>1626669000</v>
          </cell>
          <cell r="BX23">
            <v>1745049000</v>
          </cell>
          <cell r="BY23">
            <v>1705449000</v>
          </cell>
          <cell r="BZ23">
            <v>1709776000</v>
          </cell>
          <cell r="CA23">
            <v>12557465000</v>
          </cell>
          <cell r="CB23">
            <v>12474883000</v>
          </cell>
          <cell r="CC23">
            <v>12315152000</v>
          </cell>
          <cell r="CD23">
            <v>10959516000</v>
          </cell>
          <cell r="CE23">
            <v>1083831000</v>
          </cell>
          <cell r="CF23">
            <v>1076681000</v>
          </cell>
          <cell r="CG23">
            <v>883086000</v>
          </cell>
          <cell r="CH23">
            <v>845541000</v>
          </cell>
          <cell r="CI23">
            <v>4489803000</v>
          </cell>
          <cell r="CJ23">
            <v>4298570000</v>
          </cell>
          <cell r="CK23">
            <v>4045306000</v>
          </cell>
          <cell r="CL23">
            <v>4156183000</v>
          </cell>
          <cell r="CM23">
            <v>1187426000</v>
          </cell>
          <cell r="CN23">
            <v>656675000</v>
          </cell>
          <cell r="CO23">
            <v>638001000</v>
          </cell>
          <cell r="CP23">
            <v>786784000</v>
          </cell>
          <cell r="CQ23">
            <v>3567892000</v>
          </cell>
          <cell r="CR23">
            <v>3795964000</v>
          </cell>
          <cell r="CS23">
            <v>4014848000</v>
          </cell>
          <cell r="CT23">
            <v>2838506000</v>
          </cell>
          <cell r="CU23">
            <v>1734010000</v>
          </cell>
          <cell r="CV23">
            <v>1708652000</v>
          </cell>
          <cell r="CW23">
            <v>1463274000</v>
          </cell>
          <cell r="CX23">
            <v>1450704000</v>
          </cell>
          <cell r="CY23">
            <v>956211000</v>
          </cell>
          <cell r="CZ23">
            <v>1159912000</v>
          </cell>
          <cell r="DA23">
            <v>801161000</v>
          </cell>
          <cell r="DB23">
            <v>710986000</v>
          </cell>
          <cell r="DC23">
            <v>35312077000</v>
          </cell>
          <cell r="DD23">
            <v>34754151000</v>
          </cell>
          <cell r="DE23">
            <v>34074101000</v>
          </cell>
          <cell r="DF23">
            <v>27096151000</v>
          </cell>
          <cell r="DG23">
            <v>35177561000</v>
          </cell>
          <cell r="DH23">
            <v>-29724910000</v>
          </cell>
          <cell r="DI23">
            <v>-3708441000</v>
          </cell>
          <cell r="DJ23">
            <v>-158669000</v>
          </cell>
          <cell r="DK23">
            <v>1585541000</v>
          </cell>
          <cell r="DL23">
            <v>4.5072510854291502E-2</v>
          </cell>
          <cell r="DM23">
            <v>4.7199930221522801E-2</v>
          </cell>
          <cell r="DN23">
            <v>0</v>
          </cell>
          <cell r="DO23">
            <v>1080256000</v>
          </cell>
          <cell r="DP23">
            <v>1058061500</v>
          </cell>
          <cell r="DR23">
            <v>33681454000</v>
          </cell>
          <cell r="DS23">
            <v>-28232294000</v>
          </cell>
          <cell r="DT23">
            <v>-3457554000</v>
          </cell>
          <cell r="DU23">
            <v>-174137000</v>
          </cell>
          <cell r="DV23">
            <v>1817469000</v>
          </cell>
          <cell r="DW23">
            <v>5.3960526763482397E-2</v>
          </cell>
          <cell r="DX23">
            <v>5.7038345957042103E-2</v>
          </cell>
          <cell r="DY23">
            <v>0</v>
          </cell>
          <cell r="DZ23">
            <v>979883500</v>
          </cell>
          <cell r="EA23">
            <v>980536500</v>
          </cell>
          <cell r="EC23">
            <v>32398789000</v>
          </cell>
          <cell r="ED23">
            <v>-27000908000</v>
          </cell>
          <cell r="EE23">
            <v>-3455897000</v>
          </cell>
          <cell r="EF23">
            <v>-169250000</v>
          </cell>
          <cell r="EG23">
            <v>1772734000</v>
          </cell>
          <cell r="EH23">
            <v>5.4716057442764303E-2</v>
          </cell>
          <cell r="EI23">
            <v>5.7883197819634302E-2</v>
          </cell>
          <cell r="EJ23">
            <v>0</v>
          </cell>
          <cell r="EK23">
            <v>864313500</v>
          </cell>
          <cell r="EL23">
            <v>756073500</v>
          </cell>
          <cell r="EN23">
            <v>33752601333.333302</v>
          </cell>
          <cell r="EO23">
            <v>-28319370666.666698</v>
          </cell>
          <cell r="EP23">
            <v>-3540630666.6666698</v>
          </cell>
          <cell r="EQ23">
            <v>-167352000</v>
          </cell>
          <cell r="ER23">
            <v>1725248000</v>
          </cell>
          <cell r="ES23">
            <v>5.1114519528786102E-2</v>
          </cell>
          <cell r="ET23">
            <v>5.3867954121716299E-2</v>
          </cell>
        </row>
        <row r="24">
          <cell r="B24" t="str">
            <v>PROYA COSMETICS CO.,LTD.</v>
          </cell>
          <cell r="C24" t="str">
            <v>exclude</v>
          </cell>
          <cell r="D24" t="str">
            <v>Independence(A+, A, A-, U)</v>
          </cell>
          <cell r="H24" t="str">
            <v/>
          </cell>
          <cell r="J24" t="str">
            <v>exclude</v>
          </cell>
          <cell r="K24" t="str">
            <v>Independence(A+, A, A-, U)</v>
          </cell>
          <cell r="M24" t="str">
            <v>PROYA COSMETICS CO.,LTD.</v>
          </cell>
          <cell r="N24" t="str">
            <v>This company is engaged in the manufacture of cosmetics for skin, body and hair care. It was founded in 2006, and it has its registered head office located in Hangzhou, China. The company's products include: facials (day cream, night cream, eye cream, tonic cleansing, scrubs and peels, masks, whey concentrates, creams, and lip balms); body care and hygiene (body cream and lotion, correction figures, products for hands, tools for the feet, deodorants, intimate hygiene, shower gel, bath foam, body scrubs, soap, and toothpaste); hair care (shampoo, balms and masks, and permanent tint); perfumery (fragrances for women, fragrances for men, and perfumed products); make up (mascara, eye shadow, eyeliners and eyebrow, pomade, lip gloss, lip liners, cream foundation, powder, rouge, corrector, nail polish, and manicure); for men (shaving cream, facials, and body care and hair care); for children (skin care, bath and shower, and toothpaste); accessories (cosmetic accessories, elements of style, accessories for men, bags, and gift wrap); and supplements (balms and supplements and functional food).</v>
          </cell>
          <cell r="O24" t="str">
            <v>Manufacturing</v>
          </cell>
          <cell r="P24" t="str">
            <v>www.proya-group.com</v>
          </cell>
          <cell r="R24" t="str">
            <v>China</v>
          </cell>
          <cell r="S24" t="str">
            <v>603605</v>
          </cell>
          <cell r="T24" t="str">
            <v>B+</v>
          </cell>
          <cell r="U24" t="str">
            <v>2844</v>
          </cell>
          <cell r="V24" t="str">
            <v>Engaged in the manufacture of cosmetics for skin, body and hair care</v>
          </cell>
          <cell r="W24" t="str">
            <v>The Company is mainly engaged in the research and development, production and sale of cosmetics.</v>
          </cell>
          <cell r="Z24" t="str">
            <v>CN46355PC</v>
          </cell>
          <cell r="AA24">
            <v>6368122000</v>
          </cell>
          <cell r="AB24">
            <v>4608930000</v>
          </cell>
          <cell r="AC24">
            <v>3732934000</v>
          </cell>
          <cell r="AD24">
            <v>3104096000</v>
          </cell>
          <cell r="AE24">
            <v>6361764000</v>
          </cell>
          <cell r="AF24">
            <v>4620432000</v>
          </cell>
          <cell r="AG24">
            <v>3747925000</v>
          </cell>
          <cell r="AH24">
            <v>3116454000</v>
          </cell>
          <cell r="AI24">
            <v>-56394000</v>
          </cell>
          <cell r="AJ24">
            <v>-40680000</v>
          </cell>
          <cell r="AK24">
            <v>-32945000</v>
          </cell>
          <cell r="AL24">
            <v>-27839000</v>
          </cell>
          <cell r="AM24">
            <v>6305370000</v>
          </cell>
          <cell r="AN24">
            <v>4579752000</v>
          </cell>
          <cell r="AO24">
            <v>3714980000</v>
          </cell>
          <cell r="AP24">
            <v>3088615000</v>
          </cell>
          <cell r="AQ24">
            <v>62752000</v>
          </cell>
          <cell r="AR24">
            <v>29178000</v>
          </cell>
          <cell r="AS24">
            <v>17954000</v>
          </cell>
          <cell r="AT24">
            <v>15481000</v>
          </cell>
          <cell r="AU24">
            <v>-1848963000</v>
          </cell>
          <cell r="AV24">
            <v>-1482702000</v>
          </cell>
          <cell r="AW24">
            <v>-1307438000</v>
          </cell>
          <cell r="AX24">
            <v>-1073043000</v>
          </cell>
          <cell r="AY24" t="str">
            <v>n.a.</v>
          </cell>
          <cell r="AZ24" t="str">
            <v>n.a.</v>
          </cell>
          <cell r="BA24" t="str">
            <v>n.a.</v>
          </cell>
          <cell r="BB24" t="str">
            <v>n.a.</v>
          </cell>
          <cell r="BC24">
            <v>-3259640000</v>
          </cell>
          <cell r="BD24">
            <v>-2314163000</v>
          </cell>
          <cell r="BE24">
            <v>-1777613000</v>
          </cell>
          <cell r="BF24">
            <v>-1498159000</v>
          </cell>
          <cell r="BG24">
            <v>1259519000</v>
          </cell>
          <cell r="BH24">
            <v>812065000</v>
          </cell>
          <cell r="BI24">
            <v>647883000</v>
          </cell>
          <cell r="BJ24">
            <v>532894000</v>
          </cell>
          <cell r="BK24">
            <v>-137634000</v>
          </cell>
          <cell r="BL24">
            <v>-77068000</v>
          </cell>
          <cell r="BM24">
            <v>-56049000</v>
          </cell>
          <cell r="BN24">
            <v>-51343000</v>
          </cell>
          <cell r="BO24">
            <v>-49944000</v>
          </cell>
          <cell r="BP24">
            <v>-44506000</v>
          </cell>
          <cell r="BQ24">
            <v>-40816000</v>
          </cell>
          <cell r="BR24">
            <v>-33251000</v>
          </cell>
          <cell r="BS24">
            <v>-87690000</v>
          </cell>
          <cell r="BT24">
            <v>-32562000</v>
          </cell>
          <cell r="BU24">
            <v>-15233000</v>
          </cell>
          <cell r="BV24">
            <v>-18092000</v>
          </cell>
          <cell r="BW24">
            <v>817400000</v>
          </cell>
          <cell r="BX24">
            <v>576119000</v>
          </cell>
          <cell r="BY24">
            <v>476010000</v>
          </cell>
          <cell r="BZ24">
            <v>392682000</v>
          </cell>
          <cell r="CA24">
            <v>4146996000</v>
          </cell>
          <cell r="CB24">
            <v>3158841000</v>
          </cell>
          <cell r="CC24">
            <v>2342418000</v>
          </cell>
          <cell r="CD24">
            <v>1912867000</v>
          </cell>
          <cell r="CE24">
            <v>669051000</v>
          </cell>
          <cell r="CF24">
            <v>447939000</v>
          </cell>
          <cell r="CG24">
            <v>468641000</v>
          </cell>
          <cell r="CH24">
            <v>313649000</v>
          </cell>
          <cell r="CI24">
            <v>102158000</v>
          </cell>
          <cell r="CJ24">
            <v>138627000</v>
          </cell>
          <cell r="CK24">
            <v>284878000</v>
          </cell>
          <cell r="CL24">
            <v>198409000</v>
          </cell>
          <cell r="CM24">
            <v>119290000</v>
          </cell>
          <cell r="CN24">
            <v>111725000</v>
          </cell>
          <cell r="CO24">
            <v>82862000</v>
          </cell>
          <cell r="CP24">
            <v>24547000</v>
          </cell>
          <cell r="CQ24">
            <v>3161003000</v>
          </cell>
          <cell r="CR24">
            <v>2391048000</v>
          </cell>
          <cell r="CS24">
            <v>1416655000</v>
          </cell>
          <cell r="CT24">
            <v>1318351000</v>
          </cell>
          <cell r="CU24">
            <v>35670000</v>
          </cell>
          <cell r="CV24">
            <v>12713000</v>
          </cell>
          <cell r="CW24">
            <v>0</v>
          </cell>
          <cell r="CX24">
            <v>71450000</v>
          </cell>
          <cell r="CY24">
            <v>207379000</v>
          </cell>
          <cell r="CZ24">
            <v>108679000</v>
          </cell>
          <cell r="DA24">
            <v>47325000</v>
          </cell>
          <cell r="DB24">
            <v>31895000</v>
          </cell>
          <cell r="DC24">
            <v>5778072000</v>
          </cell>
          <cell r="DD24">
            <v>4633050000</v>
          </cell>
          <cell r="DE24">
            <v>3636882000</v>
          </cell>
          <cell r="DF24">
            <v>2979365000</v>
          </cell>
          <cell r="DG24">
            <v>6305370000</v>
          </cell>
          <cell r="DH24">
            <v>-1848963000</v>
          </cell>
          <cell r="DI24">
            <v>-3259640000</v>
          </cell>
          <cell r="DJ24">
            <v>-137634000</v>
          </cell>
          <cell r="DK24">
            <v>1059133000</v>
          </cell>
          <cell r="DL24">
            <v>0.16797317207396201</v>
          </cell>
          <cell r="DM24">
            <v>0.201884322038825</v>
          </cell>
          <cell r="DN24" t="str">
            <v>n.a.</v>
          </cell>
          <cell r="DO24">
            <v>558495000</v>
          </cell>
          <cell r="DP24">
            <v>158029000</v>
          </cell>
          <cell r="DR24">
            <v>4579752000</v>
          </cell>
          <cell r="DS24">
            <v>-1482702000</v>
          </cell>
          <cell r="DT24">
            <v>-2314163000</v>
          </cell>
          <cell r="DU24">
            <v>-77068000</v>
          </cell>
          <cell r="DV24">
            <v>705819000</v>
          </cell>
          <cell r="DW24">
            <v>0.15411729718115699</v>
          </cell>
          <cell r="DX24">
            <v>0.182197007537301</v>
          </cell>
          <cell r="DY24" t="str">
            <v>n.a.</v>
          </cell>
          <cell r="DZ24">
            <v>458290000</v>
          </cell>
          <cell r="EA24">
            <v>78002000</v>
          </cell>
          <cell r="EC24">
            <v>3714980000</v>
          </cell>
          <cell r="ED24">
            <v>-1307438000</v>
          </cell>
          <cell r="EE24">
            <v>-1777613000</v>
          </cell>
          <cell r="EF24">
            <v>-56049000</v>
          </cell>
          <cell r="EG24">
            <v>573880000</v>
          </cell>
          <cell r="EH24">
            <v>0.15447727847794601</v>
          </cell>
          <cell r="EI24">
            <v>0.182700327910605</v>
          </cell>
          <cell r="EJ24" t="str">
            <v>n.a.</v>
          </cell>
          <cell r="EK24">
            <v>391145000</v>
          </cell>
          <cell r="EL24">
            <v>39610000</v>
          </cell>
          <cell r="EN24">
            <v>4866700666.6666698</v>
          </cell>
          <cell r="EO24">
            <v>-1546367666.6666701</v>
          </cell>
          <cell r="EP24">
            <v>-2450472000</v>
          </cell>
          <cell r="EQ24">
            <v>-90250333.333333299</v>
          </cell>
          <cell r="ER24">
            <v>779610666.66666698</v>
          </cell>
          <cell r="ES24">
            <v>0.16019285344718801</v>
          </cell>
          <cell r="ET24">
            <v>0.19074957161860101</v>
          </cell>
        </row>
        <row r="25">
          <cell r="B25" t="str">
            <v>FANCL CORPORATION</v>
          </cell>
          <cell r="C25" t="str">
            <v>exclude</v>
          </cell>
          <cell r="D25" t="str">
            <v>Independence(A+, A, A-, U)</v>
          </cell>
          <cell r="H25" t="str">
            <v/>
          </cell>
          <cell r="J25" t="e">
            <v>#N/A</v>
          </cell>
          <cell r="K25" t="e">
            <v>#N/A</v>
          </cell>
          <cell r="M25" t="str">
            <v>FANCL CORPORATION</v>
          </cell>
          <cell r="N25" t="str">
            <v>This company is engaged in the research and development, manufacture and sale of cosmetic and health foods. It was established in August 1981 and conducts business from its registered business address located in Yokohama-Shi, Japan. The company operates in three business divisions, namely the cosmetic segment, which offers preservative-free cosmetic; the nutritional supplement, which offers health food; and the mail order business of health appliances and home miscellaneous goods and the manufacture and sale of germinated brown rice and kale juice.</v>
          </cell>
          <cell r="O25" t="str">
            <v>Manufacturing; Services</v>
          </cell>
          <cell r="P25" t="str">
            <v>www.fancl.co.jp</v>
          </cell>
          <cell r="R25" t="str">
            <v>Japan</v>
          </cell>
          <cell r="S25" t="str">
            <v>4921</v>
          </cell>
          <cell r="T25" t="str">
            <v>B+</v>
          </cell>
          <cell r="U25" t="str">
            <v>2844</v>
          </cell>
          <cell r="V25" t="str">
            <v>Engaged in the research and development, manufacture and sale of cosmetic and health foods</v>
          </cell>
          <cell r="W25" t="str">
            <v>FANCL CORPORATION is mainly engaged in the manufacture and sale of cosmetics and nutritional supplements.</v>
          </cell>
          <cell r="Z25" t="str">
            <v>JP3020001000366</v>
          </cell>
          <cell r="AA25">
            <v>103595000000</v>
          </cell>
          <cell r="AB25">
            <v>103992000000</v>
          </cell>
          <cell r="AC25">
            <v>114909000000</v>
          </cell>
          <cell r="AD25">
            <v>126810000000</v>
          </cell>
          <cell r="AE25">
            <v>103595000000</v>
          </cell>
          <cell r="AF25">
            <v>103992000000</v>
          </cell>
          <cell r="AG25">
            <v>114909000000</v>
          </cell>
          <cell r="AH25">
            <v>126810000000</v>
          </cell>
          <cell r="AI25" t="str">
            <v>n.a.</v>
          </cell>
          <cell r="AJ25" t="str">
            <v>n.a.</v>
          </cell>
          <cell r="AK25" t="str">
            <v>n.a.</v>
          </cell>
          <cell r="AL25" t="str">
            <v>n.a.</v>
          </cell>
          <cell r="AM25">
            <v>103595000000</v>
          </cell>
          <cell r="AN25">
            <v>103992000000</v>
          </cell>
          <cell r="AO25">
            <v>114909000000</v>
          </cell>
          <cell r="AP25">
            <v>126810000000</v>
          </cell>
          <cell r="AQ25" t="str">
            <v>n.a.</v>
          </cell>
          <cell r="AR25" t="str">
            <v>n.a.</v>
          </cell>
          <cell r="AS25" t="str">
            <v>n.a.</v>
          </cell>
          <cell r="AT25" t="str">
            <v>n.a.</v>
          </cell>
          <cell r="AU25">
            <v>-29434000000</v>
          </cell>
          <cell r="AV25">
            <v>-30689000000</v>
          </cell>
          <cell r="AW25">
            <v>-32293000000</v>
          </cell>
          <cell r="AX25">
            <v>-32810000000</v>
          </cell>
          <cell r="AY25">
            <v>-4408000000</v>
          </cell>
          <cell r="AZ25">
            <v>-3492000000</v>
          </cell>
          <cell r="BA25">
            <v>-3145000000</v>
          </cell>
          <cell r="BB25">
            <v>-3440000000</v>
          </cell>
          <cell r="BC25">
            <v>-57533000000</v>
          </cell>
          <cell r="BD25">
            <v>-55477000000</v>
          </cell>
          <cell r="BE25">
            <v>-64229000000</v>
          </cell>
          <cell r="BF25">
            <v>-73126000000</v>
          </cell>
          <cell r="BG25">
            <v>12220000000</v>
          </cell>
          <cell r="BH25">
            <v>14334000000</v>
          </cell>
          <cell r="BI25">
            <v>15242000000</v>
          </cell>
          <cell r="BJ25">
            <v>17434000000</v>
          </cell>
          <cell r="BK25">
            <v>-4581000000</v>
          </cell>
          <cell r="BL25">
            <v>-5243000000</v>
          </cell>
          <cell r="BM25">
            <v>-3911000000</v>
          </cell>
          <cell r="BN25">
            <v>-3347000000</v>
          </cell>
          <cell r="BO25">
            <v>-4581000000</v>
          </cell>
          <cell r="BP25">
            <v>-5243000000</v>
          </cell>
          <cell r="BQ25">
            <v>-3911000000</v>
          </cell>
          <cell r="BR25">
            <v>-3347000000</v>
          </cell>
          <cell r="BS25">
            <v>0</v>
          </cell>
          <cell r="BT25">
            <v>0</v>
          </cell>
          <cell r="BU25">
            <v>0</v>
          </cell>
          <cell r="BV25">
            <v>0</v>
          </cell>
          <cell r="BW25">
            <v>4970000000</v>
          </cell>
          <cell r="BX25">
            <v>7421000000</v>
          </cell>
          <cell r="BY25">
            <v>8016000000</v>
          </cell>
          <cell r="BZ25">
            <v>9985000000</v>
          </cell>
          <cell r="CA25">
            <v>61962000000</v>
          </cell>
          <cell r="CB25">
            <v>55605000000</v>
          </cell>
          <cell r="CC25">
            <v>52022000000</v>
          </cell>
          <cell r="CD25">
            <v>53296000000</v>
          </cell>
          <cell r="CE25">
            <v>11531000000</v>
          </cell>
          <cell r="CF25">
            <v>11128000000</v>
          </cell>
          <cell r="CG25">
            <v>11653000000</v>
          </cell>
          <cell r="CH25">
            <v>12181000000</v>
          </cell>
          <cell r="CI25">
            <v>11582000000</v>
          </cell>
          <cell r="CJ25">
            <v>11809000000</v>
          </cell>
          <cell r="CK25">
            <v>13374000000</v>
          </cell>
          <cell r="CL25">
            <v>11850000000</v>
          </cell>
          <cell r="CM25">
            <v>1810000000</v>
          </cell>
          <cell r="CN25">
            <v>2560000000</v>
          </cell>
          <cell r="CO25">
            <v>1508000000</v>
          </cell>
          <cell r="CP25">
            <v>1274000000</v>
          </cell>
          <cell r="CQ25">
            <v>37039000000</v>
          </cell>
          <cell r="CR25">
            <v>30108000000</v>
          </cell>
          <cell r="CS25">
            <v>25487000000</v>
          </cell>
          <cell r="CT25">
            <v>27991000000</v>
          </cell>
          <cell r="CU25" t="str">
            <v>n.a.</v>
          </cell>
          <cell r="CV25" t="str">
            <v>n.a.</v>
          </cell>
          <cell r="CW25" t="str">
            <v>n.a.</v>
          </cell>
          <cell r="CX25" t="str">
            <v>n.a.</v>
          </cell>
          <cell r="CY25">
            <v>10232000000</v>
          </cell>
          <cell r="CZ25">
            <v>10015000000</v>
          </cell>
          <cell r="DA25">
            <v>16479000000</v>
          </cell>
          <cell r="DB25">
            <v>11502000000</v>
          </cell>
          <cell r="DC25">
            <v>103944000000</v>
          </cell>
          <cell r="DD25">
            <v>100121000000</v>
          </cell>
          <cell r="DE25">
            <v>97533000000</v>
          </cell>
          <cell r="DF25">
            <v>94478000000</v>
          </cell>
          <cell r="DG25">
            <v>103595000000</v>
          </cell>
          <cell r="DH25">
            <v>-29434000000</v>
          </cell>
          <cell r="DI25">
            <v>-61941000000</v>
          </cell>
          <cell r="DJ25">
            <v>-4581000000</v>
          </cell>
          <cell r="DK25">
            <v>7639000000</v>
          </cell>
          <cell r="DL25">
            <v>7.3739080071431998E-2</v>
          </cell>
          <cell r="DM25">
            <v>7.9609404310308898E-2</v>
          </cell>
          <cell r="DN25">
            <v>-4408000000</v>
          </cell>
          <cell r="DO25">
            <v>11329500000</v>
          </cell>
          <cell r="DP25">
            <v>10123500000</v>
          </cell>
          <cell r="DR25">
            <v>103992000000</v>
          </cell>
          <cell r="DS25">
            <v>-30689000000</v>
          </cell>
          <cell r="DT25">
            <v>-58969000000</v>
          </cell>
          <cell r="DU25">
            <v>-5243000000</v>
          </cell>
          <cell r="DV25">
            <v>9091000000</v>
          </cell>
          <cell r="DW25">
            <v>8.7420186168166797E-2</v>
          </cell>
          <cell r="DX25">
            <v>9.5794564862330206E-2</v>
          </cell>
          <cell r="DY25">
            <v>-3492000000</v>
          </cell>
          <cell r="DZ25">
            <v>11390500000</v>
          </cell>
          <cell r="EA25">
            <v>13247000000</v>
          </cell>
          <cell r="EC25">
            <v>114909000000</v>
          </cell>
          <cell r="ED25">
            <v>-32293000000</v>
          </cell>
          <cell r="EE25">
            <v>-67374000000</v>
          </cell>
          <cell r="EF25">
            <v>-3911000000</v>
          </cell>
          <cell r="EG25">
            <v>11331000000</v>
          </cell>
          <cell r="EH25">
            <v>9.8608464088974807E-2</v>
          </cell>
          <cell r="EI25">
            <v>0.109395817644674</v>
          </cell>
          <cell r="EJ25">
            <v>-3145000000</v>
          </cell>
          <cell r="EK25">
            <v>11917000000</v>
          </cell>
          <cell r="EL25">
            <v>13990500000</v>
          </cell>
          <cell r="EN25">
            <v>107498666666.66701</v>
          </cell>
          <cell r="EO25">
            <v>-30805333333.333302</v>
          </cell>
          <cell r="EP25">
            <v>-62761333333.333298</v>
          </cell>
          <cell r="EQ25">
            <v>-4578333333.3333302</v>
          </cell>
          <cell r="ER25">
            <v>9353666666.6666794</v>
          </cell>
          <cell r="ES25">
            <v>8.7011931930938799E-2</v>
          </cell>
          <cell r="ET25">
            <v>9.5304566372883703E-2</v>
          </cell>
        </row>
        <row r="26">
          <cell r="B26" t="str">
            <v>ZHEJIANG DAILY DIGITAL CULTURE GROUP CO.,LTD.</v>
          </cell>
          <cell r="C26" t="str">
            <v>exclude</v>
          </cell>
          <cell r="D26" t="str">
            <v>Independence(A+, A, A-, U)</v>
          </cell>
          <cell r="H26" t="str">
            <v/>
          </cell>
          <cell r="J26" t="str">
            <v>exclude</v>
          </cell>
          <cell r="K26" t="str">
            <v>Independence(A+, A, A-, U)</v>
          </cell>
          <cell r="M26" t="str">
            <v>ZHEJIANG DAILY DIGITAL CULTURE GROUP CO.,LTD.</v>
          </cell>
          <cell r="N26" t="str">
            <v>The company is primarily engaged in the publishing of newspapers. It was incorporated in July of 1992. The registered business office of the company is located in Shanghai, China.The company's newspaper features articles on political events, crime, business, art and entertainment, society and sports. It also covers editorial opinions and op-eds; advice, gossip, food and other columns; weather news and forecasts; and classified ads.This publisher of newspapers is active and operational in China.</v>
          </cell>
          <cell r="O26" t="str">
            <v>Services</v>
          </cell>
          <cell r="P26" t="str">
            <v>www.600633.cn</v>
          </cell>
          <cell r="R26" t="str">
            <v>China</v>
          </cell>
          <cell r="S26" t="str">
            <v>600633</v>
          </cell>
          <cell r="T26" t="str">
            <v>B+</v>
          </cell>
          <cell r="U26" t="str">
            <v>2844</v>
          </cell>
          <cell r="V26" t="str">
            <v>Primarily engaged in the publishing of newspapers</v>
          </cell>
          <cell r="W26" t="str">
            <v>The Company is a newspaper publishing group. The Company primarily operates Zhejiang Daily newspaper series, city news series, professional newspaper series, new media series, and printing business.</v>
          </cell>
          <cell r="X26" t="str">
            <v>ZHEJIANG DAILY MEDIA GROUP COMPANY LIMITED</v>
          </cell>
          <cell r="Z26" t="str">
            <v>CN30575PC</v>
          </cell>
          <cell r="AA26">
            <v>5220069000</v>
          </cell>
          <cell r="AB26">
            <v>3086142000</v>
          </cell>
          <cell r="AC26">
            <v>3559280000</v>
          </cell>
          <cell r="AD26">
            <v>2856572000</v>
          </cell>
          <cell r="AE26">
            <v>5183242000</v>
          </cell>
          <cell r="AF26">
            <v>3060660000</v>
          </cell>
          <cell r="AG26">
            <v>3530420000</v>
          </cell>
          <cell r="AH26">
            <v>2828772000</v>
          </cell>
          <cell r="AI26">
            <v>-21563000</v>
          </cell>
          <cell r="AJ26">
            <v>-14781000</v>
          </cell>
          <cell r="AK26">
            <v>-21636000</v>
          </cell>
          <cell r="AL26">
            <v>-17256000</v>
          </cell>
          <cell r="AM26">
            <v>5161679000</v>
          </cell>
          <cell r="AN26">
            <v>3045879000</v>
          </cell>
          <cell r="AO26">
            <v>3508784000</v>
          </cell>
          <cell r="AP26">
            <v>2811516000</v>
          </cell>
          <cell r="AQ26">
            <v>58390000</v>
          </cell>
          <cell r="AR26">
            <v>40263000</v>
          </cell>
          <cell r="AS26">
            <v>50496000</v>
          </cell>
          <cell r="AT26">
            <v>45056000</v>
          </cell>
          <cell r="AU26">
            <v>-1766667000</v>
          </cell>
          <cell r="AV26">
            <v>-622163000</v>
          </cell>
          <cell r="AW26">
            <v>-890756000</v>
          </cell>
          <cell r="AX26">
            <v>-726419000</v>
          </cell>
          <cell r="AY26" t="str">
            <v>n.a.</v>
          </cell>
          <cell r="AZ26" t="str">
            <v>n.a.</v>
          </cell>
          <cell r="BA26" t="str">
            <v>n.a.</v>
          </cell>
          <cell r="BB26" t="str">
            <v>n.a.</v>
          </cell>
          <cell r="BC26">
            <v>-2302235000</v>
          </cell>
          <cell r="BD26">
            <v>-1440418000</v>
          </cell>
          <cell r="BE26">
            <v>-1547666000</v>
          </cell>
          <cell r="BF26">
            <v>-1457815000</v>
          </cell>
          <cell r="BG26">
            <v>1151167000</v>
          </cell>
          <cell r="BH26">
            <v>1023561000</v>
          </cell>
          <cell r="BI26">
            <v>1120858000</v>
          </cell>
          <cell r="BJ26">
            <v>672338000</v>
          </cell>
          <cell r="BK26">
            <v>-312127000</v>
          </cell>
          <cell r="BL26">
            <v>-504056000</v>
          </cell>
          <cell r="BM26">
            <v>-188446000</v>
          </cell>
          <cell r="BN26">
            <v>-157620000</v>
          </cell>
          <cell r="BO26">
            <v>-111529000</v>
          </cell>
          <cell r="BP26">
            <v>-104261000</v>
          </cell>
          <cell r="BQ26">
            <v>-54891000</v>
          </cell>
          <cell r="BR26">
            <v>-40115000</v>
          </cell>
          <cell r="BS26">
            <v>-200598000</v>
          </cell>
          <cell r="BT26">
            <v>-399795000</v>
          </cell>
          <cell r="BU26">
            <v>-133555000</v>
          </cell>
          <cell r="BV26">
            <v>-117505000</v>
          </cell>
          <cell r="BW26">
            <v>489693000</v>
          </cell>
          <cell r="BX26">
            <v>516626000</v>
          </cell>
          <cell r="BY26">
            <v>511588000</v>
          </cell>
          <cell r="BZ26">
            <v>500183000</v>
          </cell>
          <cell r="CA26">
            <v>2448006000</v>
          </cell>
          <cell r="CB26">
            <v>2263951000</v>
          </cell>
          <cell r="CC26">
            <v>2569492000</v>
          </cell>
          <cell r="CD26">
            <v>3180626000</v>
          </cell>
          <cell r="CE26">
            <v>18857000</v>
          </cell>
          <cell r="CF26">
            <v>27168000</v>
          </cell>
          <cell r="CG26">
            <v>13804000</v>
          </cell>
          <cell r="CH26">
            <v>8195000</v>
          </cell>
          <cell r="CI26">
            <v>320669000</v>
          </cell>
          <cell r="CJ26">
            <v>230867000</v>
          </cell>
          <cell r="CK26">
            <v>209976000</v>
          </cell>
          <cell r="CL26">
            <v>190075000</v>
          </cell>
          <cell r="CM26">
            <v>296672000</v>
          </cell>
          <cell r="CN26">
            <v>217286000</v>
          </cell>
          <cell r="CO26">
            <v>455820000</v>
          </cell>
          <cell r="CP26">
            <v>668713000</v>
          </cell>
          <cell r="CQ26">
            <v>1669645000</v>
          </cell>
          <cell r="CR26">
            <v>1725393000</v>
          </cell>
          <cell r="CS26">
            <v>1811594000</v>
          </cell>
          <cell r="CT26">
            <v>2241283000</v>
          </cell>
          <cell r="CU26">
            <v>531106000</v>
          </cell>
          <cell r="CV26">
            <v>883729000</v>
          </cell>
          <cell r="CW26">
            <v>1003131000</v>
          </cell>
          <cell r="CX26">
            <v>595269000</v>
          </cell>
          <cell r="CY26">
            <v>755367000</v>
          </cell>
          <cell r="CZ26">
            <v>401533000</v>
          </cell>
          <cell r="DA26">
            <v>571586000</v>
          </cell>
          <cell r="DB26">
            <v>361224000</v>
          </cell>
          <cell r="DC26">
            <v>12199555000</v>
          </cell>
          <cell r="DD26">
            <v>11905752000</v>
          </cell>
          <cell r="DE26">
            <v>11187230000</v>
          </cell>
          <cell r="DF26">
            <v>11204741000</v>
          </cell>
          <cell r="DG26">
            <v>5161679000</v>
          </cell>
          <cell r="DH26">
            <v>-1766667000</v>
          </cell>
          <cell r="DI26">
            <v>-2302235000</v>
          </cell>
          <cell r="DJ26">
            <v>-312127000</v>
          </cell>
          <cell r="DK26">
            <v>780650000</v>
          </cell>
          <cell r="DL26">
            <v>0.15123954821677199</v>
          </cell>
          <cell r="DM26">
            <v>0.17818873146011999</v>
          </cell>
          <cell r="DN26" t="str">
            <v>n.a.</v>
          </cell>
          <cell r="DO26">
            <v>23012500</v>
          </cell>
          <cell r="DP26">
            <v>578450000</v>
          </cell>
          <cell r="DR26">
            <v>3045879000</v>
          </cell>
          <cell r="DS26">
            <v>-622163000</v>
          </cell>
          <cell r="DT26">
            <v>-1440418000</v>
          </cell>
          <cell r="DU26">
            <v>-504056000</v>
          </cell>
          <cell r="DV26">
            <v>479242000</v>
          </cell>
          <cell r="DW26">
            <v>0.157341115651672</v>
          </cell>
          <cell r="DX26">
            <v>0.18671982052779601</v>
          </cell>
          <cell r="DY26" t="str">
            <v>n.a.</v>
          </cell>
          <cell r="DZ26">
            <v>20486000</v>
          </cell>
          <cell r="EA26">
            <v>486559500</v>
          </cell>
          <cell r="EC26">
            <v>3508784000</v>
          </cell>
          <cell r="ED26">
            <v>-890756000</v>
          </cell>
          <cell r="EE26">
            <v>-1547666000</v>
          </cell>
          <cell r="EF26">
            <v>-188446000</v>
          </cell>
          <cell r="EG26">
            <v>881916000</v>
          </cell>
          <cell r="EH26">
            <v>0.25134519537252797</v>
          </cell>
          <cell r="EI26">
            <v>0.33572908878558</v>
          </cell>
          <cell r="EJ26" t="str">
            <v>n.a.</v>
          </cell>
          <cell r="EK26">
            <v>10999500</v>
          </cell>
          <cell r="EL26">
            <v>466405000</v>
          </cell>
          <cell r="EN26">
            <v>3905447333.3333302</v>
          </cell>
          <cell r="EO26">
            <v>-1093195333.3333299</v>
          </cell>
          <cell r="EP26">
            <v>-1763439666.6666701</v>
          </cell>
          <cell r="EQ26">
            <v>-334876333.33333302</v>
          </cell>
          <cell r="ER26">
            <v>713936000</v>
          </cell>
          <cell r="ES26">
            <v>0.18280517929572199</v>
          </cell>
          <cell r="ET26">
            <v>0.223698406627414</v>
          </cell>
        </row>
        <row r="27">
          <cell r="B27" t="str">
            <v>SYOUNG GROUP CO., LTD.</v>
          </cell>
          <cell r="C27" t="str">
            <v>exclude</v>
          </cell>
          <cell r="D27" t="str">
            <v>Independence(A+, A, A-, U)</v>
          </cell>
          <cell r="H27" t="str">
            <v/>
          </cell>
          <cell r="J27" t="str">
            <v>exclude</v>
          </cell>
          <cell r="K27" t="str">
            <v>Independence(A+, A, A-, U)</v>
          </cell>
          <cell r="M27" t="str">
            <v>SYOUNG GROUP CO., LTD.</v>
          </cell>
          <cell r="N27" t="str">
            <v>This company is an entity based in China that is engaged in the production and distribution of perfumes, cosmetics and toilet preparations. It started its operations in 2012. The registered business office of the company is located in Changsha, Hunan. The company is principally involved in producing and dealing perfumes, colognes, body lotions, facial creams and other related cosmetic products. It also offers a wide range of other products, such as hair coloring products, shampoos, combs, nail coloring products, hair blowers, relaxers and texturizers, shapers and scissors, shaving creams and equipment, lotions, gels, wigs and other related products. These are offered to distributors, retailers and to the general public. The company has its active operations within the country.</v>
          </cell>
          <cell r="O27" t="str">
            <v>Manufacturing</v>
          </cell>
          <cell r="R27" t="str">
            <v>China</v>
          </cell>
          <cell r="S27" t="str">
            <v>300740</v>
          </cell>
          <cell r="T27" t="str">
            <v>B+</v>
          </cell>
          <cell r="U27" t="str">
            <v>2844</v>
          </cell>
          <cell r="V27" t="str">
            <v>Engaged in the production and distribution of perfumes, cosmetics and toilet preparations. It</v>
          </cell>
          <cell r="W27" t="str">
            <v>The Company is mainly engaged in the research and development, production and sales of various types of skin care products. Product categories include facial masks, water cream creams, etc., of which mainly mask.</v>
          </cell>
          <cell r="X27" t="str">
            <v>YUJIAHUI CO., LTD.</v>
          </cell>
          <cell r="Z27" t="str">
            <v>CN49067PC</v>
          </cell>
          <cell r="AA27">
            <v>4713993000</v>
          </cell>
          <cell r="AB27">
            <v>5004720000</v>
          </cell>
          <cell r="AC27">
            <v>3701021000</v>
          </cell>
          <cell r="AD27">
            <v>2408201000</v>
          </cell>
          <cell r="AE27">
            <v>4696578000</v>
          </cell>
          <cell r="AF27">
            <v>4994470000</v>
          </cell>
          <cell r="AG27">
            <v>3709649000</v>
          </cell>
          <cell r="AH27">
            <v>2404522000</v>
          </cell>
          <cell r="AI27">
            <v>-23899000</v>
          </cell>
          <cell r="AJ27">
            <v>-19721000</v>
          </cell>
          <cell r="AK27">
            <v>-17274000</v>
          </cell>
          <cell r="AL27">
            <v>-11321000</v>
          </cell>
          <cell r="AM27">
            <v>4672679000</v>
          </cell>
          <cell r="AN27">
            <v>4974749000</v>
          </cell>
          <cell r="AO27">
            <v>3692375000</v>
          </cell>
          <cell r="AP27">
            <v>2393201000</v>
          </cell>
          <cell r="AQ27">
            <v>41314000</v>
          </cell>
          <cell r="AR27">
            <v>29971000</v>
          </cell>
          <cell r="AS27">
            <v>8646000</v>
          </cell>
          <cell r="AT27">
            <v>15000000</v>
          </cell>
          <cell r="AU27">
            <v>-2168849000</v>
          </cell>
          <cell r="AV27">
            <v>-2378772000</v>
          </cell>
          <cell r="AW27">
            <v>-1867870000</v>
          </cell>
          <cell r="AX27">
            <v>-1163167000</v>
          </cell>
          <cell r="AY27" t="str">
            <v>n.a.</v>
          </cell>
          <cell r="AZ27" t="str">
            <v>n.a.</v>
          </cell>
          <cell r="BA27" t="str">
            <v>n.a.</v>
          </cell>
          <cell r="BB27" t="str">
            <v>n.a.</v>
          </cell>
          <cell r="BC27">
            <v>-2327326000</v>
          </cell>
          <cell r="BD27">
            <v>-2295855000</v>
          </cell>
          <cell r="BE27">
            <v>-1612398000</v>
          </cell>
          <cell r="BF27">
            <v>-1191306000</v>
          </cell>
          <cell r="BG27">
            <v>217818000</v>
          </cell>
          <cell r="BH27">
            <v>330093000</v>
          </cell>
          <cell r="BI27">
            <v>220753000</v>
          </cell>
          <cell r="BJ27">
            <v>53728000</v>
          </cell>
          <cell r="BK27">
            <v>-33408000</v>
          </cell>
          <cell r="BL27">
            <v>-15481000</v>
          </cell>
          <cell r="BM27">
            <v>-14143000</v>
          </cell>
          <cell r="BN27">
            <v>-13634000</v>
          </cell>
          <cell r="BO27">
            <v>-30122000</v>
          </cell>
          <cell r="BP27">
            <v>-12604000</v>
          </cell>
          <cell r="BQ27">
            <v>-11326000</v>
          </cell>
          <cell r="BR27">
            <v>-11118000</v>
          </cell>
          <cell r="BS27">
            <v>-3286000</v>
          </cell>
          <cell r="BT27">
            <v>-2877000</v>
          </cell>
          <cell r="BU27">
            <v>-2817000</v>
          </cell>
          <cell r="BV27">
            <v>-2516000</v>
          </cell>
          <cell r="BW27">
            <v>124785000</v>
          </cell>
          <cell r="BX27">
            <v>236419000</v>
          </cell>
          <cell r="BY27">
            <v>140274000</v>
          </cell>
          <cell r="BZ27">
            <v>27223000</v>
          </cell>
          <cell r="CA27">
            <v>1870043000</v>
          </cell>
          <cell r="CB27">
            <v>1679972000</v>
          </cell>
          <cell r="CC27">
            <v>1619851000</v>
          </cell>
          <cell r="CD27">
            <v>1489923000</v>
          </cell>
          <cell r="CE27">
            <v>898873000</v>
          </cell>
          <cell r="CF27">
            <v>727937000</v>
          </cell>
          <cell r="CG27">
            <v>695613000</v>
          </cell>
          <cell r="CH27">
            <v>737953000</v>
          </cell>
          <cell r="CI27">
            <v>324558000</v>
          </cell>
          <cell r="CJ27">
            <v>280073000</v>
          </cell>
          <cell r="CK27">
            <v>216659000</v>
          </cell>
          <cell r="CL27">
            <v>117759000</v>
          </cell>
          <cell r="CM27">
            <v>115166000</v>
          </cell>
          <cell r="CN27">
            <v>69356000</v>
          </cell>
          <cell r="CO27">
            <v>107198000</v>
          </cell>
          <cell r="CP27">
            <v>58225000</v>
          </cell>
          <cell r="CQ27">
            <v>445415000</v>
          </cell>
          <cell r="CR27">
            <v>479909000</v>
          </cell>
          <cell r="CS27">
            <v>510155000</v>
          </cell>
          <cell r="CT27">
            <v>497710000</v>
          </cell>
          <cell r="CU27">
            <v>152257000</v>
          </cell>
          <cell r="CV27">
            <v>95745000</v>
          </cell>
          <cell r="CW27">
            <v>50307000</v>
          </cell>
          <cell r="CX27">
            <v>135868000</v>
          </cell>
          <cell r="CY27">
            <v>402660000</v>
          </cell>
          <cell r="CZ27">
            <v>523369000</v>
          </cell>
          <cell r="DA27">
            <v>191135000</v>
          </cell>
          <cell r="DB27">
            <v>19081000</v>
          </cell>
          <cell r="DC27">
            <v>3649040000</v>
          </cell>
          <cell r="DD27">
            <v>2745404000</v>
          </cell>
          <cell r="DE27">
            <v>2172512000</v>
          </cell>
          <cell r="DF27">
            <v>1842887000</v>
          </cell>
          <cell r="DG27">
            <v>4672679000</v>
          </cell>
          <cell r="DH27">
            <v>-2168849000</v>
          </cell>
          <cell r="DI27">
            <v>-2327326000</v>
          </cell>
          <cell r="DJ27">
            <v>-33408000</v>
          </cell>
          <cell r="DK27">
            <v>143096000</v>
          </cell>
          <cell r="DL27">
            <v>3.0623973955839899E-2</v>
          </cell>
          <cell r="DM27">
            <v>3.1591429056493703E-2</v>
          </cell>
          <cell r="DN27" t="str">
            <v>n.a.</v>
          </cell>
          <cell r="DO27">
            <v>813405000</v>
          </cell>
          <cell r="DP27">
            <v>463014500</v>
          </cell>
          <cell r="DR27">
            <v>4974749000</v>
          </cell>
          <cell r="DS27">
            <v>-2378772000</v>
          </cell>
          <cell r="DT27">
            <v>-2295855000</v>
          </cell>
          <cell r="DU27">
            <v>-15481000</v>
          </cell>
          <cell r="DV27">
            <v>284641000</v>
          </cell>
          <cell r="DW27">
            <v>5.7217158091795201E-2</v>
          </cell>
          <cell r="DX27">
            <v>6.0689647232003999E-2</v>
          </cell>
          <cell r="DY27" t="str">
            <v>n.a.</v>
          </cell>
          <cell r="DZ27">
            <v>711775000</v>
          </cell>
          <cell r="EA27">
            <v>357252000</v>
          </cell>
          <cell r="EC27">
            <v>3692375000</v>
          </cell>
          <cell r="ED27">
            <v>-1867870000</v>
          </cell>
          <cell r="EE27">
            <v>-1612398000</v>
          </cell>
          <cell r="EF27">
            <v>-14143000</v>
          </cell>
          <cell r="EG27">
            <v>197964000</v>
          </cell>
          <cell r="EH27">
            <v>5.3614272656488E-2</v>
          </cell>
          <cell r="EI27">
            <v>5.6651607381043599E-2</v>
          </cell>
          <cell r="EJ27" t="str">
            <v>n.a.</v>
          </cell>
          <cell r="EK27">
            <v>716783000</v>
          </cell>
          <cell r="EL27">
            <v>105108000</v>
          </cell>
          <cell r="EN27">
            <v>4446601000</v>
          </cell>
          <cell r="EO27">
            <v>-2138497000</v>
          </cell>
          <cell r="EP27">
            <v>-2078526333.3333299</v>
          </cell>
          <cell r="EQ27">
            <v>-21010666.666666701</v>
          </cell>
          <cell r="ER27">
            <v>208567000</v>
          </cell>
          <cell r="ES27">
            <v>4.6904815610845203E-2</v>
          </cell>
          <cell r="ET27">
            <v>4.9213149304606803E-2</v>
          </cell>
        </row>
        <row r="28">
          <cell r="B28" t="str">
            <v>COLGATE-PALMOLIVE (INDIA) LIMITED</v>
          </cell>
          <cell r="C28" t="str">
            <v>exclude</v>
          </cell>
          <cell r="D28" t="str">
            <v>Independence(A+, A, A-, U)</v>
          </cell>
          <cell r="H28" t="str">
            <v/>
          </cell>
          <cell r="J28" t="e">
            <v>#N/A</v>
          </cell>
          <cell r="K28" t="e">
            <v>#N/A</v>
          </cell>
          <cell r="M28" t="str">
            <v>COLGATE-PALMOLIVE (INDIA) LIMITED</v>
          </cell>
          <cell r="N28" t="str">
            <v>This company is engaged in the manufacture and distribution of personal care products. It was founded in 1937 and it conducts business from its registered head office located in Mumbai, India.The company offers oral care, personal care, household products and specialized dental care products. Its oral care products consist of toothpastes, toothbrushes, toothpowder and whitening products. Personal products are shower gel, shower cream, bar soaps, liquid hand washes, shave creams and skin care products. Household products includes a dishing washing paste. Its specialized dental care products are provided for gingivitis treatment, sensitivity treatment, tooth whitening, fluoride therapy and mouth ulcer treatment. Further, the company's products are sold under the Ajax, Axion, Colgate, and Palmolive brands.</v>
          </cell>
          <cell r="O28" t="str">
            <v>Manufacturing</v>
          </cell>
          <cell r="P28" t="str">
            <v>www.colgate.co.in</v>
          </cell>
          <cell r="R28" t="str">
            <v>India</v>
          </cell>
          <cell r="S28" t="str">
            <v>COLPAL</v>
          </cell>
          <cell r="T28" t="str">
            <v>C+</v>
          </cell>
          <cell r="U28" t="str">
            <v>2844</v>
          </cell>
          <cell r="V28" t="str">
            <v>Engaged in the manufacture and distribution of personal care products</v>
          </cell>
          <cell r="W28" t="str">
            <v>The Company is engaged in the personal care business, which includes oral care. The oral care products manufactured by the company include toothpastes, toothbrushes, toothpowder, whitening products and mouthwash.  The personal care products manufactured by the company include body wash, liquid hand wash, shave preps, skin care and hair care.</v>
          </cell>
          <cell r="Y28" t="str">
            <v>Ajax; Axion; Colgate; Palmolive</v>
          </cell>
          <cell r="Z28" t="str">
            <v>IN30306FI</v>
          </cell>
          <cell r="AA28">
            <v>52349074000</v>
          </cell>
          <cell r="AB28">
            <v>50997350000</v>
          </cell>
          <cell r="AC28">
            <v>48419585000</v>
          </cell>
          <cell r="AD28">
            <v>45261141000</v>
          </cell>
          <cell r="AE28">
            <v>51878636000</v>
          </cell>
          <cell r="AF28">
            <v>50664551000</v>
          </cell>
          <cell r="AG28">
            <v>48104794000</v>
          </cell>
          <cell r="AH28">
            <v>44875667000</v>
          </cell>
          <cell r="AI28" t="str">
            <v>n.a.</v>
          </cell>
          <cell r="AJ28" t="str">
            <v>n.a.</v>
          </cell>
          <cell r="AK28" t="str">
            <v>n.a.</v>
          </cell>
          <cell r="AL28">
            <v>24000000</v>
          </cell>
          <cell r="AM28">
            <v>51878636000</v>
          </cell>
          <cell r="AN28">
            <v>50664551000</v>
          </cell>
          <cell r="AO28">
            <v>48104794000</v>
          </cell>
          <cell r="AP28">
            <v>44899667000</v>
          </cell>
          <cell r="AQ28">
            <v>470438000</v>
          </cell>
          <cell r="AR28">
            <v>332799000</v>
          </cell>
          <cell r="AS28">
            <v>314791000</v>
          </cell>
          <cell r="AT28">
            <v>361474000</v>
          </cell>
          <cell r="AU28">
            <v>-18197974000</v>
          </cell>
          <cell r="AV28">
            <v>-16923729000</v>
          </cell>
          <cell r="AW28">
            <v>-15742909000</v>
          </cell>
          <cell r="AX28">
            <v>-15963627000</v>
          </cell>
          <cell r="AY28">
            <v>-122483000</v>
          </cell>
          <cell r="AZ28">
            <v>-113584000</v>
          </cell>
          <cell r="BA28">
            <v>-161505000</v>
          </cell>
          <cell r="BB28">
            <v>-78772000</v>
          </cell>
          <cell r="BC28">
            <v>-18461890000</v>
          </cell>
          <cell r="BD28">
            <v>-18283779000</v>
          </cell>
          <cell r="BE28">
            <v>-17321188000</v>
          </cell>
          <cell r="BF28">
            <v>-17017907000</v>
          </cell>
          <cell r="BG28">
            <v>15566727000</v>
          </cell>
          <cell r="BH28">
            <v>15676258000</v>
          </cell>
          <cell r="BI28">
            <v>15193983000</v>
          </cell>
          <cell r="BJ28">
            <v>12200835000</v>
          </cell>
          <cell r="BK28">
            <v>-1748037000</v>
          </cell>
          <cell r="BL28">
            <v>-1773033000</v>
          </cell>
          <cell r="BM28">
            <v>-1824973000</v>
          </cell>
          <cell r="BN28">
            <v>-1979404000</v>
          </cell>
          <cell r="BO28">
            <v>-1748037000</v>
          </cell>
          <cell r="BP28">
            <v>-1773033000</v>
          </cell>
          <cell r="BQ28">
            <v>-1824973000</v>
          </cell>
          <cell r="BR28">
            <v>-1979404000</v>
          </cell>
          <cell r="BS28">
            <v>0</v>
          </cell>
          <cell r="BT28">
            <v>0</v>
          </cell>
          <cell r="BU28">
            <v>0</v>
          </cell>
          <cell r="BV28">
            <v>0</v>
          </cell>
          <cell r="BW28">
            <v>10471465000</v>
          </cell>
          <cell r="BX28">
            <v>10783187000</v>
          </cell>
          <cell r="BY28">
            <v>10353854000</v>
          </cell>
          <cell r="BZ28">
            <v>8164660000</v>
          </cell>
          <cell r="CA28">
            <v>15478836000</v>
          </cell>
          <cell r="CB28">
            <v>14828571000</v>
          </cell>
          <cell r="CC28">
            <v>13725839000</v>
          </cell>
          <cell r="CD28">
            <v>10120310000</v>
          </cell>
          <cell r="CE28">
            <v>3354496000</v>
          </cell>
          <cell r="CF28">
            <v>3571877000</v>
          </cell>
          <cell r="CG28">
            <v>3358214000</v>
          </cell>
          <cell r="CH28">
            <v>2969218000</v>
          </cell>
          <cell r="CI28">
            <v>1573661000</v>
          </cell>
          <cell r="CJ28">
            <v>2246781000</v>
          </cell>
          <cell r="CK28">
            <v>710705000</v>
          </cell>
          <cell r="CL28">
            <v>1325643000</v>
          </cell>
          <cell r="CM28">
            <v>972216000</v>
          </cell>
          <cell r="CN28">
            <v>1184226000</v>
          </cell>
          <cell r="CO28">
            <v>683336000</v>
          </cell>
          <cell r="CP28">
            <v>1313834000</v>
          </cell>
          <cell r="CQ28">
            <v>9229952000</v>
          </cell>
          <cell r="CR28">
            <v>7547127000</v>
          </cell>
          <cell r="CS28">
            <v>8676350000</v>
          </cell>
          <cell r="CT28">
            <v>4212685000</v>
          </cell>
          <cell r="CU28" t="str">
            <v>n.a.</v>
          </cell>
          <cell r="CV28" t="str">
            <v>n.a.</v>
          </cell>
          <cell r="CW28" t="str">
            <v>n.a.</v>
          </cell>
          <cell r="CX28" t="str">
            <v>n.a.</v>
          </cell>
          <cell r="CY28">
            <v>2230277000</v>
          </cell>
          <cell r="CZ28">
            <v>2215217000</v>
          </cell>
          <cell r="DA28">
            <v>2313466000</v>
          </cell>
          <cell r="DB28">
            <v>2729986000</v>
          </cell>
          <cell r="DC28">
            <v>28829893000</v>
          </cell>
          <cell r="DD28">
            <v>29018314000</v>
          </cell>
          <cell r="DE28">
            <v>28940148000</v>
          </cell>
          <cell r="DF28">
            <v>26039698000</v>
          </cell>
          <cell r="DG28">
            <v>51878636000</v>
          </cell>
          <cell r="DH28">
            <v>-18197974000</v>
          </cell>
          <cell r="DI28">
            <v>-18584373000</v>
          </cell>
          <cell r="DJ28">
            <v>-1748037000</v>
          </cell>
          <cell r="DK28">
            <v>13348252000</v>
          </cell>
          <cell r="DL28">
            <v>0.25729766680835597</v>
          </cell>
          <cell r="DM28">
            <v>0.34643443989553802</v>
          </cell>
          <cell r="DN28">
            <v>-122483000</v>
          </cell>
          <cell r="DO28">
            <v>3463186500</v>
          </cell>
          <cell r="DP28">
            <v>2222747000</v>
          </cell>
          <cell r="DR28">
            <v>50664551000</v>
          </cell>
          <cell r="DS28">
            <v>-16923729000</v>
          </cell>
          <cell r="DT28">
            <v>-18397363000</v>
          </cell>
          <cell r="DU28">
            <v>-1773033000</v>
          </cell>
          <cell r="DV28">
            <v>13570426000</v>
          </cell>
          <cell r="DW28">
            <v>0.26784853970185202</v>
          </cell>
          <cell r="DX28">
            <v>0.36583760905534202</v>
          </cell>
          <cell r="DY28">
            <v>-113584000</v>
          </cell>
          <cell r="DZ28">
            <v>3465045500</v>
          </cell>
          <cell r="EA28">
            <v>2264341500</v>
          </cell>
          <cell r="EC28">
            <v>48104794000</v>
          </cell>
          <cell r="ED28">
            <v>-15742909000</v>
          </cell>
          <cell r="EE28">
            <v>-17482693000</v>
          </cell>
          <cell r="EF28">
            <v>-1824973000</v>
          </cell>
          <cell r="EG28">
            <v>13054219000</v>
          </cell>
          <cell r="EH28">
            <v>0.27137043763247398</v>
          </cell>
          <cell r="EI28">
            <v>0.37243951062143799</v>
          </cell>
          <cell r="EJ28">
            <v>-161505000</v>
          </cell>
          <cell r="EK28">
            <v>3163716000</v>
          </cell>
          <cell r="EL28">
            <v>2521726000</v>
          </cell>
          <cell r="EN28">
            <v>50215993666.666702</v>
          </cell>
          <cell r="EO28">
            <v>-16954870666.6667</v>
          </cell>
          <cell r="EP28">
            <v>-18154809666.666698</v>
          </cell>
          <cell r="EQ28">
            <v>-1782014333.3333299</v>
          </cell>
          <cell r="ER28">
            <v>13324299000</v>
          </cell>
          <cell r="ES28">
            <v>0.26533974590738102</v>
          </cell>
          <cell r="ET28">
            <v>0.36117340556976701</v>
          </cell>
        </row>
        <row r="29">
          <cell r="B29" t="str">
            <v>KOLMAR KOREA HOLDINGS CO.,LTD</v>
          </cell>
          <cell r="C29" t="str">
            <v>exclude</v>
          </cell>
          <cell r="D29" t="str">
            <v>Independence(A+, A, A-, U)</v>
          </cell>
          <cell r="H29" t="str">
            <v/>
          </cell>
          <cell r="J29" t="str">
            <v>exclude</v>
          </cell>
          <cell r="K29" t="str">
            <v>Independence(A+, A, A-, U)</v>
          </cell>
          <cell r="M29" t="str">
            <v>KOLMAR KOREA HOLDINGS CO.,LTD</v>
          </cell>
          <cell r="N29" t="str">
            <v>The company is engaged in the manufacture of cosmetics and pharmaceuticals. It was founded in 1990. The registered business office of the company is located in Yeonggi-gun, Republic of Korea.The company offers skin care products, such as milk lotion, skin lotion, eye cream, massage cream, serum, essence, powder type essence, mask pack, and cleansing products; make up products, including pressed and loose powder, foundation, liquid foundation, compact, two way cake, lip stick, lip gloss, lip cream, lip liner, blusher, eye shadow, liquid eye shadow, eye liner, mascara, eye brow, cosmetic pencil, and powder to cream; and various special care products comprising whitening, anti aging, and SPF products. It also provides pharmaceutical and quasi drugs, which consist of tooth paste and solutions, ointment, and liquid drinks; hair and body care products; and perfumes.The company is active and operational in the Republic of Korea.</v>
          </cell>
          <cell r="O29" t="str">
            <v>Manufacturing</v>
          </cell>
          <cell r="P29" t="str">
            <v>www.kolmarholdings.co.kr</v>
          </cell>
          <cell r="R29" t="str">
            <v>Republic of Korea</v>
          </cell>
          <cell r="S29" t="str">
            <v>024720</v>
          </cell>
          <cell r="T29" t="str">
            <v>B+</v>
          </cell>
          <cell r="U29" t="str">
            <v>2844</v>
          </cell>
          <cell r="V29" t="str">
            <v>Engaged in the manufacture of cosmetics and pharmaceuticals</v>
          </cell>
          <cell r="W29" t="str">
            <v>- Established in 1990 to manufacture and sell cosmetics and pharmaceutical products to buyers and sellers, the cosmetics and pharmaceuticals division and investment division were split into business holding companies in October 2012.- The subsidiary to be consolidated includes Colma B &amp; H Co., Ltd., a manufacturer and distributor of health functional foods and cosmetics, and Colma Pharma Co., Ltd., and Kayo Agricultural Co., Ltd., which manufacture and sell pharmaceuticals.- In March 2016, Company will acquire the site of Naegok-dong in Seoul and construct an integrated technology institute. Company will integrate 14 research institutes scattered in Sejong and Ochang areas.</v>
          </cell>
          <cell r="X29" t="str">
            <v>KOREA KOLMAR CO.,LTD.</v>
          </cell>
          <cell r="Z29" t="str">
            <v>KR1647110001591</v>
          </cell>
          <cell r="AA29">
            <v>649879569000</v>
          </cell>
          <cell r="AB29">
            <v>682790737000</v>
          </cell>
          <cell r="AC29">
            <v>728198182000</v>
          </cell>
          <cell r="AD29">
            <v>508096594000</v>
          </cell>
          <cell r="AE29">
            <v>649879569000</v>
          </cell>
          <cell r="AF29">
            <v>682790737000</v>
          </cell>
          <cell r="AG29">
            <v>728198182000</v>
          </cell>
          <cell r="AH29">
            <v>508096594000</v>
          </cell>
          <cell r="AI29" t="str">
            <v>n.a.</v>
          </cell>
          <cell r="AJ29" t="str">
            <v>n.a.</v>
          </cell>
          <cell r="AK29" t="str">
            <v>n.a.</v>
          </cell>
          <cell r="AL29" t="str">
            <v>n.a.</v>
          </cell>
          <cell r="AM29">
            <v>649879569000</v>
          </cell>
          <cell r="AN29">
            <v>682790737000</v>
          </cell>
          <cell r="AO29">
            <v>728198182000</v>
          </cell>
          <cell r="AP29">
            <v>508096594000</v>
          </cell>
          <cell r="AQ29" t="str">
            <v>n.a.</v>
          </cell>
          <cell r="AR29" t="str">
            <v>n.a.</v>
          </cell>
          <cell r="AS29" t="str">
            <v>n.a.</v>
          </cell>
          <cell r="AT29" t="str">
            <v>n.a.</v>
          </cell>
          <cell r="AU29">
            <v>-548795720000</v>
          </cell>
          <cell r="AV29">
            <v>-534703793000</v>
          </cell>
          <cell r="AW29">
            <v>-526128323000</v>
          </cell>
          <cell r="AX29">
            <v>-398658632000</v>
          </cell>
          <cell r="AY29">
            <v>-2753102000</v>
          </cell>
          <cell r="AZ29">
            <v>-4487801000</v>
          </cell>
          <cell r="BA29">
            <v>-10433886000</v>
          </cell>
          <cell r="BB29">
            <v>-520147000</v>
          </cell>
          <cell r="BC29">
            <v>-59902246000</v>
          </cell>
          <cell r="BD29">
            <v>-50677732000</v>
          </cell>
          <cell r="BE29">
            <v>-30762051000</v>
          </cell>
          <cell r="BF29">
            <v>-24494626000</v>
          </cell>
          <cell r="BG29">
            <v>38428501000</v>
          </cell>
          <cell r="BH29">
            <v>92921411000</v>
          </cell>
          <cell r="BI29">
            <v>160873922000</v>
          </cell>
          <cell r="BJ29">
            <v>84423189000</v>
          </cell>
          <cell r="BK29">
            <v>-5428306000</v>
          </cell>
          <cell r="BL29">
            <v>-4549381000</v>
          </cell>
          <cell r="BM29">
            <v>-3369094000</v>
          </cell>
          <cell r="BN29">
            <v>-2537105000</v>
          </cell>
          <cell r="BO29">
            <v>-3084682000</v>
          </cell>
          <cell r="BP29">
            <v>-2744704000</v>
          </cell>
          <cell r="BQ29">
            <v>-2192375000</v>
          </cell>
          <cell r="BR29">
            <v>-1613214000</v>
          </cell>
          <cell r="BS29">
            <v>-2343624000</v>
          </cell>
          <cell r="BT29">
            <v>-1804677000</v>
          </cell>
          <cell r="BU29">
            <v>-1176719000</v>
          </cell>
          <cell r="BV29">
            <v>-923891000</v>
          </cell>
          <cell r="BW29">
            <v>-6086492000</v>
          </cell>
          <cell r="BX29">
            <v>21816148000</v>
          </cell>
          <cell r="BY29">
            <v>113135323000</v>
          </cell>
          <cell r="BZ29">
            <v>42464844000</v>
          </cell>
          <cell r="CA29">
            <v>343129857000</v>
          </cell>
          <cell r="CB29">
            <v>319849774000</v>
          </cell>
          <cell r="CC29">
            <v>405874425000</v>
          </cell>
          <cell r="CD29">
            <v>307051620000</v>
          </cell>
          <cell r="CE29">
            <v>90777717000</v>
          </cell>
          <cell r="CF29">
            <v>79435842000</v>
          </cell>
          <cell r="CG29">
            <v>67700272000</v>
          </cell>
          <cell r="CH29">
            <v>71747049000</v>
          </cell>
          <cell r="CI29">
            <v>43183973000</v>
          </cell>
          <cell r="CJ29">
            <v>29929890000</v>
          </cell>
          <cell r="CK29">
            <v>68727285000</v>
          </cell>
          <cell r="CL29">
            <v>57976421000</v>
          </cell>
          <cell r="CM29">
            <v>69062883000</v>
          </cell>
          <cell r="CN29">
            <v>68958959000</v>
          </cell>
          <cell r="CO29">
            <v>13632235000</v>
          </cell>
          <cell r="CP29">
            <v>32390786000</v>
          </cell>
          <cell r="CQ29">
            <v>127422064000</v>
          </cell>
          <cell r="CR29">
            <v>131885596000</v>
          </cell>
          <cell r="CS29">
            <v>228292576000</v>
          </cell>
          <cell r="CT29">
            <v>126616606000</v>
          </cell>
          <cell r="CU29">
            <v>18054459000</v>
          </cell>
          <cell r="CV29">
            <v>17413372000</v>
          </cell>
          <cell r="CW29">
            <v>30009564000</v>
          </cell>
          <cell r="CX29">
            <v>23889481000</v>
          </cell>
          <cell r="CY29">
            <v>42361826000</v>
          </cell>
          <cell r="CZ29">
            <v>27946879000</v>
          </cell>
          <cell r="DA29">
            <v>26878136000</v>
          </cell>
          <cell r="DB29">
            <v>49302340000</v>
          </cell>
          <cell r="DC29">
            <v>1269102053000</v>
          </cell>
          <cell r="DD29">
            <v>1209726178000</v>
          </cell>
          <cell r="DE29">
            <v>1218505783000</v>
          </cell>
          <cell r="DF29">
            <v>1091947072000</v>
          </cell>
          <cell r="DG29">
            <v>649879569000</v>
          </cell>
          <cell r="DH29">
            <v>-548795720000</v>
          </cell>
          <cell r="DI29">
            <v>-62655348000</v>
          </cell>
          <cell r="DJ29">
            <v>-5428306000</v>
          </cell>
          <cell r="DK29">
            <v>33000195000</v>
          </cell>
          <cell r="DL29">
            <v>5.0778939012929597E-2</v>
          </cell>
          <cell r="DM29">
            <v>5.34953775257851E-2</v>
          </cell>
          <cell r="DN29">
            <v>-2753102000</v>
          </cell>
          <cell r="DO29">
            <v>85106779500</v>
          </cell>
          <cell r="DP29">
            <v>35154352500</v>
          </cell>
          <cell r="DR29">
            <v>682790737000</v>
          </cell>
          <cell r="DS29">
            <v>-534703793000</v>
          </cell>
          <cell r="DT29">
            <v>-55165533000</v>
          </cell>
          <cell r="DU29">
            <v>-4549381000</v>
          </cell>
          <cell r="DV29">
            <v>88372030000</v>
          </cell>
          <cell r="DW29">
            <v>0.129427693158643</v>
          </cell>
          <cell r="DX29">
            <v>0.148669664933678</v>
          </cell>
          <cell r="DY29">
            <v>-4487801000</v>
          </cell>
          <cell r="DZ29">
            <v>73568057000</v>
          </cell>
          <cell r="EA29">
            <v>27412507500</v>
          </cell>
          <cell r="EC29">
            <v>728198182000</v>
          </cell>
          <cell r="ED29">
            <v>-526128323000</v>
          </cell>
          <cell r="EE29">
            <v>-41195937000</v>
          </cell>
          <cell r="EF29">
            <v>-3369094000</v>
          </cell>
          <cell r="EG29">
            <v>157504828000</v>
          </cell>
          <cell r="EH29">
            <v>0.21629390445251101</v>
          </cell>
          <cell r="EI29">
            <v>0.27598854427871999</v>
          </cell>
          <cell r="EJ29">
            <v>-10433886000</v>
          </cell>
          <cell r="EK29">
            <v>69723660500</v>
          </cell>
          <cell r="EL29">
            <v>38090238000</v>
          </cell>
          <cell r="EN29">
            <v>686956162666.66699</v>
          </cell>
          <cell r="EO29">
            <v>-536542612000</v>
          </cell>
          <cell r="EP29">
            <v>-53005606000</v>
          </cell>
          <cell r="EQ29">
            <v>-4448927000</v>
          </cell>
          <cell r="ER29">
            <v>92959017666.666595</v>
          </cell>
          <cell r="ES29">
            <v>0.135320159740343</v>
          </cell>
          <cell r="ET29">
            <v>0.15649741492725</v>
          </cell>
        </row>
        <row r="30">
          <cell r="B30" t="str">
            <v>MANDOM CORPORATION</v>
          </cell>
          <cell r="C30" t="str">
            <v>exclude</v>
          </cell>
          <cell r="D30" t="str">
            <v>Lev SDA/SDP</v>
          </cell>
          <cell r="H30" t="str">
            <v/>
          </cell>
          <cell r="J30" t="str">
            <v>exclude</v>
          </cell>
          <cell r="K30" t="str">
            <v>lev SDA/SDP</v>
          </cell>
          <cell r="M30" t="str">
            <v>MANDOM CORPORATION</v>
          </cell>
          <cell r="N30" t="str">
            <v>This company, formerly known as Tancho Corporation, is engaged in the production and wholesale distribution of cosmetics, perfumes, and quasi-drugs. It was founded and incorporated in 1927. The registered business office of the company is located in Osaka, Japan.The company provides a range of make-up and skin care products for various women’s beauty routines primarily under the Bifesta and Pixy brands; and hair styling, and facial and body care products for women under the Lúcido-L and Pucelle brands. It also offers hair dyes, perming agents, and hair styling products to hair salons; and cosmetics and other products, as well as professional skills and techniques to esthetic salons under the Formulate and Docteur Renaud brands. In addition, the company covers a range of hair styling, and face and body care products, including hair coloring, hair styling, facial care, deodorant, fragrance, and scalp care products for men’s daily grooming and personal styling under the Gatsby and Lúcido brands.The company is active and operational in Japan.</v>
          </cell>
          <cell r="O30" t="str">
            <v>Manufacturing; Wholesale</v>
          </cell>
          <cell r="P30" t="str">
            <v>www.mandom.co.jp</v>
          </cell>
          <cell r="R30" t="str">
            <v>Japan</v>
          </cell>
          <cell r="S30" t="str">
            <v>4917</v>
          </cell>
          <cell r="T30" t="str">
            <v>A+</v>
          </cell>
          <cell r="U30" t="str">
            <v>2844</v>
          </cell>
          <cell r="V30" t="str">
            <v>Engaged in the production and wholesale distribution of cosmetics, perfumes, and quasi-drugs</v>
          </cell>
          <cell r="W30" t="str">
            <v>The Company is a Japan-based company mainly engaged in the manufacture and sale of cosmetics.</v>
          </cell>
          <cell r="X30" t="str">
            <v>TANCHO CORPORATION</v>
          </cell>
          <cell r="Z30" t="str">
            <v>JP1120001090234</v>
          </cell>
          <cell r="AA30">
            <v>67047000000</v>
          </cell>
          <cell r="AB30">
            <v>57361000000</v>
          </cell>
          <cell r="AC30">
            <v>63310000000</v>
          </cell>
          <cell r="AD30">
            <v>81774000000</v>
          </cell>
          <cell r="AE30">
            <v>67047000000</v>
          </cell>
          <cell r="AF30">
            <v>57361000000</v>
          </cell>
          <cell r="AG30">
            <v>63310000000</v>
          </cell>
          <cell r="AH30">
            <v>81774000000</v>
          </cell>
          <cell r="AI30" t="str">
            <v>n.a.</v>
          </cell>
          <cell r="AJ30" t="str">
            <v>n.a.</v>
          </cell>
          <cell r="AK30" t="str">
            <v>n.a.</v>
          </cell>
          <cell r="AL30" t="str">
            <v>n.a.</v>
          </cell>
          <cell r="AM30">
            <v>67047000000</v>
          </cell>
          <cell r="AN30">
            <v>57361000000</v>
          </cell>
          <cell r="AO30">
            <v>63310000000</v>
          </cell>
          <cell r="AP30">
            <v>81774000000</v>
          </cell>
          <cell r="AQ30" t="str">
            <v>n.a.</v>
          </cell>
          <cell r="AR30" t="str">
            <v>n.a.</v>
          </cell>
          <cell r="AS30" t="str">
            <v>n.a.</v>
          </cell>
          <cell r="AT30" t="str">
            <v>n.a.</v>
          </cell>
          <cell r="AU30">
            <v>-34788000000</v>
          </cell>
          <cell r="AV30">
            <v>-30056000000</v>
          </cell>
          <cell r="AW30">
            <v>-30473000000</v>
          </cell>
          <cell r="AX30">
            <v>-36664000000</v>
          </cell>
          <cell r="AY30">
            <v>-1402000000</v>
          </cell>
          <cell r="AZ30">
            <v>-1399000000</v>
          </cell>
          <cell r="BA30">
            <v>-1480000000</v>
          </cell>
          <cell r="BB30">
            <v>-1855000000</v>
          </cell>
          <cell r="BC30">
            <v>-24205000000</v>
          </cell>
          <cell r="BD30">
            <v>-22652000000</v>
          </cell>
          <cell r="BE30">
            <v>-27116000000</v>
          </cell>
          <cell r="BF30">
            <v>-32690000000</v>
          </cell>
          <cell r="BG30">
            <v>6652000000</v>
          </cell>
          <cell r="BH30">
            <v>3254000000</v>
          </cell>
          <cell r="BI30">
            <v>4241000000</v>
          </cell>
          <cell r="BJ30">
            <v>10565000000</v>
          </cell>
          <cell r="BK30">
            <v>-5241000000</v>
          </cell>
          <cell r="BL30">
            <v>-5563000000</v>
          </cell>
          <cell r="BM30">
            <v>-5036000000</v>
          </cell>
          <cell r="BN30">
            <v>-4594000000</v>
          </cell>
          <cell r="BO30">
            <v>-4988000000</v>
          </cell>
          <cell r="BP30">
            <v>-5337000000</v>
          </cell>
          <cell r="BQ30">
            <v>-4820000000</v>
          </cell>
          <cell r="BR30">
            <v>-4369000000</v>
          </cell>
          <cell r="BS30">
            <v>-253000000</v>
          </cell>
          <cell r="BT30">
            <v>-226000000</v>
          </cell>
          <cell r="BU30">
            <v>-216000000</v>
          </cell>
          <cell r="BV30">
            <v>-225000000</v>
          </cell>
          <cell r="BW30">
            <v>958000000</v>
          </cell>
          <cell r="BX30">
            <v>-621000000</v>
          </cell>
          <cell r="BY30">
            <v>860000000</v>
          </cell>
          <cell r="BZ30">
            <v>4445000000</v>
          </cell>
          <cell r="CA30">
            <v>49573000000</v>
          </cell>
          <cell r="CB30">
            <v>42868000000</v>
          </cell>
          <cell r="CC30">
            <v>39775000000</v>
          </cell>
          <cell r="CD30">
            <v>44042000000</v>
          </cell>
          <cell r="CE30">
            <v>15527000000</v>
          </cell>
          <cell r="CF30">
            <v>12119000000</v>
          </cell>
          <cell r="CG30">
            <v>12330000000</v>
          </cell>
          <cell r="CH30">
            <v>15190000000</v>
          </cell>
          <cell r="CI30">
            <v>11190000000</v>
          </cell>
          <cell r="CJ30">
            <v>9205000000</v>
          </cell>
          <cell r="CK30">
            <v>9070000000</v>
          </cell>
          <cell r="CL30">
            <v>11893000000</v>
          </cell>
          <cell r="CM30">
            <v>1363000000</v>
          </cell>
          <cell r="CN30">
            <v>1526000000</v>
          </cell>
          <cell r="CO30">
            <v>2232000000</v>
          </cell>
          <cell r="CP30">
            <v>1280000000</v>
          </cell>
          <cell r="CQ30">
            <v>21493000000</v>
          </cell>
          <cell r="CR30">
            <v>20018000000</v>
          </cell>
          <cell r="CS30">
            <v>16143000000</v>
          </cell>
          <cell r="CT30">
            <v>15679000000</v>
          </cell>
          <cell r="CU30" t="str">
            <v>n.a.</v>
          </cell>
          <cell r="CV30" t="str">
            <v>n.a.</v>
          </cell>
          <cell r="CW30" t="str">
            <v>n.a.</v>
          </cell>
          <cell r="CX30" t="str">
            <v>n.a.</v>
          </cell>
          <cell r="CY30">
            <v>7882000000</v>
          </cell>
          <cell r="CZ30">
            <v>8092000000</v>
          </cell>
          <cell r="DA30">
            <v>7995000000</v>
          </cell>
          <cell r="DB30">
            <v>14975000000</v>
          </cell>
          <cell r="DC30">
            <v>91005000000</v>
          </cell>
          <cell r="DD30">
            <v>85767000000</v>
          </cell>
          <cell r="DE30">
            <v>87911000000</v>
          </cell>
          <cell r="DF30">
            <v>91660000000</v>
          </cell>
          <cell r="DG30">
            <v>67047000000</v>
          </cell>
          <cell r="DH30">
            <v>-34788000000</v>
          </cell>
          <cell r="DI30">
            <v>-25607000000</v>
          </cell>
          <cell r="DJ30">
            <v>-5241000000</v>
          </cell>
          <cell r="DK30">
            <v>1411000000</v>
          </cell>
          <cell r="DL30">
            <v>2.1044938625143599E-2</v>
          </cell>
          <cell r="DM30">
            <v>2.1497349015784002E-2</v>
          </cell>
          <cell r="DN30">
            <v>-1402000000</v>
          </cell>
          <cell r="DO30">
            <v>13823000000</v>
          </cell>
          <cell r="DP30">
            <v>7987000000</v>
          </cell>
          <cell r="DR30">
            <v>57361000000</v>
          </cell>
          <cell r="DS30">
            <v>-30056000000</v>
          </cell>
          <cell r="DT30">
            <v>-24051000000</v>
          </cell>
          <cell r="DU30">
            <v>-5563000000</v>
          </cell>
          <cell r="DV30">
            <v>-2309000000</v>
          </cell>
          <cell r="DW30">
            <v>-4.0253831000156899E-2</v>
          </cell>
          <cell r="DX30">
            <v>-3.8696162225574003E-2</v>
          </cell>
          <cell r="DY30">
            <v>-1399000000</v>
          </cell>
          <cell r="DZ30">
            <v>12224500000</v>
          </cell>
          <cell r="EA30">
            <v>8043500000</v>
          </cell>
          <cell r="EC30">
            <v>63310000000</v>
          </cell>
          <cell r="ED30">
            <v>-30473000000</v>
          </cell>
          <cell r="EE30">
            <v>-28596000000</v>
          </cell>
          <cell r="EF30">
            <v>-5036000000</v>
          </cell>
          <cell r="EG30">
            <v>-795000000</v>
          </cell>
          <cell r="EH30">
            <v>-1.25572579371347E-2</v>
          </cell>
          <cell r="EI30">
            <v>-1.2401528741907799E-2</v>
          </cell>
          <cell r="EJ30">
            <v>-1480000000</v>
          </cell>
          <cell r="EK30">
            <v>13760000000</v>
          </cell>
          <cell r="EL30">
            <v>11485000000</v>
          </cell>
          <cell r="EN30">
            <v>62572666666.666702</v>
          </cell>
          <cell r="EO30">
            <v>-31772333333.333302</v>
          </cell>
          <cell r="EP30">
            <v>-26084666666.666698</v>
          </cell>
          <cell r="EQ30">
            <v>-5280000000</v>
          </cell>
          <cell r="ER30">
            <v>-564333333.333336</v>
          </cell>
          <cell r="ES30">
            <v>-9.0188474200663098E-3</v>
          </cell>
          <cell r="ET30">
            <v>-8.9382348438053101E-3</v>
          </cell>
        </row>
        <row r="31">
          <cell r="B31" t="str">
            <v>DKS CO LTD</v>
          </cell>
          <cell r="C31" t="str">
            <v>exclude</v>
          </cell>
          <cell r="D31" t="str">
            <v>Lev SDA/SDP</v>
          </cell>
          <cell r="H31" t="str">
            <v/>
          </cell>
          <cell r="J31" t="str">
            <v>exclude</v>
          </cell>
          <cell r="K31" t="str">
            <v>lev SDA/SDP</v>
          </cell>
          <cell r="M31" t="str">
            <v>DKS CO LTD</v>
          </cell>
          <cell r="N31" t="str">
            <v>The company is engaged in the manufacture and sale of surface acting agents, amenity materials, urethane materials, functional materials and electronic device materials. Its registered office is located in Kyoto, Japan. It was formed in April 1909 by craftsmen Ohno Mohei, Nakamura Kakichiro, and Ono Mohei. The company has 15 subsidiaries and six associated companies. Its operations are organized in five business divisions: Surface Acting Agents, which provides nonionic agents, anion activators and cation agents; Amenity Material, which manufactures and sells vinyl polymeric materials and acrylic polymeric materials; Urethane Material, which offers polyester polyols, urethane prepolymers and urethane systems; Functional Material, which provides urethane resin, incombustible materials and amide lubricants; and Electronic Device Material, which provides conductive paste for electronic components, pellets for injection molding and ion conductive polymers. In addition, the company's surfactants are marketed under the Monogen and Pansofter brand names. These surfactant are used in various applications in the textile, food, construction, iron/steel, electronics, and energy industries. The company aims to be a prominent company with a strong presence in the 21st century.</v>
          </cell>
          <cell r="O31" t="str">
            <v>Manufacturing; Wholesale</v>
          </cell>
          <cell r="P31" t="str">
            <v>www.dks-web.co.jp</v>
          </cell>
          <cell r="R31" t="str">
            <v>Japan</v>
          </cell>
          <cell r="S31" t="str">
            <v>4461</v>
          </cell>
          <cell r="T31" t="str">
            <v>A+</v>
          </cell>
          <cell r="U31" t="str">
            <v>2841</v>
          </cell>
          <cell r="V31" t="str">
            <v>Engaged in the manufacture and sale of surface acting agents, amenity materials, urethane materials, functional materials and electronic device materials</v>
          </cell>
          <cell r="W31" t="str">
            <v>The company is engaged in the manufacture and sale of surfactants, functional materials and electronic device materials.</v>
          </cell>
          <cell r="X31" t="str">
            <v>DAI-ICHI KOGYO SEIYAKU CO LTD</v>
          </cell>
          <cell r="Z31" t="str">
            <v>JP7130001017809</v>
          </cell>
          <cell r="AA31">
            <v>65081000000</v>
          </cell>
          <cell r="AB31">
            <v>62672000000</v>
          </cell>
          <cell r="AC31">
            <v>59140000000</v>
          </cell>
          <cell r="AD31">
            <v>61456000000</v>
          </cell>
          <cell r="AE31">
            <v>65081000000</v>
          </cell>
          <cell r="AF31">
            <v>62672000000</v>
          </cell>
          <cell r="AG31">
            <v>59140000000</v>
          </cell>
          <cell r="AH31">
            <v>61456000000</v>
          </cell>
          <cell r="AI31" t="str">
            <v>n.a.</v>
          </cell>
          <cell r="AJ31" t="str">
            <v>n.a.</v>
          </cell>
          <cell r="AK31" t="str">
            <v>n.a.</v>
          </cell>
          <cell r="AL31" t="str">
            <v>n.a.</v>
          </cell>
          <cell r="AM31">
            <v>65081000000</v>
          </cell>
          <cell r="AN31">
            <v>62672000000</v>
          </cell>
          <cell r="AO31">
            <v>59140000000</v>
          </cell>
          <cell r="AP31">
            <v>61456000000</v>
          </cell>
          <cell r="AQ31" t="str">
            <v>n.a.</v>
          </cell>
          <cell r="AR31" t="str">
            <v>n.a.</v>
          </cell>
          <cell r="AS31" t="str">
            <v>n.a.</v>
          </cell>
          <cell r="AT31" t="str">
            <v>n.a.</v>
          </cell>
          <cell r="AU31">
            <v>-48951000000</v>
          </cell>
          <cell r="AV31">
            <v>-43790000000</v>
          </cell>
          <cell r="AW31">
            <v>-43961000000</v>
          </cell>
          <cell r="AX31">
            <v>-43542000000</v>
          </cell>
          <cell r="AY31">
            <v>-3236000000</v>
          </cell>
          <cell r="AZ31">
            <v>-2946000000</v>
          </cell>
          <cell r="BA31">
            <v>-2821000000</v>
          </cell>
          <cell r="BB31">
            <v>-2748000000</v>
          </cell>
          <cell r="BC31">
            <v>-8197000000</v>
          </cell>
          <cell r="BD31">
            <v>-7729000000</v>
          </cell>
          <cell r="BE31">
            <v>-7424000000</v>
          </cell>
          <cell r="BF31">
            <v>-8091000000</v>
          </cell>
          <cell r="BG31">
            <v>4697000000</v>
          </cell>
          <cell r="BH31">
            <v>8207000000</v>
          </cell>
          <cell r="BI31">
            <v>4934000000</v>
          </cell>
          <cell r="BJ31">
            <v>7075000000</v>
          </cell>
          <cell r="BK31">
            <v>-4294000000</v>
          </cell>
          <cell r="BL31">
            <v>-3580000000</v>
          </cell>
          <cell r="BM31">
            <v>-871000000</v>
          </cell>
          <cell r="BN31">
            <v>-2920000000</v>
          </cell>
          <cell r="BO31">
            <v>-4081000000</v>
          </cell>
          <cell r="BP31">
            <v>-3430000000</v>
          </cell>
          <cell r="BQ31">
            <v>-560000000</v>
          </cell>
          <cell r="BR31">
            <v>-2724000000</v>
          </cell>
          <cell r="BS31">
            <v>-213000000</v>
          </cell>
          <cell r="BT31">
            <v>-150000000</v>
          </cell>
          <cell r="BU31">
            <v>-311000000</v>
          </cell>
          <cell r="BV31">
            <v>-196000000</v>
          </cell>
          <cell r="BW31">
            <v>-407000000</v>
          </cell>
          <cell r="BX31">
            <v>2492000000</v>
          </cell>
          <cell r="BY31">
            <v>2563000000</v>
          </cell>
          <cell r="BZ31">
            <v>2014000000</v>
          </cell>
          <cell r="CA31">
            <v>45411000000</v>
          </cell>
          <cell r="CB31">
            <v>46534000000</v>
          </cell>
          <cell r="CC31">
            <v>43997000000</v>
          </cell>
          <cell r="CD31">
            <v>42595000000</v>
          </cell>
          <cell r="CE31">
            <v>16636000000</v>
          </cell>
          <cell r="CF31">
            <v>15508000000</v>
          </cell>
          <cell r="CG31">
            <v>13247000000</v>
          </cell>
          <cell r="CH31">
            <v>12432000000</v>
          </cell>
          <cell r="CI31">
            <v>16974000000</v>
          </cell>
          <cell r="CJ31">
            <v>15960000000</v>
          </cell>
          <cell r="CK31">
            <v>16853000000</v>
          </cell>
          <cell r="CL31">
            <v>17410000000</v>
          </cell>
          <cell r="CM31">
            <v>2304000000</v>
          </cell>
          <cell r="CN31">
            <v>2525000000</v>
          </cell>
          <cell r="CO31">
            <v>2024000000</v>
          </cell>
          <cell r="CP31">
            <v>2142000000</v>
          </cell>
          <cell r="CQ31">
            <v>9128000000</v>
          </cell>
          <cell r="CR31">
            <v>12224000000</v>
          </cell>
          <cell r="CS31">
            <v>11595000000</v>
          </cell>
          <cell r="CT31">
            <v>10336000000</v>
          </cell>
          <cell r="CU31" t="str">
            <v>n.a.</v>
          </cell>
          <cell r="CV31" t="str">
            <v>n.a.</v>
          </cell>
          <cell r="CW31" t="str">
            <v>n.a.</v>
          </cell>
          <cell r="CX31" t="str">
            <v>n.a.</v>
          </cell>
          <cell r="CY31">
            <v>6654000000</v>
          </cell>
          <cell r="CZ31">
            <v>5235000000</v>
          </cell>
          <cell r="DA31">
            <v>5309000000</v>
          </cell>
          <cell r="DB31">
            <v>7635000000</v>
          </cell>
          <cell r="DC31">
            <v>85025000000</v>
          </cell>
          <cell r="DD31">
            <v>86469000000</v>
          </cell>
          <cell r="DE31">
            <v>85033000000</v>
          </cell>
          <cell r="DF31">
            <v>81736000000</v>
          </cell>
          <cell r="DG31">
            <v>65081000000</v>
          </cell>
          <cell r="DH31">
            <v>-48951000000</v>
          </cell>
          <cell r="DI31">
            <v>-11433000000</v>
          </cell>
          <cell r="DJ31">
            <v>-4294000000</v>
          </cell>
          <cell r="DK31">
            <v>403000000</v>
          </cell>
          <cell r="DL31">
            <v>6.1922834621471702E-3</v>
          </cell>
          <cell r="DM31">
            <v>6.2308667553109204E-3</v>
          </cell>
          <cell r="DN31">
            <v>-3236000000</v>
          </cell>
          <cell r="DO31">
            <v>16072000000</v>
          </cell>
          <cell r="DP31">
            <v>5944500000</v>
          </cell>
          <cell r="DR31">
            <v>62672000000</v>
          </cell>
          <cell r="DS31">
            <v>-43790000000</v>
          </cell>
          <cell r="DT31">
            <v>-10675000000</v>
          </cell>
          <cell r="DU31">
            <v>-3580000000</v>
          </cell>
          <cell r="DV31">
            <v>4627000000</v>
          </cell>
          <cell r="DW31">
            <v>7.3828823078886899E-2</v>
          </cell>
          <cell r="DX31">
            <v>7.9714014988371107E-2</v>
          </cell>
          <cell r="DY31">
            <v>-2946000000</v>
          </cell>
          <cell r="DZ31">
            <v>14377500000</v>
          </cell>
          <cell r="EA31">
            <v>5272000000</v>
          </cell>
          <cell r="EC31">
            <v>59140000000</v>
          </cell>
          <cell r="ED31">
            <v>-43961000000</v>
          </cell>
          <cell r="EE31">
            <v>-10245000000</v>
          </cell>
          <cell r="EF31">
            <v>-871000000</v>
          </cell>
          <cell r="EG31">
            <v>4063000000</v>
          </cell>
          <cell r="EH31">
            <v>6.8701386540412607E-2</v>
          </cell>
          <cell r="EI31">
            <v>7.3769450042667495E-2</v>
          </cell>
          <cell r="EJ31">
            <v>-2821000000</v>
          </cell>
          <cell r="EK31">
            <v>12839500000</v>
          </cell>
          <cell r="EL31">
            <v>6472000000</v>
          </cell>
          <cell r="EN31">
            <v>62297666666.666702</v>
          </cell>
          <cell r="EO31">
            <v>-45567333333.333298</v>
          </cell>
          <cell r="EP31">
            <v>-10784333333.3333</v>
          </cell>
          <cell r="EQ31">
            <v>-2915000000</v>
          </cell>
          <cell r="ER31">
            <v>3030999999.99999</v>
          </cell>
          <cell r="ES31">
            <v>4.8653507622008201E-2</v>
          </cell>
          <cell r="ET31">
            <v>5.1141732283464497E-2</v>
          </cell>
        </row>
        <row r="32">
          <cell r="B32" t="str">
            <v>PROCTER &amp; GAMBLE HYGIENE AND HEALTH CARE LIMITED</v>
          </cell>
          <cell r="C32" t="str">
            <v>exclude</v>
          </cell>
          <cell r="D32" t="str">
            <v>Independence(A+, A, A-, U)</v>
          </cell>
          <cell r="H32" t="str">
            <v/>
          </cell>
          <cell r="J32" t="str">
            <v>exclude</v>
          </cell>
          <cell r="K32" t="str">
            <v>Independence(A+, A, A-, U)</v>
          </cell>
          <cell r="M32" t="str">
            <v>PROCTER &amp; GAMBLE HYGIENE AND HEALTH CARE LIMITED</v>
          </cell>
          <cell r="N32" t="str">
            <v>The company is primarily engaged in the manufacture and marketing of health and hygiene products. The company was formed in 1964 as Richardson Hindustan Limited which obtains an Industrial License to undertake manufacture of Menthol and de mentholised peppermint oil and VICKS range of products, such as Vicks VapoRub, Vicks Cough Drops and Vicks Inhaler. It has a registered office located in Mumbai, India.The company is one of India's fastest growing fast moving consumer goods companies that has in its portfolio P&amp;G's Billion dollar brands, such as Vicks and Whisper. Vicks is India's number one cough and cold brand. Its portfolio in India comprises Vicks Action500+, Vicks VapoRub, Vicks Cough Drops, Vicks Formula 44 Cough Syrup and Vicks Inhaler. Whisper is available in the following variants to meet the needs of different consumers: Whisper Maxi Regular, Whisper Maxi XL Wings, Whisper Ultra with Wings, Whisper Ultra XL Wings, and Whisper Choice.The company takes pride in being voted India's Best Employer 2003 in a survey of 200 companies conducted by International HR Consultancy Hewitt Associates in association with Business Today magazine. The company was voted India's Second Best Employer in previous editions of the survey in 2001 and 2002. The company's plants are located in Goa and Baddi in India. Procter &amp; Gamble is a global company that provides consumer products in the areas of pharmaceuticals, cleaning supplies, personal care, and pet supplies.</v>
          </cell>
          <cell r="O32" t="str">
            <v>Manufacturing</v>
          </cell>
          <cell r="P32" t="str">
            <v>www.pg.com/en_in</v>
          </cell>
          <cell r="R32" t="str">
            <v>India</v>
          </cell>
          <cell r="S32" t="str">
            <v>PGHH</v>
          </cell>
          <cell r="T32" t="str">
            <v>D</v>
          </cell>
          <cell r="U32" t="str">
            <v>2841</v>
          </cell>
          <cell r="V32" t="str">
            <v>Primarily engaged in the manufacture and marketing of health and hygiene products</v>
          </cell>
          <cell r="W32" t="str">
            <v>The Company is engaged in the manufacturing and selling of branded packaged fast moving consumer goods in the femcare and healthcare businesses.</v>
          </cell>
          <cell r="Y32" t="str">
            <v>VICKS</v>
          </cell>
          <cell r="Z32" t="str">
            <v>IN30850FI</v>
          </cell>
          <cell r="AA32">
            <v>39009200000</v>
          </cell>
          <cell r="AB32">
            <v>35741400000</v>
          </cell>
          <cell r="AC32">
            <v>30019900000</v>
          </cell>
          <cell r="AD32">
            <v>29503000000</v>
          </cell>
          <cell r="AE32">
            <v>37924500000</v>
          </cell>
          <cell r="AF32">
            <v>35702400000</v>
          </cell>
          <cell r="AG32">
            <v>29985400000</v>
          </cell>
          <cell r="AH32">
            <v>29424800000</v>
          </cell>
          <cell r="AI32" t="str">
            <v>n.a.</v>
          </cell>
          <cell r="AJ32" t="str">
            <v>n.a.</v>
          </cell>
          <cell r="AK32" t="str">
            <v>n.a.</v>
          </cell>
          <cell r="AL32" t="str">
            <v>n.a.</v>
          </cell>
          <cell r="AM32">
            <v>37924500000</v>
          </cell>
          <cell r="AN32">
            <v>35702400000</v>
          </cell>
          <cell r="AO32">
            <v>29985400000</v>
          </cell>
          <cell r="AP32">
            <v>29424800000</v>
          </cell>
          <cell r="AQ32">
            <v>1084700000</v>
          </cell>
          <cell r="AR32">
            <v>39000000</v>
          </cell>
          <cell r="AS32">
            <v>34500000</v>
          </cell>
          <cell r="AT32">
            <v>78200000</v>
          </cell>
          <cell r="AU32">
            <v>-15662600000</v>
          </cell>
          <cell r="AV32">
            <v>-11666100000</v>
          </cell>
          <cell r="AW32">
            <v>-11149400000</v>
          </cell>
          <cell r="AX32">
            <v>-12445400000</v>
          </cell>
          <cell r="AY32">
            <v>0</v>
          </cell>
          <cell r="AZ32">
            <v>0</v>
          </cell>
          <cell r="BA32">
            <v>0</v>
          </cell>
          <cell r="BB32">
            <v>0</v>
          </cell>
          <cell r="BC32">
            <v>-14960000000</v>
          </cell>
          <cell r="BD32">
            <v>-15126700000</v>
          </cell>
          <cell r="BE32">
            <v>-12560500000</v>
          </cell>
          <cell r="BF32">
            <v>-10885700000</v>
          </cell>
          <cell r="BG32">
            <v>8386600000</v>
          </cell>
          <cell r="BH32">
            <v>8948600000</v>
          </cell>
          <cell r="BI32">
            <v>6310000000</v>
          </cell>
          <cell r="BJ32">
            <v>6171900000</v>
          </cell>
          <cell r="BK32">
            <v>-528800000</v>
          </cell>
          <cell r="BL32">
            <v>-476600000</v>
          </cell>
          <cell r="BM32">
            <v>-478800000</v>
          </cell>
          <cell r="BN32">
            <v>-497800000</v>
          </cell>
          <cell r="BO32">
            <v>-528800000</v>
          </cell>
          <cell r="BP32">
            <v>-476600000</v>
          </cell>
          <cell r="BQ32">
            <v>-478800000</v>
          </cell>
          <cell r="BR32">
            <v>-497800000</v>
          </cell>
          <cell r="BS32">
            <v>0</v>
          </cell>
          <cell r="BT32">
            <v>0</v>
          </cell>
          <cell r="BU32">
            <v>0</v>
          </cell>
          <cell r="BV32">
            <v>0</v>
          </cell>
          <cell r="BW32">
            <v>5757500000</v>
          </cell>
          <cell r="BX32">
            <v>6517900000</v>
          </cell>
          <cell r="BY32">
            <v>4330800000</v>
          </cell>
          <cell r="BZ32">
            <v>4191300000</v>
          </cell>
          <cell r="CA32">
            <v>11350900000</v>
          </cell>
          <cell r="CB32">
            <v>11173500000</v>
          </cell>
          <cell r="CC32">
            <v>13283900000</v>
          </cell>
          <cell r="CD32">
            <v>10900900000</v>
          </cell>
          <cell r="CE32">
            <v>2340200000</v>
          </cell>
          <cell r="CF32">
            <v>2493000000</v>
          </cell>
          <cell r="CG32">
            <v>2050500000</v>
          </cell>
          <cell r="CH32">
            <v>2034200000</v>
          </cell>
          <cell r="CI32">
            <v>1920800000</v>
          </cell>
          <cell r="CJ32">
            <v>1423500000</v>
          </cell>
          <cell r="CK32">
            <v>1663400000</v>
          </cell>
          <cell r="CL32">
            <v>1813700000</v>
          </cell>
          <cell r="CM32">
            <v>621100000</v>
          </cell>
          <cell r="CN32">
            <v>578400000</v>
          </cell>
          <cell r="CO32">
            <v>485100000</v>
          </cell>
          <cell r="CP32">
            <v>1540100000</v>
          </cell>
          <cell r="CQ32">
            <v>6392500000</v>
          </cell>
          <cell r="CR32">
            <v>6602400000</v>
          </cell>
          <cell r="CS32">
            <v>9025000000</v>
          </cell>
          <cell r="CT32">
            <v>5404500000</v>
          </cell>
          <cell r="CU32" t="str">
            <v>n.a.</v>
          </cell>
          <cell r="CV32" t="str">
            <v>n.a.</v>
          </cell>
          <cell r="CW32" t="str">
            <v>n.a.</v>
          </cell>
          <cell r="CX32" t="str">
            <v>n.a.</v>
          </cell>
          <cell r="CY32">
            <v>994700000</v>
          </cell>
          <cell r="CZ32">
            <v>904200000</v>
          </cell>
          <cell r="DA32">
            <v>714300000</v>
          </cell>
          <cell r="DB32">
            <v>613700000</v>
          </cell>
          <cell r="DC32">
            <v>16825700000</v>
          </cell>
          <cell r="DD32">
            <v>16327100000</v>
          </cell>
          <cell r="DE32">
            <v>18284000000</v>
          </cell>
          <cell r="DF32">
            <v>16170400000</v>
          </cell>
          <cell r="DG32">
            <v>37924500000</v>
          </cell>
          <cell r="DH32">
            <v>-15662600000</v>
          </cell>
          <cell r="DI32">
            <v>-14960000000</v>
          </cell>
          <cell r="DJ32">
            <v>-528800000</v>
          </cell>
          <cell r="DK32">
            <v>6773100000</v>
          </cell>
          <cell r="DL32">
            <v>0.17859431238381501</v>
          </cell>
          <cell r="DM32">
            <v>0.217425220054315</v>
          </cell>
          <cell r="DN32">
            <v>0</v>
          </cell>
          <cell r="DO32">
            <v>2416600000</v>
          </cell>
          <cell r="DP32">
            <v>949450000</v>
          </cell>
          <cell r="DR32">
            <v>35702400000</v>
          </cell>
          <cell r="DS32">
            <v>-11666100000</v>
          </cell>
          <cell r="DT32">
            <v>-15126700000</v>
          </cell>
          <cell r="DU32">
            <v>-476600000</v>
          </cell>
          <cell r="DV32">
            <v>8433000000</v>
          </cell>
          <cell r="DW32">
            <v>0.236202608228018</v>
          </cell>
          <cell r="DX32">
            <v>0.30924772822284302</v>
          </cell>
          <cell r="DY32">
            <v>0</v>
          </cell>
          <cell r="DZ32">
            <v>2271750000</v>
          </cell>
          <cell r="EA32">
            <v>809250000</v>
          </cell>
          <cell r="EC32">
            <v>29985400000</v>
          </cell>
          <cell r="ED32">
            <v>-11149400000</v>
          </cell>
          <cell r="EE32">
            <v>-12560500000</v>
          </cell>
          <cell r="EF32">
            <v>-478800000</v>
          </cell>
          <cell r="EG32">
            <v>5796700000</v>
          </cell>
          <cell r="EH32">
            <v>0.193317414475045</v>
          </cell>
          <cell r="EI32">
            <v>0.23964495818295301</v>
          </cell>
          <cell r="EJ32">
            <v>0</v>
          </cell>
          <cell r="EK32">
            <v>2042350000</v>
          </cell>
          <cell r="EL32">
            <v>664000000</v>
          </cell>
          <cell r="EN32">
            <v>34537433333.333298</v>
          </cell>
          <cell r="EO32">
            <v>-12826033333.3333</v>
          </cell>
          <cell r="EP32">
            <v>-14215733333.3333</v>
          </cell>
          <cell r="EQ32">
            <v>-494733333.33333302</v>
          </cell>
          <cell r="ER32">
            <v>7000933333.3333302</v>
          </cell>
          <cell r="ES32">
            <v>0.202705663323756</v>
          </cell>
          <cell r="ET32">
            <v>0.25424194553895102</v>
          </cell>
        </row>
        <row r="33">
          <cell r="B33" t="str">
            <v>COSMAX BTI INC.</v>
          </cell>
          <cell r="C33" t="str">
            <v>pending</v>
          </cell>
          <cell r="H33">
            <v>9.70639371700531E-3</v>
          </cell>
          <cell r="J33" t="str">
            <v>exclude</v>
          </cell>
          <cell r="K33" t="str">
            <v>Independence(A+, A, A-, U)</v>
          </cell>
          <cell r="M33" t="str">
            <v>COSMAX BTI INC.</v>
          </cell>
          <cell r="N33" t="str">
            <v>The company, founded in 1992, is a Korean-based firm engaged in the manufacture of cosmetic products. It conducts business from its registered head office which is strategically located in Seoul, Republic of Korea and has overseas company in China.The company has factory located in HwaSung Kyunggi Province, Korea. It produces a wide range of products such as skin care products (lotion, emulsion, cream and mask), makeup products (foundation, concealer, powder, eye shadow and lipstick), hair care products (hair wax, hair gel, hair styling and shaving foam), and special function products (sun-care, whitening and anti-wrinkle). Its customers are Amorepacific Corp., TheFaceShop, Forever 21, Johnson &amp; Johnson, Cosway, L'Oreal and Maybelline. The company is recognized as a leader of cosmetic market. It has created partnerships with international cosmetic companies, including Intercos in Italy, ITC in Japan and CLC in France.</v>
          </cell>
          <cell r="O33" t="str">
            <v>Manufacturing</v>
          </cell>
          <cell r="P33" t="str">
            <v>www.cosmax.com</v>
          </cell>
          <cell r="R33" t="str">
            <v>Republic of Korea</v>
          </cell>
          <cell r="S33" t="str">
            <v>044820</v>
          </cell>
          <cell r="T33" t="str">
            <v>A+</v>
          </cell>
          <cell r="U33" t="str">
            <v>2844</v>
          </cell>
          <cell r="V33" t="str">
            <v>Engaged in the manufacture of cosmetic products</v>
          </cell>
          <cell r="W33" t="str">
            <v>- Cosmetics was established in 1992 for sales purposes. In March 2014, the new company Cosmax and Cosmax BTIA, a subsidiary of Cosmax, were transferred to the holding company system.In June 2014, NUTRI Biotech, a manufacturer of health food products, was added as a subsidiary, creating a synergy with Cosmax Bio, which operates the health functional food business.- The Company has 14 subsidiaries, including the two companies mentioned above, including Three Apple Cosmetics, Cosmax Biotech, and Twin Pharma, and merged with Cycan iTiti in December 2017.</v>
          </cell>
          <cell r="X33" t="str">
            <v>COSMAX INC.</v>
          </cell>
          <cell r="Z33" t="str">
            <v>KR1348110018641</v>
          </cell>
          <cell r="AA33">
            <v>617403775000</v>
          </cell>
          <cell r="AB33">
            <v>575998202000</v>
          </cell>
          <cell r="AC33">
            <v>525904306000</v>
          </cell>
          <cell r="AD33">
            <v>468352868000</v>
          </cell>
          <cell r="AE33">
            <v>617403775000</v>
          </cell>
          <cell r="AF33">
            <v>575998202000</v>
          </cell>
          <cell r="AG33">
            <v>525904306000</v>
          </cell>
          <cell r="AH33">
            <v>468352868000</v>
          </cell>
          <cell r="AI33" t="str">
            <v>n.a.</v>
          </cell>
          <cell r="AJ33" t="str">
            <v>n.a.</v>
          </cell>
          <cell r="AK33" t="str">
            <v>n.a.</v>
          </cell>
          <cell r="AL33" t="str">
            <v>n.a.</v>
          </cell>
          <cell r="AM33">
            <v>617403775000</v>
          </cell>
          <cell r="AN33">
            <v>575998202000</v>
          </cell>
          <cell r="AO33">
            <v>525904306000</v>
          </cell>
          <cell r="AP33">
            <v>468352868000</v>
          </cell>
          <cell r="AQ33" t="str">
            <v>n.a.</v>
          </cell>
          <cell r="AR33" t="str">
            <v>n.a.</v>
          </cell>
          <cell r="AS33" t="str">
            <v>n.a.</v>
          </cell>
          <cell r="AT33" t="str">
            <v>n.a.</v>
          </cell>
          <cell r="AU33">
            <v>-529233049000</v>
          </cell>
          <cell r="AV33">
            <v>-484039952000</v>
          </cell>
          <cell r="AW33">
            <v>-458486816000</v>
          </cell>
          <cell r="AX33">
            <v>-406430033000</v>
          </cell>
          <cell r="AY33">
            <v>-4307500000</v>
          </cell>
          <cell r="AZ33">
            <v>-4211074000</v>
          </cell>
          <cell r="BA33">
            <v>-2922223000</v>
          </cell>
          <cell r="BB33">
            <v>-2343658000</v>
          </cell>
          <cell r="BC33">
            <v>-74993708000</v>
          </cell>
          <cell r="BD33">
            <v>-69505668000</v>
          </cell>
          <cell r="BE33">
            <v>-57057896000</v>
          </cell>
          <cell r="BF33">
            <v>-60235500000</v>
          </cell>
          <cell r="BG33">
            <v>8869518000</v>
          </cell>
          <cell r="BH33">
            <v>18241508000</v>
          </cell>
          <cell r="BI33">
            <v>7437371000</v>
          </cell>
          <cell r="BJ33">
            <v>-656323000</v>
          </cell>
          <cell r="BK33">
            <v>-5469224000</v>
          </cell>
          <cell r="BL33">
            <v>-6319902000</v>
          </cell>
          <cell r="BM33">
            <v>-6231433000</v>
          </cell>
          <cell r="BN33">
            <v>-6676004000</v>
          </cell>
          <cell r="BO33">
            <v>-3720073000</v>
          </cell>
          <cell r="BP33">
            <v>-3882400000</v>
          </cell>
          <cell r="BQ33">
            <v>-3546702000</v>
          </cell>
          <cell r="BR33">
            <v>-4194352000</v>
          </cell>
          <cell r="BS33">
            <v>-1749151000</v>
          </cell>
          <cell r="BT33">
            <v>-2437502000</v>
          </cell>
          <cell r="BU33">
            <v>-2684731000</v>
          </cell>
          <cell r="BV33">
            <v>-2481652000</v>
          </cell>
          <cell r="BW33">
            <v>-6527926000</v>
          </cell>
          <cell r="BX33">
            <v>14133653000</v>
          </cell>
          <cell r="BY33">
            <v>-6438250000</v>
          </cell>
          <cell r="BZ33">
            <v>399022000</v>
          </cell>
          <cell r="CA33">
            <v>300281653000</v>
          </cell>
          <cell r="CB33">
            <v>273991520000</v>
          </cell>
          <cell r="CC33">
            <v>246576258000</v>
          </cell>
          <cell r="CD33">
            <v>235347998000</v>
          </cell>
          <cell r="CE33">
            <v>67728870000</v>
          </cell>
          <cell r="CF33">
            <v>75757310000</v>
          </cell>
          <cell r="CG33">
            <v>56514959000</v>
          </cell>
          <cell r="CH33">
            <v>77770871000</v>
          </cell>
          <cell r="CI33">
            <v>96627221000</v>
          </cell>
          <cell r="CJ33">
            <v>101719828000</v>
          </cell>
          <cell r="CK33">
            <v>81320645000</v>
          </cell>
          <cell r="CL33">
            <v>89153057000</v>
          </cell>
          <cell r="CM33">
            <v>31009711000</v>
          </cell>
          <cell r="CN33">
            <v>562852000</v>
          </cell>
          <cell r="CO33">
            <v>1602925000</v>
          </cell>
          <cell r="CP33">
            <v>1019278000</v>
          </cell>
          <cell r="CQ33">
            <v>95464539000</v>
          </cell>
          <cell r="CR33">
            <v>87779205000</v>
          </cell>
          <cell r="CS33">
            <v>100254871000</v>
          </cell>
          <cell r="CT33">
            <v>59966258000</v>
          </cell>
          <cell r="CU33" t="str">
            <v>n.a.</v>
          </cell>
          <cell r="CV33" t="str">
            <v>n.a.</v>
          </cell>
          <cell r="CW33" t="str">
            <v>n.a.</v>
          </cell>
          <cell r="CX33" t="str">
            <v>n.a.</v>
          </cell>
          <cell r="CY33">
            <v>6542921000</v>
          </cell>
          <cell r="CZ33">
            <v>3320945000</v>
          </cell>
          <cell r="DA33">
            <v>5476499000</v>
          </cell>
          <cell r="DB33">
            <v>13388492000</v>
          </cell>
          <cell r="DC33">
            <v>936136657000</v>
          </cell>
          <cell r="DD33">
            <v>954664614000</v>
          </cell>
          <cell r="DE33">
            <v>881564731000</v>
          </cell>
          <cell r="DF33">
            <v>892716238000</v>
          </cell>
          <cell r="DG33">
            <v>617403775000</v>
          </cell>
          <cell r="DH33">
            <v>-529233049000</v>
          </cell>
          <cell r="DI33">
            <v>-79301208000</v>
          </cell>
          <cell r="DJ33">
            <v>-5469224000</v>
          </cell>
          <cell r="DK33">
            <v>3400294000</v>
          </cell>
          <cell r="DL33">
            <v>5.5074072068963297E-3</v>
          </cell>
          <cell r="DM33">
            <v>5.5379067142454896E-3</v>
          </cell>
          <cell r="DN33">
            <v>-4307500000</v>
          </cell>
          <cell r="DO33">
            <v>71743090000</v>
          </cell>
          <cell r="DP33">
            <v>4931933000</v>
          </cell>
          <cell r="DR33">
            <v>575998202000</v>
          </cell>
          <cell r="DS33">
            <v>-484039952000</v>
          </cell>
          <cell r="DT33">
            <v>-73716742000</v>
          </cell>
          <cell r="DU33">
            <v>-6319902000</v>
          </cell>
          <cell r="DV33">
            <v>11921606000</v>
          </cell>
          <cell r="DW33">
            <v>2.06972972460772E-2</v>
          </cell>
          <cell r="DX33">
            <v>2.1134729014709901E-2</v>
          </cell>
          <cell r="DY33">
            <v>-4211074000</v>
          </cell>
          <cell r="DZ33">
            <v>66136134500</v>
          </cell>
          <cell r="EA33">
            <v>4398722000</v>
          </cell>
          <cell r="EC33">
            <v>525904306000</v>
          </cell>
          <cell r="ED33">
            <v>-458486816000</v>
          </cell>
          <cell r="EE33">
            <v>-59980119000</v>
          </cell>
          <cell r="EF33">
            <v>-6231433000</v>
          </cell>
          <cell r="EG33">
            <v>1205938000</v>
          </cell>
          <cell r="EH33">
            <v>2.2930749686616899E-3</v>
          </cell>
          <cell r="EI33">
            <v>2.2983452466160499E-3</v>
          </cell>
          <cell r="EJ33">
            <v>-2922223000</v>
          </cell>
          <cell r="EK33">
            <v>67142915000</v>
          </cell>
          <cell r="EL33">
            <v>9432495500</v>
          </cell>
          <cell r="EN33">
            <v>573102094333.33301</v>
          </cell>
          <cell r="EO33">
            <v>-490586605666.66699</v>
          </cell>
          <cell r="EP33">
            <v>-70999356333.333298</v>
          </cell>
          <cell r="EQ33">
            <v>-6006853000</v>
          </cell>
          <cell r="ER33">
            <v>5509279333.3333597</v>
          </cell>
          <cell r="ES33">
            <v>9.6130853259960292E-3</v>
          </cell>
          <cell r="ET33">
            <v>9.70639371700531E-3</v>
          </cell>
        </row>
        <row r="34">
          <cell r="B34" t="str">
            <v>AEKYUNG INDUSTRIAL CO.,LTD.</v>
          </cell>
          <cell r="C34" t="str">
            <v>exclude</v>
          </cell>
          <cell r="D34" t="str">
            <v>Independence(A+, A, A-, U)</v>
          </cell>
          <cell r="H34" t="str">
            <v/>
          </cell>
          <cell r="J34" t="str">
            <v>exclude</v>
          </cell>
          <cell r="K34" t="str">
            <v>Independence(A+, A, A-, U)</v>
          </cell>
          <cell r="M34" t="str">
            <v>AEKYUNG INDUSTRIAL CO.,LTD.</v>
          </cell>
          <cell r="N34" t="str">
            <v>This company is primarily engaged in the manufacture and export of household and personal care consumer products to its consumers in South Korea. Its products include toothpaste, detergent, shampoo, soap and cosmetics. It was incorporated in April 1985. The company has a registered office located in Seoul, South Korea.The company introduced the nation's first facial soap 'Mihang Soap', longest-running dishwasher liquid 'Trio', and first super-concentrated laundry detergent 'Perfect' to the domestic market. In addition to various detergents, a wide range of personal care products and household necessities are being produced to help realize its objective of providing excellent care for people.The company is a subsidiary of the Aekyung Group, a conglomerate of 16 companies ranging from cosmetics to petrochemical producers. The Aekyung Group has an international presence in the United States, China, Japan and Europe.</v>
          </cell>
          <cell r="O34" t="str">
            <v>Manufacturing</v>
          </cell>
          <cell r="P34" t="str">
            <v>www.aekyung.co.kr</v>
          </cell>
          <cell r="R34" t="str">
            <v>Republic of Korea</v>
          </cell>
          <cell r="S34" t="str">
            <v>018250</v>
          </cell>
          <cell r="T34" t="str">
            <v>B+</v>
          </cell>
          <cell r="U34" t="str">
            <v>2841</v>
          </cell>
          <cell r="V34" t="str">
            <v>Primarily engaged in the manufacture and export of household and personal care consumer products to its consumers in South Korea</v>
          </cell>
          <cell r="W34" t="str">
            <v>- Established in April 1985, the company manufactures and sells household goods such as toothpaste, soap and other detergents, cosmetics and personal care products and is listed on the securities market in March 2018.- Company maintain a high brand awareness of cosmetics brands such as Spark, Kerasys, 2080 toothpaste and trio, as well as cosmetics brands such as Aging Teenness, Luna and Point.- In September 2017, Company established Akay (Shanghai) Trading Co., Ltd., a distribution and distribution company for household goods and cosmetics, in Shanghai, China.</v>
          </cell>
          <cell r="Z34" t="str">
            <v>KR1101110398275</v>
          </cell>
          <cell r="AA34">
            <v>610410753000</v>
          </cell>
          <cell r="AB34">
            <v>573923185000</v>
          </cell>
          <cell r="AC34">
            <v>588135647000</v>
          </cell>
          <cell r="AD34">
            <v>701336794000</v>
          </cell>
          <cell r="AE34">
            <v>610410753000</v>
          </cell>
          <cell r="AF34">
            <v>573923185000</v>
          </cell>
          <cell r="AG34">
            <v>588135647000</v>
          </cell>
          <cell r="AH34">
            <v>701336794000</v>
          </cell>
          <cell r="AI34" t="str">
            <v>n.a.</v>
          </cell>
          <cell r="AJ34" t="str">
            <v>n.a.</v>
          </cell>
          <cell r="AK34" t="str">
            <v>n.a.</v>
          </cell>
          <cell r="AL34" t="str">
            <v>n.a.</v>
          </cell>
          <cell r="AM34">
            <v>610410753000</v>
          </cell>
          <cell r="AN34">
            <v>573923185000</v>
          </cell>
          <cell r="AO34">
            <v>588135647000</v>
          </cell>
          <cell r="AP34">
            <v>701336794000</v>
          </cell>
          <cell r="AQ34" t="str">
            <v>n.a.</v>
          </cell>
          <cell r="AR34" t="str">
            <v>n.a.</v>
          </cell>
          <cell r="AS34" t="str">
            <v>n.a.</v>
          </cell>
          <cell r="AT34" t="str">
            <v>n.a.</v>
          </cell>
          <cell r="AU34">
            <v>-341994114000</v>
          </cell>
          <cell r="AV34">
            <v>-331238073000</v>
          </cell>
          <cell r="AW34">
            <v>-330249163000</v>
          </cell>
          <cell r="AX34">
            <v>-361453199000</v>
          </cell>
          <cell r="AY34">
            <v>-3592298000</v>
          </cell>
          <cell r="AZ34">
            <v>-3662685000</v>
          </cell>
          <cell r="BA34">
            <v>-3218839000</v>
          </cell>
          <cell r="BB34">
            <v>-3687237000</v>
          </cell>
          <cell r="BC34">
            <v>-218390078000</v>
          </cell>
          <cell r="BD34">
            <v>-207269874000</v>
          </cell>
          <cell r="BE34">
            <v>-225562174000</v>
          </cell>
          <cell r="BF34">
            <v>-269384088000</v>
          </cell>
          <cell r="BG34">
            <v>46434263000</v>
          </cell>
          <cell r="BH34">
            <v>31752553000</v>
          </cell>
          <cell r="BI34">
            <v>29105471000</v>
          </cell>
          <cell r="BJ34">
            <v>66812270000</v>
          </cell>
          <cell r="BK34">
            <v>-7395469000</v>
          </cell>
          <cell r="BL34">
            <v>-7367545000</v>
          </cell>
          <cell r="BM34">
            <v>-6735215000</v>
          </cell>
          <cell r="BN34">
            <v>-6210898000</v>
          </cell>
          <cell r="BO34">
            <v>-5438966000</v>
          </cell>
          <cell r="BP34">
            <v>-5601095000</v>
          </cell>
          <cell r="BQ34">
            <v>-5250053000</v>
          </cell>
          <cell r="BR34">
            <v>-4979085000</v>
          </cell>
          <cell r="BS34">
            <v>-1956503000</v>
          </cell>
          <cell r="BT34">
            <v>-1766450000</v>
          </cell>
          <cell r="BU34">
            <v>-1485162000</v>
          </cell>
          <cell r="BV34">
            <v>-1231813000</v>
          </cell>
          <cell r="BW34">
            <v>16556834000</v>
          </cell>
          <cell r="BX34">
            <v>15725463000</v>
          </cell>
          <cell r="BY34">
            <v>11460209000</v>
          </cell>
          <cell r="BZ34">
            <v>41643077000</v>
          </cell>
          <cell r="CA34">
            <v>275603609000</v>
          </cell>
          <cell r="CB34">
            <v>261862419000</v>
          </cell>
          <cell r="CC34">
            <v>246412086000</v>
          </cell>
          <cell r="CD34">
            <v>293868997000</v>
          </cell>
          <cell r="CE34">
            <v>79017254000</v>
          </cell>
          <cell r="CF34">
            <v>80007310000</v>
          </cell>
          <cell r="CG34">
            <v>80370537000</v>
          </cell>
          <cell r="CH34">
            <v>87242125000</v>
          </cell>
          <cell r="CI34">
            <v>53335679000</v>
          </cell>
          <cell r="CJ34">
            <v>56973576000</v>
          </cell>
          <cell r="CK34">
            <v>61699626000</v>
          </cell>
          <cell r="CL34">
            <v>67076611000</v>
          </cell>
          <cell r="CM34">
            <v>19558549000</v>
          </cell>
          <cell r="CN34">
            <v>15597743000</v>
          </cell>
          <cell r="CO34">
            <v>259376000</v>
          </cell>
          <cell r="CP34">
            <v>316931000</v>
          </cell>
          <cell r="CQ34">
            <v>121107869000</v>
          </cell>
          <cell r="CR34">
            <v>106421009000</v>
          </cell>
          <cell r="CS34">
            <v>101637389000</v>
          </cell>
          <cell r="CT34">
            <v>137103252000</v>
          </cell>
          <cell r="CU34">
            <v>664681000</v>
          </cell>
          <cell r="CV34">
            <v>368956000</v>
          </cell>
          <cell r="CW34">
            <v>1128456000</v>
          </cell>
          <cell r="CX34">
            <v>4015075000</v>
          </cell>
          <cell r="CY34">
            <v>19949346000</v>
          </cell>
          <cell r="CZ34">
            <v>4955528000</v>
          </cell>
          <cell r="DA34">
            <v>14644290000</v>
          </cell>
          <cell r="DB34">
            <v>11657698000</v>
          </cell>
          <cell r="DC34">
            <v>482639615000</v>
          </cell>
          <cell r="DD34">
            <v>431492645000</v>
          </cell>
          <cell r="DE34">
            <v>434466866000</v>
          </cell>
          <cell r="DF34">
            <v>451543474000</v>
          </cell>
          <cell r="DG34">
            <v>610410753000</v>
          </cell>
          <cell r="DH34">
            <v>-341994114000</v>
          </cell>
          <cell r="DI34">
            <v>-221982376000</v>
          </cell>
          <cell r="DJ34">
            <v>-7395469000</v>
          </cell>
          <cell r="DK34">
            <v>39038794000</v>
          </cell>
          <cell r="DL34">
            <v>6.3954957883908703E-2</v>
          </cell>
          <cell r="DM34">
            <v>6.8324658543490097E-2</v>
          </cell>
          <cell r="DN34">
            <v>-3592298000</v>
          </cell>
          <cell r="DO34">
            <v>79512282000</v>
          </cell>
          <cell r="DP34">
            <v>12452437000</v>
          </cell>
          <cell r="DR34">
            <v>573923185000</v>
          </cell>
          <cell r="DS34">
            <v>-331238073000</v>
          </cell>
          <cell r="DT34">
            <v>-210932559000</v>
          </cell>
          <cell r="DU34">
            <v>-7367545000</v>
          </cell>
          <cell r="DV34">
            <v>24385008000</v>
          </cell>
          <cell r="DW34">
            <v>4.24882782876249E-2</v>
          </cell>
          <cell r="DX34">
            <v>4.4373637757290897E-2</v>
          </cell>
          <cell r="DY34">
            <v>-3662685000</v>
          </cell>
          <cell r="DZ34">
            <v>80188923500</v>
          </cell>
          <cell r="EA34">
            <v>9799909000</v>
          </cell>
          <cell r="EC34">
            <v>588135647000</v>
          </cell>
          <cell r="ED34">
            <v>-330249163000</v>
          </cell>
          <cell r="EE34">
            <v>-228781013000</v>
          </cell>
          <cell r="EF34">
            <v>-6735215000</v>
          </cell>
          <cell r="EG34">
            <v>22370256000</v>
          </cell>
          <cell r="EH34">
            <v>3.80358784816184E-2</v>
          </cell>
          <cell r="EI34">
            <v>3.9539809885613897E-2</v>
          </cell>
          <cell r="EJ34">
            <v>-3218839000</v>
          </cell>
          <cell r="EK34">
            <v>83806331000</v>
          </cell>
          <cell r="EL34">
            <v>13150994000</v>
          </cell>
          <cell r="EN34">
            <v>590823195000</v>
          </cell>
          <cell r="EO34">
            <v>-334493783333.33301</v>
          </cell>
          <cell r="EP34">
            <v>-220565316000</v>
          </cell>
          <cell r="EQ34">
            <v>-7166076333.3333302</v>
          </cell>
          <cell r="ER34">
            <v>28598019333.333401</v>
          </cell>
          <cell r="ES34">
            <v>4.84036841737965E-2</v>
          </cell>
          <cell r="ET34">
            <v>5.0865775086330597E-2</v>
          </cell>
        </row>
        <row r="35">
          <cell r="B35" t="str">
            <v>NOEVIR HOLDINGS CO LTD</v>
          </cell>
          <cell r="C35" t="str">
            <v>exclude</v>
          </cell>
          <cell r="D35" t="str">
            <v>Independence(A+, A, A-, U)</v>
          </cell>
          <cell r="H35" t="str">
            <v/>
          </cell>
          <cell r="J35" t="str">
            <v>exclude</v>
          </cell>
          <cell r="K35" t="str">
            <v>Independence(A+, A, A-, U)</v>
          </cell>
          <cell r="M35" t="str">
            <v>NOEVIR HOLDINGS CO LTD</v>
          </cell>
          <cell r="N35" t="str">
            <v>This company operates as a holding company with a diversified business activities in Japan and internationally. Established in 2011, the company has its registered headquarters located in Kobe, Japan.The company's main subsidiary is the Japan-based Noevir Co Ltd., which consists of 14 companies with five domestic subsidiaries and eight international subsidiaries. Noevir Co operates in four business segments. The Cosmetics segment manufactures and sells cosmetics and toiletries, as well as sells cosmetic sundries. The Pharmaceutical Products segment manufactures and sells pharmaceutical products. The Food Products segment manufactures and sells nutritional supplementary food. The Others segment is engaged in the purchase and sale of apparel, aircraft and ships, as well as the unscheduled passenger air transportation business.</v>
          </cell>
          <cell r="O35" t="str">
            <v>Services</v>
          </cell>
          <cell r="P35" t="str">
            <v>www.noevirholdings.co.jp</v>
          </cell>
          <cell r="R35" t="str">
            <v>Japan</v>
          </cell>
          <cell r="S35" t="str">
            <v>4928</v>
          </cell>
          <cell r="T35" t="str">
            <v>B+</v>
          </cell>
          <cell r="U35" t="str">
            <v>2844</v>
          </cell>
          <cell r="V35" t="str">
            <v>Operates as a holding company with a diversified business activities</v>
          </cell>
          <cell r="W35" t="str">
            <v>The Company is a Japan-based company engaged in the manufacture and sale of cosmetics, toiletries, pharmaceuticals and foods, as well as the purchase and sale of cosmetic products.</v>
          </cell>
          <cell r="Z35" t="str">
            <v>JP3140001034179</v>
          </cell>
          <cell r="AA35">
            <v>61143000000</v>
          </cell>
          <cell r="AB35">
            <v>51272000000</v>
          </cell>
          <cell r="AC35">
            <v>51841000000</v>
          </cell>
          <cell r="AD35">
            <v>59252000000</v>
          </cell>
          <cell r="AE35">
            <v>61143000000</v>
          </cell>
          <cell r="AF35">
            <v>51272000000</v>
          </cell>
          <cell r="AG35">
            <v>51841000000</v>
          </cell>
          <cell r="AH35">
            <v>59252000000</v>
          </cell>
          <cell r="AI35" t="str">
            <v>n.a.</v>
          </cell>
          <cell r="AJ35" t="str">
            <v>n.a.</v>
          </cell>
          <cell r="AK35" t="str">
            <v>n.a.</v>
          </cell>
          <cell r="AL35" t="str">
            <v>n.a.</v>
          </cell>
          <cell r="AM35">
            <v>61143000000</v>
          </cell>
          <cell r="AN35">
            <v>51272000000</v>
          </cell>
          <cell r="AO35">
            <v>51841000000</v>
          </cell>
          <cell r="AP35">
            <v>59252000000</v>
          </cell>
          <cell r="AQ35" t="str">
            <v>n.a.</v>
          </cell>
          <cell r="AR35" t="str">
            <v>n.a.</v>
          </cell>
          <cell r="AS35" t="str">
            <v>n.a.</v>
          </cell>
          <cell r="AT35" t="str">
            <v>n.a.</v>
          </cell>
          <cell r="AU35">
            <v>-17599000000</v>
          </cell>
          <cell r="AV35">
            <v>-17736000000</v>
          </cell>
          <cell r="AW35">
            <v>-18190000000</v>
          </cell>
          <cell r="AX35">
            <v>-20440000000</v>
          </cell>
          <cell r="AY35">
            <v>-1063000000</v>
          </cell>
          <cell r="AZ35">
            <v>-1041000000</v>
          </cell>
          <cell r="BA35">
            <v>-1065000000</v>
          </cell>
          <cell r="BB35">
            <v>-1097000000</v>
          </cell>
          <cell r="BC35">
            <v>-30914000000</v>
          </cell>
          <cell r="BD35">
            <v>-22443000000</v>
          </cell>
          <cell r="BE35">
            <v>-22826000000</v>
          </cell>
          <cell r="BF35">
            <v>-23904000000</v>
          </cell>
          <cell r="BG35">
            <v>11567000000</v>
          </cell>
          <cell r="BH35">
            <v>10052000000</v>
          </cell>
          <cell r="BI35">
            <v>9760000000</v>
          </cell>
          <cell r="BJ35">
            <v>13811000000</v>
          </cell>
          <cell r="BK35">
            <v>-1761000000</v>
          </cell>
          <cell r="BL35">
            <v>-1494000000</v>
          </cell>
          <cell r="BM35">
            <v>-1699000000</v>
          </cell>
          <cell r="BN35">
            <v>-1818000000</v>
          </cell>
          <cell r="BO35">
            <v>-1730000000</v>
          </cell>
          <cell r="BP35">
            <v>-1463000000</v>
          </cell>
          <cell r="BQ35">
            <v>-1668000000</v>
          </cell>
          <cell r="BR35">
            <v>-1808000000</v>
          </cell>
          <cell r="BS35">
            <v>-31000000</v>
          </cell>
          <cell r="BT35">
            <v>-31000000</v>
          </cell>
          <cell r="BU35">
            <v>-31000000</v>
          </cell>
          <cell r="BV35">
            <v>-10000000</v>
          </cell>
          <cell r="BW35">
            <v>7589000000</v>
          </cell>
          <cell r="BX35">
            <v>6383000000</v>
          </cell>
          <cell r="BY35">
            <v>5618000000</v>
          </cell>
          <cell r="BZ35">
            <v>7226000000</v>
          </cell>
          <cell r="CA35">
            <v>50569000000</v>
          </cell>
          <cell r="CB35">
            <v>51128000000</v>
          </cell>
          <cell r="CC35">
            <v>50416000000</v>
          </cell>
          <cell r="CD35">
            <v>54021000000</v>
          </cell>
          <cell r="CE35">
            <v>7849000000</v>
          </cell>
          <cell r="CF35">
            <v>7330000000</v>
          </cell>
          <cell r="CG35">
            <v>8077000000</v>
          </cell>
          <cell r="CH35">
            <v>8642000000</v>
          </cell>
          <cell r="CI35">
            <v>8963000000</v>
          </cell>
          <cell r="CJ35">
            <v>9287000000</v>
          </cell>
          <cell r="CK35">
            <v>9210000000</v>
          </cell>
          <cell r="CL35">
            <v>10791000000</v>
          </cell>
          <cell r="CM35">
            <v>4010000000</v>
          </cell>
          <cell r="CN35">
            <v>3410000000</v>
          </cell>
          <cell r="CO35">
            <v>3673000000</v>
          </cell>
          <cell r="CP35">
            <v>3849000000</v>
          </cell>
          <cell r="CQ35">
            <v>29747000000</v>
          </cell>
          <cell r="CR35">
            <v>31101000000</v>
          </cell>
          <cell r="CS35">
            <v>29456000000</v>
          </cell>
          <cell r="CT35">
            <v>30739000000</v>
          </cell>
          <cell r="CU35" t="str">
            <v>n.a.</v>
          </cell>
          <cell r="CV35" t="str">
            <v>n.a.</v>
          </cell>
          <cell r="CW35" t="str">
            <v>n.a.</v>
          </cell>
          <cell r="CX35" t="str">
            <v>n.a.</v>
          </cell>
          <cell r="CY35" t="str">
            <v>n.a.</v>
          </cell>
          <cell r="CZ35" t="str">
            <v>n.a.</v>
          </cell>
          <cell r="DA35" t="str">
            <v>n.a.</v>
          </cell>
          <cell r="DB35" t="str">
            <v>n.a.</v>
          </cell>
          <cell r="DC35">
            <v>76781000000</v>
          </cell>
          <cell r="DD35">
            <v>80448000000</v>
          </cell>
          <cell r="DE35">
            <v>80052000000</v>
          </cell>
          <cell r="DF35">
            <v>83330000000</v>
          </cell>
          <cell r="DG35">
            <v>61143000000</v>
          </cell>
          <cell r="DH35">
            <v>-17599000000</v>
          </cell>
          <cell r="DI35">
            <v>-31977000000</v>
          </cell>
          <cell r="DJ35">
            <v>-1761000000</v>
          </cell>
          <cell r="DK35">
            <v>9806000000</v>
          </cell>
          <cell r="DL35">
            <v>0.16037812995764</v>
          </cell>
          <cell r="DM35">
            <v>0.191012330288096</v>
          </cell>
          <cell r="DN35">
            <v>-1063000000</v>
          </cell>
          <cell r="DO35">
            <v>7589500000</v>
          </cell>
          <cell r="DP35" t="e">
            <v>#VALUE!</v>
          </cell>
          <cell r="DR35">
            <v>51272000000</v>
          </cell>
          <cell r="DS35">
            <v>-17736000000</v>
          </cell>
          <cell r="DT35">
            <v>-23484000000</v>
          </cell>
          <cell r="DU35">
            <v>-1494000000</v>
          </cell>
          <cell r="DV35">
            <v>8558000000</v>
          </cell>
          <cell r="DW35">
            <v>0.166913715088157</v>
          </cell>
          <cell r="DX35">
            <v>0.200355855223112</v>
          </cell>
          <cell r="DY35">
            <v>-1041000000</v>
          </cell>
          <cell r="DZ35">
            <v>7703500000</v>
          </cell>
          <cell r="EA35" t="e">
            <v>#VALUE!</v>
          </cell>
          <cell r="EC35">
            <v>51841000000</v>
          </cell>
          <cell r="ED35">
            <v>-18190000000</v>
          </cell>
          <cell r="EE35">
            <v>-23891000000</v>
          </cell>
          <cell r="EF35">
            <v>-1699000000</v>
          </cell>
          <cell r="EG35">
            <v>8061000000</v>
          </cell>
          <cell r="EH35">
            <v>0.155494685673502</v>
          </cell>
          <cell r="EI35">
            <v>0.18412517131110101</v>
          </cell>
          <cell r="EJ35">
            <v>-1065000000</v>
          </cell>
          <cell r="EK35">
            <v>8359500000</v>
          </cell>
          <cell r="EL35" t="e">
            <v>#VALUE!</v>
          </cell>
          <cell r="EN35">
            <v>54752000000</v>
          </cell>
          <cell r="EO35">
            <v>-17841666666.666698</v>
          </cell>
          <cell r="EP35">
            <v>-26450666666.666698</v>
          </cell>
          <cell r="EQ35">
            <v>-1651333333.3333299</v>
          </cell>
          <cell r="ER35">
            <v>8808333333.3333302</v>
          </cell>
          <cell r="ES35">
            <v>0.16087692382622201</v>
          </cell>
          <cell r="ET35">
            <v>0.191720295144053</v>
          </cell>
        </row>
        <row r="36">
          <cell r="B36" t="str">
            <v>TOHO CHEMICAL INDUSTRY COMPANY, LIMITED</v>
          </cell>
          <cell r="C36" t="str">
            <v>exclude</v>
          </cell>
          <cell r="D36" t="str">
            <v>Lev SDA/SDP</v>
          </cell>
          <cell r="H36" t="str">
            <v/>
          </cell>
          <cell r="J36" t="str">
            <v>exclude</v>
          </cell>
          <cell r="K36" t="str">
            <v>lev SDA/SDP</v>
          </cell>
          <cell r="M36" t="str">
            <v>TOHO CHEMICAL INDUSTRY COMPANY, LIMITED</v>
          </cell>
          <cell r="N36" t="str">
            <v>The company is engaged in the manufacture and sale of surface active organic boron compounds, soaps and other related detergents. Headquartered in Chuo-ku, Japan, the company was founded in 1938. The company's surfactant products include cosmetic ingredients detergents, pesticide formulation surfactants, auxiliaries for the textiles, and synthetic rubber and plastics; chemicals for paper and pulp industry; and aids for civil engineering. Its chemical products include boiling solvents, acrylate, metalworking fluids, electronic information materials, polyurethane, crude oil additive drug, resin emulsion, and precision cleaners.</v>
          </cell>
          <cell r="O36" t="str">
            <v>Manufacturing</v>
          </cell>
          <cell r="P36" t="str">
            <v>www.toho-chem.co.jp</v>
          </cell>
          <cell r="R36" t="str">
            <v>Japan</v>
          </cell>
          <cell r="S36" t="str">
            <v>4409</v>
          </cell>
          <cell r="T36" t="str">
            <v>A+</v>
          </cell>
          <cell r="U36" t="str">
            <v>2843</v>
          </cell>
          <cell r="V36" t="str">
            <v>Manufacture and sale of surface active organic boron compounds, soaps and other related detergents</v>
          </cell>
          <cell r="W36" t="str">
            <v>The Company is a Japan-based company mainly engaged in the manufacture and sale of surfactants, resins, chemical products, specialty chemicals and others as a chemical industry product business.</v>
          </cell>
          <cell r="Z36" t="str">
            <v>JP5010001034850</v>
          </cell>
          <cell r="AA36">
            <v>55361000000</v>
          </cell>
          <cell r="AB36">
            <v>49887000000</v>
          </cell>
          <cell r="AC36">
            <v>40649000000</v>
          </cell>
          <cell r="AD36">
            <v>42155000000</v>
          </cell>
          <cell r="AE36">
            <v>55361000000</v>
          </cell>
          <cell r="AF36">
            <v>49887000000</v>
          </cell>
          <cell r="AG36">
            <v>40649000000</v>
          </cell>
          <cell r="AH36">
            <v>42155000000</v>
          </cell>
          <cell r="AI36" t="str">
            <v>n.a.</v>
          </cell>
          <cell r="AJ36" t="str">
            <v>n.a.</v>
          </cell>
          <cell r="AK36" t="str">
            <v>n.a.</v>
          </cell>
          <cell r="AL36" t="str">
            <v>n.a.</v>
          </cell>
          <cell r="AM36">
            <v>55361000000</v>
          </cell>
          <cell r="AN36">
            <v>49887000000</v>
          </cell>
          <cell r="AO36">
            <v>40649000000</v>
          </cell>
          <cell r="AP36">
            <v>42155000000</v>
          </cell>
          <cell r="AQ36" t="str">
            <v>n.a.</v>
          </cell>
          <cell r="AR36" t="str">
            <v>n.a.</v>
          </cell>
          <cell r="AS36" t="str">
            <v>n.a.</v>
          </cell>
          <cell r="AT36" t="str">
            <v>n.a.</v>
          </cell>
          <cell r="AU36">
            <v>-44232000000</v>
          </cell>
          <cell r="AV36">
            <v>-40131000000</v>
          </cell>
          <cell r="AW36">
            <v>-31076000000</v>
          </cell>
          <cell r="AX36">
            <v>-32116000000</v>
          </cell>
          <cell r="AY36">
            <v>-1783000000</v>
          </cell>
          <cell r="AZ36">
            <v>-2673000000</v>
          </cell>
          <cell r="BA36">
            <v>-1622000000</v>
          </cell>
          <cell r="BB36">
            <v>-1644000000</v>
          </cell>
          <cell r="BC36">
            <v>-4955000000</v>
          </cell>
          <cell r="BD36">
            <v>-3212000000</v>
          </cell>
          <cell r="BE36">
            <v>-4421000000</v>
          </cell>
          <cell r="BF36">
            <v>-4485000000</v>
          </cell>
          <cell r="BG36">
            <v>4391000000</v>
          </cell>
          <cell r="BH36">
            <v>3871000000</v>
          </cell>
          <cell r="BI36">
            <v>3530000000</v>
          </cell>
          <cell r="BJ36">
            <v>3910000000</v>
          </cell>
          <cell r="BK36">
            <v>-3006000000</v>
          </cell>
          <cell r="BL36">
            <v>-2525000000</v>
          </cell>
          <cell r="BM36">
            <v>-2143000000</v>
          </cell>
          <cell r="BN36">
            <v>-1904000000</v>
          </cell>
          <cell r="BO36">
            <v>-3006000000</v>
          </cell>
          <cell r="BP36">
            <v>-2525000000</v>
          </cell>
          <cell r="BQ36">
            <v>-2143000000</v>
          </cell>
          <cell r="BR36">
            <v>-1904000000</v>
          </cell>
          <cell r="BS36">
            <v>0</v>
          </cell>
          <cell r="BT36">
            <v>0</v>
          </cell>
          <cell r="BU36">
            <v>0</v>
          </cell>
          <cell r="BV36">
            <v>0</v>
          </cell>
          <cell r="BW36">
            <v>977000000</v>
          </cell>
          <cell r="BX36">
            <v>1395000000</v>
          </cell>
          <cell r="BY36">
            <v>1005000000</v>
          </cell>
          <cell r="BZ36">
            <v>1378000000</v>
          </cell>
          <cell r="CA36">
            <v>36968000000</v>
          </cell>
          <cell r="CB36">
            <v>34902000000</v>
          </cell>
          <cell r="CC36">
            <v>30926000000</v>
          </cell>
          <cell r="CD36">
            <v>29543000000</v>
          </cell>
          <cell r="CE36">
            <v>16070000000</v>
          </cell>
          <cell r="CF36">
            <v>12595000000</v>
          </cell>
          <cell r="CG36">
            <v>9775000000</v>
          </cell>
          <cell r="CH36">
            <v>9980000000</v>
          </cell>
          <cell r="CI36">
            <v>12610000000</v>
          </cell>
          <cell r="CJ36">
            <v>11923000000</v>
          </cell>
          <cell r="CK36">
            <v>10913000000</v>
          </cell>
          <cell r="CL36">
            <v>9992000000</v>
          </cell>
          <cell r="CM36">
            <v>2210000000</v>
          </cell>
          <cell r="CN36">
            <v>2882000000</v>
          </cell>
          <cell r="CO36">
            <v>953000000</v>
          </cell>
          <cell r="CP36">
            <v>570000000</v>
          </cell>
          <cell r="CQ36">
            <v>6078000000</v>
          </cell>
          <cell r="CR36">
            <v>7502000000</v>
          </cell>
          <cell r="CS36">
            <v>9285000000</v>
          </cell>
          <cell r="CT36">
            <v>9001000000</v>
          </cell>
          <cell r="CU36" t="str">
            <v>n.a.</v>
          </cell>
          <cell r="CV36" t="str">
            <v>n.a.</v>
          </cell>
          <cell r="CW36" t="str">
            <v>n.a.</v>
          </cell>
          <cell r="CX36" t="str">
            <v>n.a.</v>
          </cell>
          <cell r="CY36" t="str">
            <v>n.a.</v>
          </cell>
          <cell r="CZ36" t="str">
            <v>n.a.</v>
          </cell>
          <cell r="DA36" t="str">
            <v>n.a.</v>
          </cell>
          <cell r="DB36" t="str">
            <v>n.a.</v>
          </cell>
          <cell r="DC36">
            <v>67951000000</v>
          </cell>
          <cell r="DD36">
            <v>66489000000</v>
          </cell>
          <cell r="DE36">
            <v>58416000000</v>
          </cell>
          <cell r="DF36">
            <v>53298000000</v>
          </cell>
          <cell r="DG36">
            <v>55361000000</v>
          </cell>
          <cell r="DH36">
            <v>-44232000000</v>
          </cell>
          <cell r="DI36">
            <v>-6738000000</v>
          </cell>
          <cell r="DJ36">
            <v>-3006000000</v>
          </cell>
          <cell r="DK36">
            <v>1385000000</v>
          </cell>
          <cell r="DL36">
            <v>2.50176116760897E-2</v>
          </cell>
          <cell r="DM36">
            <v>2.5659552393656401E-2</v>
          </cell>
          <cell r="DN36">
            <v>-1783000000</v>
          </cell>
          <cell r="DO36">
            <v>14332500000</v>
          </cell>
          <cell r="DP36" t="e">
            <v>#VALUE!</v>
          </cell>
          <cell r="DR36">
            <v>49887000000</v>
          </cell>
          <cell r="DS36">
            <v>-40131000000</v>
          </cell>
          <cell r="DT36">
            <v>-5885000000</v>
          </cell>
          <cell r="DU36">
            <v>-2525000000</v>
          </cell>
          <cell r="DV36">
            <v>1346000000</v>
          </cell>
          <cell r="DW36">
            <v>2.6980977008038198E-2</v>
          </cell>
          <cell r="DX36">
            <v>2.7729136194145201E-2</v>
          </cell>
          <cell r="DY36">
            <v>-2673000000</v>
          </cell>
          <cell r="DZ36">
            <v>11185000000</v>
          </cell>
          <cell r="EA36" t="e">
            <v>#VALUE!</v>
          </cell>
          <cell r="EC36">
            <v>40649000000</v>
          </cell>
          <cell r="ED36">
            <v>-31076000000</v>
          </cell>
          <cell r="EE36">
            <v>-6043000000</v>
          </cell>
          <cell r="EF36">
            <v>-2143000000</v>
          </cell>
          <cell r="EG36">
            <v>1387000000</v>
          </cell>
          <cell r="EH36">
            <v>3.4121380599768797E-2</v>
          </cell>
          <cell r="EI36">
            <v>3.5326779073913697E-2</v>
          </cell>
          <cell r="EJ36">
            <v>-1622000000</v>
          </cell>
          <cell r="EK36">
            <v>9877500000</v>
          </cell>
          <cell r="EL36" t="e">
            <v>#VALUE!</v>
          </cell>
          <cell r="EN36">
            <v>48632333333.333298</v>
          </cell>
          <cell r="EO36">
            <v>-38479666666.666702</v>
          </cell>
          <cell r="EP36">
            <v>-6222000000</v>
          </cell>
          <cell r="EQ36">
            <v>-2558000000</v>
          </cell>
          <cell r="ER36">
            <v>1372666666.6666701</v>
          </cell>
          <cell r="ES36">
            <v>2.8225391886056699E-2</v>
          </cell>
          <cell r="ET36">
            <v>2.9045204155763699E-2</v>
          </cell>
        </row>
        <row r="37">
          <cell r="B37" t="str">
            <v>TAYCA CORPORATION</v>
          </cell>
          <cell r="C37" t="str">
            <v>exclude</v>
          </cell>
          <cell r="D37" t="str">
            <v>Lev SDA/SDP</v>
          </cell>
          <cell r="H37" t="str">
            <v/>
          </cell>
          <cell r="J37" t="str">
            <v>exclude</v>
          </cell>
          <cell r="K37" t="str">
            <v>lev SDA/SDP</v>
          </cell>
          <cell r="M37" t="str">
            <v>TAYCA CORPORATION</v>
          </cell>
          <cell r="N37" t="str">
            <v>This company is engaged in the production and distribution of chemicals and chemical products, including titanium dioxide surfactants, sulfuric acid, phosphates, micro titanium dioxide, titanated mica, and surface treatment products. The company was established as Teikoku Jinzo Fertilizer Co. Ltd in 1919. The company's head offices is located in Osaka, Japan. It provides the following products: titanium dioxide, surfactants, sulfuric acid, and film sulfonation. It has developed and marketed sulfonated film and sheet materials designed mainly for use as separators in nickel-hydrogen secondary batteries. The company also offers specialty chemicals, such as micro titanium dioxide, surface treatment business, aluminum triphosphate, micro zinc oxide, and photocatalystic titanium dioxide. It aims to develop together with its customers, making full use of its chemistry-based creative technology and based on human respect and mutual trust, to make a broad contribution to society. The company is a member of Japan Responsible Care Council (JRCC), an association of companies that have made a commitment to implement Responsible Care (RC). It also has a branch office in Tokyo and factories are located in Osaka, Okayama, Kumayama, and Osafune.</v>
          </cell>
          <cell r="O37" t="str">
            <v>Manufacturing</v>
          </cell>
          <cell r="P37" t="str">
            <v>www.tayca.co.jp</v>
          </cell>
          <cell r="R37" t="str">
            <v>Japan</v>
          </cell>
          <cell r="S37" t="str">
            <v>4027</v>
          </cell>
          <cell r="T37" t="str">
            <v>A+</v>
          </cell>
          <cell r="U37" t="str">
            <v>2843</v>
          </cell>
          <cell r="V37" t="str">
            <v>Engaged in the production and distribution of chemicals and chemical products, including titanium dioxide surfactants, sulfuric acid, phosphates, micro titanium dioxide, titanated mica, and surface treatment products</v>
          </cell>
          <cell r="W37" t="str">
            <v>The Company is a Japan-based company mainly engaged in the manufacture and sale of chemical products and electro ceramics.</v>
          </cell>
          <cell r="X37" t="str">
            <v>TEIKOKU KAKO CO LTD</v>
          </cell>
          <cell r="Z37" t="str">
            <v>JP7120001027825</v>
          </cell>
          <cell r="AA37">
            <v>54773000000</v>
          </cell>
          <cell r="AB37">
            <v>46362000000</v>
          </cell>
          <cell r="AC37">
            <v>38402000000</v>
          </cell>
          <cell r="AD37">
            <v>45435000000</v>
          </cell>
          <cell r="AE37">
            <v>54773000000</v>
          </cell>
          <cell r="AF37">
            <v>46362000000</v>
          </cell>
          <cell r="AG37">
            <v>38402000000</v>
          </cell>
          <cell r="AH37">
            <v>45435000000</v>
          </cell>
          <cell r="AI37" t="str">
            <v>n.a.</v>
          </cell>
          <cell r="AJ37" t="str">
            <v>n.a.</v>
          </cell>
          <cell r="AK37" t="str">
            <v>n.a.</v>
          </cell>
          <cell r="AL37" t="str">
            <v>n.a.</v>
          </cell>
          <cell r="AM37">
            <v>54773000000</v>
          </cell>
          <cell r="AN37">
            <v>46362000000</v>
          </cell>
          <cell r="AO37">
            <v>38402000000</v>
          </cell>
          <cell r="AP37">
            <v>45435000000</v>
          </cell>
          <cell r="AQ37" t="str">
            <v>n.a.</v>
          </cell>
          <cell r="AR37" t="str">
            <v>n.a.</v>
          </cell>
          <cell r="AS37" t="str">
            <v>n.a.</v>
          </cell>
          <cell r="AT37" t="str">
            <v>n.a.</v>
          </cell>
          <cell r="AU37">
            <v>-41199000000</v>
          </cell>
          <cell r="AV37">
            <v>-33497000000</v>
          </cell>
          <cell r="AW37">
            <v>-26640000000</v>
          </cell>
          <cell r="AX37">
            <v>-30482000000</v>
          </cell>
          <cell r="AY37">
            <v>-996000000</v>
          </cell>
          <cell r="AZ37">
            <v>-929000000</v>
          </cell>
          <cell r="BA37">
            <v>-1101000000</v>
          </cell>
          <cell r="BB37">
            <v>-1029000000</v>
          </cell>
          <cell r="BC37">
            <v>-4934000000</v>
          </cell>
          <cell r="BD37">
            <v>-4829000000</v>
          </cell>
          <cell r="BE37">
            <v>-4777000000</v>
          </cell>
          <cell r="BF37">
            <v>-5293000000</v>
          </cell>
          <cell r="BG37">
            <v>7644000000</v>
          </cell>
          <cell r="BH37">
            <v>7107000000</v>
          </cell>
          <cell r="BI37">
            <v>5884000000</v>
          </cell>
          <cell r="BJ37">
            <v>8631000000</v>
          </cell>
          <cell r="BK37">
            <v>-3419000000</v>
          </cell>
          <cell r="BL37">
            <v>-3455000000</v>
          </cell>
          <cell r="BM37">
            <v>-2956000000</v>
          </cell>
          <cell r="BN37">
            <v>-3129000000</v>
          </cell>
          <cell r="BO37">
            <v>-3138000000</v>
          </cell>
          <cell r="BP37">
            <v>-3212000000</v>
          </cell>
          <cell r="BQ37">
            <v>-2737000000</v>
          </cell>
          <cell r="BR37">
            <v>-2897000000</v>
          </cell>
          <cell r="BS37">
            <v>-281000000</v>
          </cell>
          <cell r="BT37">
            <v>-243000000</v>
          </cell>
          <cell r="BU37">
            <v>-219000000</v>
          </cell>
          <cell r="BV37">
            <v>-232000000</v>
          </cell>
          <cell r="BW37">
            <v>2986000000</v>
          </cell>
          <cell r="BX37">
            <v>2845000000</v>
          </cell>
          <cell r="BY37">
            <v>1927000000</v>
          </cell>
          <cell r="BZ37">
            <v>3830000000</v>
          </cell>
          <cell r="CA37">
            <v>46631000000</v>
          </cell>
          <cell r="CB37">
            <v>42300000000</v>
          </cell>
          <cell r="CC37">
            <v>36979000000</v>
          </cell>
          <cell r="CD37">
            <v>36261000000</v>
          </cell>
          <cell r="CE37">
            <v>19196000000</v>
          </cell>
          <cell r="CF37">
            <v>14320000000</v>
          </cell>
          <cell r="CG37">
            <v>11622000000</v>
          </cell>
          <cell r="CH37">
            <v>11623000000</v>
          </cell>
          <cell r="CI37">
            <v>15147000000</v>
          </cell>
          <cell r="CJ37">
            <v>14086000000</v>
          </cell>
          <cell r="CK37">
            <v>11393000000</v>
          </cell>
          <cell r="CL37">
            <v>13300000000</v>
          </cell>
          <cell r="CM37">
            <v>627000000</v>
          </cell>
          <cell r="CN37">
            <v>834000000</v>
          </cell>
          <cell r="CO37">
            <v>635000000</v>
          </cell>
          <cell r="CP37">
            <v>546000000</v>
          </cell>
          <cell r="CQ37">
            <v>11661000000</v>
          </cell>
          <cell r="CR37">
            <v>13060000000</v>
          </cell>
          <cell r="CS37">
            <v>13329000000</v>
          </cell>
          <cell r="CT37">
            <v>10792000000</v>
          </cell>
          <cell r="CU37" t="str">
            <v>n.a.</v>
          </cell>
          <cell r="CV37" t="str">
            <v>n.a.</v>
          </cell>
          <cell r="CW37" t="str">
            <v>n.a.</v>
          </cell>
          <cell r="CX37" t="str">
            <v>n.a.</v>
          </cell>
          <cell r="CY37" t="str">
            <v>n.a.</v>
          </cell>
          <cell r="CZ37" t="str">
            <v>n.a.</v>
          </cell>
          <cell r="DA37" t="str">
            <v>n.a.</v>
          </cell>
          <cell r="DB37" t="str">
            <v>n.a.</v>
          </cell>
          <cell r="DC37">
            <v>75717000000</v>
          </cell>
          <cell r="DD37">
            <v>72128000000</v>
          </cell>
          <cell r="DE37">
            <v>69177000000</v>
          </cell>
          <cell r="DF37">
            <v>63554000000</v>
          </cell>
          <cell r="DG37">
            <v>54773000000</v>
          </cell>
          <cell r="DH37">
            <v>-41199000000</v>
          </cell>
          <cell r="DI37">
            <v>-5930000000</v>
          </cell>
          <cell r="DJ37">
            <v>-3419000000</v>
          </cell>
          <cell r="DK37">
            <v>4225000000</v>
          </cell>
          <cell r="DL37">
            <v>7.7136545378197294E-2</v>
          </cell>
          <cell r="DM37">
            <v>8.3583920234232806E-2</v>
          </cell>
          <cell r="DN37">
            <v>-996000000</v>
          </cell>
          <cell r="DO37">
            <v>16758000000</v>
          </cell>
          <cell r="DP37" t="e">
            <v>#VALUE!</v>
          </cell>
          <cell r="DR37">
            <v>46362000000</v>
          </cell>
          <cell r="DS37">
            <v>-33497000000</v>
          </cell>
          <cell r="DT37">
            <v>-5758000000</v>
          </cell>
          <cell r="DU37">
            <v>-3455000000</v>
          </cell>
          <cell r="DV37">
            <v>3652000000</v>
          </cell>
          <cell r="DW37">
            <v>7.8771407618308101E-2</v>
          </cell>
          <cell r="DX37">
            <v>8.5506907047529807E-2</v>
          </cell>
          <cell r="DY37">
            <v>-929000000</v>
          </cell>
          <cell r="DZ37">
            <v>12971000000</v>
          </cell>
          <cell r="EA37" t="e">
            <v>#VALUE!</v>
          </cell>
          <cell r="EC37">
            <v>38402000000</v>
          </cell>
          <cell r="ED37">
            <v>-26640000000</v>
          </cell>
          <cell r="EE37">
            <v>-5878000000</v>
          </cell>
          <cell r="EF37">
            <v>-2956000000</v>
          </cell>
          <cell r="EG37">
            <v>2928000000</v>
          </cell>
          <cell r="EH37">
            <v>7.6246028852663905E-2</v>
          </cell>
          <cell r="EI37">
            <v>8.2539324575745601E-2</v>
          </cell>
          <cell r="EJ37">
            <v>-1101000000</v>
          </cell>
          <cell r="EK37">
            <v>11622500000</v>
          </cell>
          <cell r="EL37" t="e">
            <v>#VALUE!</v>
          </cell>
          <cell r="EN37">
            <v>46512333333.333298</v>
          </cell>
          <cell r="EO37">
            <v>-33778666666.666698</v>
          </cell>
          <cell r="EP37">
            <v>-5855333333.3333302</v>
          </cell>
          <cell r="EQ37">
            <v>-3276666666.6666698</v>
          </cell>
          <cell r="ER37">
            <v>3601666666.6666698</v>
          </cell>
          <cell r="ES37">
            <v>7.7434658907673301E-2</v>
          </cell>
          <cell r="ET37">
            <v>8.3934064568250394E-2</v>
          </cell>
        </row>
        <row r="38">
          <cell r="B38" t="str">
            <v>PT UNGGUL INDAH CAHAYA TBK</v>
          </cell>
          <cell r="C38" t="str">
            <v>exclude</v>
          </cell>
          <cell r="D38" t="str">
            <v>Independence(A+, A, A-, U)</v>
          </cell>
          <cell r="H38" t="str">
            <v/>
          </cell>
          <cell r="J38" t="str">
            <v>exclude</v>
          </cell>
          <cell r="K38" t="str">
            <v>Independence(A+, A, A-, U)</v>
          </cell>
          <cell r="M38" t="str">
            <v>PT UNGGUL INDAH CAHAYA TBK</v>
          </cell>
          <cell r="N38" t="str">
            <v>This company produces alkylbenzene, an active and raw ingredient for the production of detergents. It also produces linear alkyl benzene and branch alkyl benzene, as well as heavy alkylate and light alkylate as by-products.The company was founded in 1983 as PT Unggul Indah Corporation and changed its name to PT Unggul Indah Cahaya Tbk in 1999. It started its commercial operation in 1985 and became a publicly listed company in November 1989. Its mission is to participate in the Indonesian Social and Economic development program by providing a domestic supply of Alkylbenzene, to enhance a positive balance of trade, to introduce the development of downstream activities and to create employment for local society.Based in Jakarta, Indonesia, the company is the sole manufacturer of Alkylbenzene (AB) in Indonesia. It markets its products in Australia, France, Germany, Italy, Japan, Singapore, Taiwan, Vietnam, South Korea, and the United States. The company operates a production facility in Merak, Banten province.</v>
          </cell>
          <cell r="O38" t="str">
            <v>Manufacturing</v>
          </cell>
          <cell r="P38" t="str">
            <v>www.uic.co.id</v>
          </cell>
          <cell r="R38" t="str">
            <v>Indonesia</v>
          </cell>
          <cell r="S38" t="str">
            <v>UNIC</v>
          </cell>
          <cell r="T38" t="str">
            <v>B+</v>
          </cell>
          <cell r="U38" t="str">
            <v>2841</v>
          </cell>
          <cell r="V38" t="str">
            <v>Produces alkylbenzene, an active and raw ingredient for the production of detergents</v>
          </cell>
          <cell r="W38" t="str">
            <v>The Company is an Indonesia-based manufacturing company. The Company is engaged in the manufacturing of alkylbenzene (AB), which is one of main raw substance for detergent. Its products are linear alkylbenzene (LAB) and branched alkylbenzene (BAB). It also produces heavy alkylate (HA) and light alkylate (LA).</v>
          </cell>
          <cell r="X38" t="str">
            <v>PT UNGGUL INDAH CORPORATION TBK</v>
          </cell>
          <cell r="Z38" t="str">
            <v>ID30111FD</v>
          </cell>
          <cell r="AA38">
            <v>412633000</v>
          </cell>
          <cell r="AB38">
            <v>371674000</v>
          </cell>
          <cell r="AC38">
            <v>325358000</v>
          </cell>
          <cell r="AD38">
            <v>322664000</v>
          </cell>
          <cell r="AE38">
            <v>412077000</v>
          </cell>
          <cell r="AF38">
            <v>371081000</v>
          </cell>
          <cell r="AG38">
            <v>324957000</v>
          </cell>
          <cell r="AH38">
            <v>322099000</v>
          </cell>
          <cell r="AI38" t="str">
            <v>n.a.</v>
          </cell>
          <cell r="AJ38" t="str">
            <v>n.a.</v>
          </cell>
          <cell r="AK38" t="str">
            <v>n.a.</v>
          </cell>
          <cell r="AL38" t="str">
            <v>n.a.</v>
          </cell>
          <cell r="AM38">
            <v>412077000</v>
          </cell>
          <cell r="AN38">
            <v>371081000</v>
          </cell>
          <cell r="AO38">
            <v>324957000</v>
          </cell>
          <cell r="AP38">
            <v>322099000</v>
          </cell>
          <cell r="AQ38">
            <v>556000</v>
          </cell>
          <cell r="AR38">
            <v>593000</v>
          </cell>
          <cell r="AS38">
            <v>401000</v>
          </cell>
          <cell r="AT38">
            <v>565000</v>
          </cell>
          <cell r="AU38">
            <v>-336537000</v>
          </cell>
          <cell r="AV38">
            <v>-275315000</v>
          </cell>
          <cell r="AW38">
            <v>-264495000</v>
          </cell>
          <cell r="AX38">
            <v>-283160000</v>
          </cell>
          <cell r="AY38">
            <v>0</v>
          </cell>
          <cell r="AZ38">
            <v>0</v>
          </cell>
          <cell r="BA38">
            <v>0</v>
          </cell>
          <cell r="BB38">
            <v>0</v>
          </cell>
          <cell r="BC38">
            <v>-21969000</v>
          </cell>
          <cell r="BD38">
            <v>-20537000</v>
          </cell>
          <cell r="BE38">
            <v>-19507000</v>
          </cell>
          <cell r="BF38">
            <v>-18941000</v>
          </cell>
          <cell r="BG38">
            <v>54127000</v>
          </cell>
          <cell r="BH38">
            <v>75822000</v>
          </cell>
          <cell r="BI38">
            <v>41356000</v>
          </cell>
          <cell r="BJ38">
            <v>20563000</v>
          </cell>
          <cell r="BK38">
            <v>-2748000</v>
          </cell>
          <cell r="BL38">
            <v>-2640000</v>
          </cell>
          <cell r="BM38">
            <v>-5826000</v>
          </cell>
          <cell r="BN38">
            <v>-5371000</v>
          </cell>
          <cell r="BO38">
            <v>-2748000</v>
          </cell>
          <cell r="BP38">
            <v>-2640000</v>
          </cell>
          <cell r="BQ38">
            <v>-5826000</v>
          </cell>
          <cell r="BR38">
            <v>-5371000</v>
          </cell>
          <cell r="BS38">
            <v>0</v>
          </cell>
          <cell r="BT38">
            <v>0</v>
          </cell>
          <cell r="BU38">
            <v>0</v>
          </cell>
          <cell r="BV38">
            <v>0</v>
          </cell>
          <cell r="BW38">
            <v>38405000</v>
          </cell>
          <cell r="BX38">
            <v>58220000</v>
          </cell>
          <cell r="BY38">
            <v>27703000</v>
          </cell>
          <cell r="BZ38">
            <v>12212000</v>
          </cell>
          <cell r="CA38">
            <v>260416000</v>
          </cell>
          <cell r="CB38">
            <v>235494000</v>
          </cell>
          <cell r="CC38">
            <v>183171000</v>
          </cell>
          <cell r="CD38">
            <v>159674000</v>
          </cell>
          <cell r="CE38">
            <v>132445000</v>
          </cell>
          <cell r="CF38">
            <v>110152000</v>
          </cell>
          <cell r="CG38">
            <v>82537000</v>
          </cell>
          <cell r="CH38">
            <v>98277000</v>
          </cell>
          <cell r="CI38">
            <v>38357000</v>
          </cell>
          <cell r="CJ38">
            <v>37990000</v>
          </cell>
          <cell r="CK38">
            <v>36274000</v>
          </cell>
          <cell r="CL38">
            <v>38187000</v>
          </cell>
          <cell r="CM38">
            <v>902000</v>
          </cell>
          <cell r="CN38">
            <v>1142000</v>
          </cell>
          <cell r="CO38">
            <v>1007000</v>
          </cell>
          <cell r="CP38">
            <v>9190000</v>
          </cell>
          <cell r="CQ38">
            <v>84173000</v>
          </cell>
          <cell r="CR38">
            <v>81056000</v>
          </cell>
          <cell r="CS38">
            <v>61923000</v>
          </cell>
          <cell r="CT38">
            <v>12688000</v>
          </cell>
          <cell r="CU38" t="str">
            <v>n.a.</v>
          </cell>
          <cell r="CV38" t="str">
            <v>n.a.</v>
          </cell>
          <cell r="CW38">
            <v>111000</v>
          </cell>
          <cell r="CX38">
            <v>530000</v>
          </cell>
          <cell r="CY38">
            <v>4613000</v>
          </cell>
          <cell r="CZ38">
            <v>4628000</v>
          </cell>
          <cell r="DA38">
            <v>4595000</v>
          </cell>
          <cell r="DB38">
            <v>4660000</v>
          </cell>
          <cell r="DC38">
            <v>317578000</v>
          </cell>
          <cell r="DD38">
            <v>292724000</v>
          </cell>
          <cell r="DE38">
            <v>242256000</v>
          </cell>
          <cell r="DF38">
            <v>219757000</v>
          </cell>
          <cell r="DG38">
            <v>412077000</v>
          </cell>
          <cell r="DH38">
            <v>-336537000</v>
          </cell>
          <cell r="DI38">
            <v>-21969000</v>
          </cell>
          <cell r="DJ38">
            <v>-2748000</v>
          </cell>
          <cell r="DK38">
            <v>50823000</v>
          </cell>
          <cell r="DL38">
            <v>0.12333374587759099</v>
          </cell>
          <cell r="DM38">
            <v>0.140684947433108</v>
          </cell>
          <cell r="DN38">
            <v>0</v>
          </cell>
          <cell r="DO38">
            <v>121298500</v>
          </cell>
          <cell r="DP38">
            <v>4620500</v>
          </cell>
          <cell r="DR38">
            <v>371081000</v>
          </cell>
          <cell r="DS38">
            <v>-275315000</v>
          </cell>
          <cell r="DT38">
            <v>-20537000</v>
          </cell>
          <cell r="DU38">
            <v>-2640000</v>
          </cell>
          <cell r="DV38">
            <v>72589000</v>
          </cell>
          <cell r="DW38">
            <v>0.19561497355024901</v>
          </cell>
          <cell r="DX38">
            <v>0.24318574702169601</v>
          </cell>
          <cell r="DY38">
            <v>0</v>
          </cell>
          <cell r="DZ38">
            <v>96344500</v>
          </cell>
          <cell r="EA38">
            <v>4611500</v>
          </cell>
          <cell r="EC38">
            <v>324957000</v>
          </cell>
          <cell r="ED38">
            <v>-264495000</v>
          </cell>
          <cell r="EE38">
            <v>-19507000</v>
          </cell>
          <cell r="EF38">
            <v>-5826000</v>
          </cell>
          <cell r="EG38">
            <v>35129000</v>
          </cell>
          <cell r="EH38">
            <v>0.108103533698305</v>
          </cell>
          <cell r="EI38">
            <v>0.12120637067502101</v>
          </cell>
          <cell r="EJ38">
            <v>0</v>
          </cell>
          <cell r="EK38">
            <v>90407000</v>
          </cell>
          <cell r="EL38">
            <v>4627500</v>
          </cell>
          <cell r="EN38">
            <v>369371666.66666698</v>
          </cell>
          <cell r="EO38">
            <v>-292115666.66666698</v>
          </cell>
          <cell r="EP38">
            <v>-20671000</v>
          </cell>
          <cell r="EQ38">
            <v>-3738000</v>
          </cell>
          <cell r="ER38">
            <v>52847000</v>
          </cell>
          <cell r="ES38">
            <v>0.14307269552347901</v>
          </cell>
          <cell r="ET38">
            <v>0.16696013159585199</v>
          </cell>
        </row>
        <row r="39">
          <cell r="B39" t="str">
            <v>SHANGHAI CHICMAX COSMETIC CO., LTD.</v>
          </cell>
          <cell r="C39" t="str">
            <v>exclude</v>
          </cell>
          <cell r="D39" t="str">
            <v>Independence(A+, A, A-, U)</v>
          </cell>
          <cell r="H39" t="str">
            <v/>
          </cell>
          <cell r="J39" t="e">
            <v>#N/A</v>
          </cell>
          <cell r="K39" t="e">
            <v>#N/A</v>
          </cell>
          <cell r="M39" t="str">
            <v>SHANGHAI CHICMAX COSMETIC CO., LTD.</v>
          </cell>
          <cell r="N39" t="str">
            <v>This company is a Chinese based enterprise engaged in the manufacture and sale of perfumes, cosmetics and other toilet preparations. The company was incorporated in 2004. Its registered business office is based in Shanghai, China. The company's business activities include the manufacture and sale of perfumes (natural and synthetic), cosmetics, and other toilet preparations. It is also involved in blending and compounding perfume bases, as well as the manufacture and sale of shampoos and shaving products, whether from soap or synthetic detergents. It has a large inventory of goods as well as employs professional staff capable of retailing a large variety of goods from a single location.</v>
          </cell>
          <cell r="O39" t="str">
            <v>Manufacturing</v>
          </cell>
          <cell r="R39" t="str">
            <v>China</v>
          </cell>
          <cell r="S39" t="str">
            <v>02145</v>
          </cell>
          <cell r="T39" t="str">
            <v>B+</v>
          </cell>
          <cell r="U39" t="str">
            <v>2844</v>
          </cell>
          <cell r="V39" t="str">
            <v>Engaged in the manufacture and sale of perfumes, cosmetics and other toilet preparations</v>
          </cell>
          <cell r="W39" t="str">
            <v>The company and its subsidiaries are principally engaged in the research, development, production and sales of skincare and maternity and childcare products. The Company has brands such as KANS, One Leaf, and Baby Elephant. The KANS focuses on the changing anti-aging needs of Asian women of all ages. The One Leaf focuses on plant technology and environmental protection skin care products for young consumers. The Baby Elephant focuses on specialized maternal and childcare products suitable for the skin of Chinese babies and children. The Company's products include skin care products, maternal and childcare products, toiletries, and others.</v>
          </cell>
          <cell r="Z39" t="str">
            <v>CN32307PC</v>
          </cell>
          <cell r="AA39">
            <v>2774380000</v>
          </cell>
          <cell r="AB39">
            <v>3702216000</v>
          </cell>
          <cell r="AC39">
            <v>3449170000</v>
          </cell>
          <cell r="AD39">
            <v>2937527000</v>
          </cell>
          <cell r="AE39">
            <v>2675331000</v>
          </cell>
          <cell r="AF39">
            <v>3618882000</v>
          </cell>
          <cell r="AG39">
            <v>3381633000</v>
          </cell>
          <cell r="AH39">
            <v>2874321000</v>
          </cell>
          <cell r="AI39" t="str">
            <v>n.a.</v>
          </cell>
          <cell r="AJ39" t="str">
            <v>n.a.</v>
          </cell>
          <cell r="AK39" t="str">
            <v>n.a.</v>
          </cell>
          <cell r="AL39" t="str">
            <v>n.a.</v>
          </cell>
          <cell r="AM39">
            <v>2675331000</v>
          </cell>
          <cell r="AN39">
            <v>3618882000</v>
          </cell>
          <cell r="AO39">
            <v>3381633000</v>
          </cell>
          <cell r="AP39">
            <v>2874321000</v>
          </cell>
          <cell r="AQ39">
            <v>99049000</v>
          </cell>
          <cell r="AR39">
            <v>83334000</v>
          </cell>
          <cell r="AS39">
            <v>67537000</v>
          </cell>
          <cell r="AT39">
            <v>63206000</v>
          </cell>
          <cell r="AU39">
            <v>-882764000</v>
          </cell>
          <cell r="AV39">
            <v>-1170664000</v>
          </cell>
          <cell r="AW39">
            <v>-1111220000</v>
          </cell>
          <cell r="AX39">
            <v>-1042941000</v>
          </cell>
          <cell r="AY39">
            <v>-110283000</v>
          </cell>
          <cell r="AZ39">
            <v>-104749000</v>
          </cell>
          <cell r="BA39">
            <v>-77378000</v>
          </cell>
          <cell r="BB39">
            <v>-82894000</v>
          </cell>
          <cell r="BC39">
            <v>-1519576000</v>
          </cell>
          <cell r="BD39">
            <v>-1906650000</v>
          </cell>
          <cell r="BE39">
            <v>-1865925000</v>
          </cell>
          <cell r="BF39">
            <v>-1628517000</v>
          </cell>
          <cell r="BG39">
            <v>261757000</v>
          </cell>
          <cell r="BH39">
            <v>520153000</v>
          </cell>
          <cell r="BI39">
            <v>394647000</v>
          </cell>
          <cell r="BJ39">
            <v>183175000</v>
          </cell>
          <cell r="BK39">
            <v>-92935000</v>
          </cell>
          <cell r="BL39">
            <v>-87579000</v>
          </cell>
          <cell r="BM39">
            <v>-83822000</v>
          </cell>
          <cell r="BN39">
            <v>-82007000</v>
          </cell>
          <cell r="BO39">
            <v>-89266000</v>
          </cell>
          <cell r="BP39">
            <v>-85352000</v>
          </cell>
          <cell r="BQ39">
            <v>-81056000</v>
          </cell>
          <cell r="BR39">
            <v>-79132000</v>
          </cell>
          <cell r="BS39">
            <v>-3669000</v>
          </cell>
          <cell r="BT39">
            <v>-2227000</v>
          </cell>
          <cell r="BU39">
            <v>-2766000</v>
          </cell>
          <cell r="BV39">
            <v>-2875000</v>
          </cell>
          <cell r="BW39">
            <v>147104000</v>
          </cell>
          <cell r="BX39">
            <v>338887000</v>
          </cell>
          <cell r="BY39">
            <v>203457000</v>
          </cell>
          <cell r="BZ39">
            <v>62571000</v>
          </cell>
          <cell r="CA39">
            <v>2252166000</v>
          </cell>
          <cell r="CB39">
            <v>1323110000</v>
          </cell>
          <cell r="CC39">
            <v>1194764000</v>
          </cell>
          <cell r="CD39">
            <v>1355705000</v>
          </cell>
          <cell r="CE39">
            <v>518113000</v>
          </cell>
          <cell r="CF39">
            <v>621201000</v>
          </cell>
          <cell r="CG39">
            <v>577291000</v>
          </cell>
          <cell r="CH39">
            <v>506230000</v>
          </cell>
          <cell r="CI39">
            <v>366745000</v>
          </cell>
          <cell r="CJ39">
            <v>364586000</v>
          </cell>
          <cell r="CK39">
            <v>317001000</v>
          </cell>
          <cell r="CL39">
            <v>386605000</v>
          </cell>
          <cell r="CM39">
            <v>56499000</v>
          </cell>
          <cell r="CN39">
            <v>34041000</v>
          </cell>
          <cell r="CO39">
            <v>49307000</v>
          </cell>
          <cell r="CP39">
            <v>141618000</v>
          </cell>
          <cell r="CQ39">
            <v>1172224000</v>
          </cell>
          <cell r="CR39">
            <v>157256000</v>
          </cell>
          <cell r="CS39">
            <v>158903000</v>
          </cell>
          <cell r="CT39">
            <v>167840000</v>
          </cell>
          <cell r="CU39">
            <v>24516000</v>
          </cell>
          <cell r="CV39">
            <v>12048000</v>
          </cell>
          <cell r="CW39">
            <v>4708000</v>
          </cell>
          <cell r="CX39">
            <v>35466000</v>
          </cell>
          <cell r="CY39">
            <v>41503000</v>
          </cell>
          <cell r="CZ39">
            <v>34782000</v>
          </cell>
          <cell r="DA39">
            <v>43989000</v>
          </cell>
          <cell r="DB39">
            <v>194083000</v>
          </cell>
          <cell r="DC39">
            <v>3145667000</v>
          </cell>
          <cell r="DD39">
            <v>2274563000</v>
          </cell>
          <cell r="DE39">
            <v>2224288000</v>
          </cell>
          <cell r="DF39">
            <v>2323838000</v>
          </cell>
          <cell r="DG39">
            <v>2675331000</v>
          </cell>
          <cell r="DH39">
            <v>-882764000</v>
          </cell>
          <cell r="DI39">
            <v>-1629859000</v>
          </cell>
          <cell r="DJ39">
            <v>-92935000</v>
          </cell>
          <cell r="DK39">
            <v>69773000</v>
          </cell>
          <cell r="DL39">
            <v>2.6080137373655801E-2</v>
          </cell>
          <cell r="DM39">
            <v>2.67785249838998E-2</v>
          </cell>
          <cell r="DN39">
            <v>-110283000</v>
          </cell>
          <cell r="DO39">
            <v>569657000</v>
          </cell>
          <cell r="DP39">
            <v>38142500</v>
          </cell>
          <cell r="DR39">
            <v>3618882000</v>
          </cell>
          <cell r="DS39">
            <v>-1170664000</v>
          </cell>
          <cell r="DT39">
            <v>-2011399000</v>
          </cell>
          <cell r="DU39">
            <v>-87579000</v>
          </cell>
          <cell r="DV39">
            <v>349240000</v>
          </cell>
          <cell r="DW39">
            <v>9.6504942686719303E-2</v>
          </cell>
          <cell r="DX39">
            <v>0.106812917132824</v>
          </cell>
          <cell r="DY39">
            <v>-104749000</v>
          </cell>
          <cell r="DZ39">
            <v>599246000</v>
          </cell>
          <cell r="EA39">
            <v>39385500</v>
          </cell>
          <cell r="EC39">
            <v>3381633000</v>
          </cell>
          <cell r="ED39">
            <v>-1111220000</v>
          </cell>
          <cell r="EE39">
            <v>-1943303000</v>
          </cell>
          <cell r="EF39">
            <v>-83822000</v>
          </cell>
          <cell r="EG39">
            <v>243288000</v>
          </cell>
          <cell r="EH39">
            <v>7.1943939510881294E-2</v>
          </cell>
          <cell r="EI39">
            <v>7.7521113835476996E-2</v>
          </cell>
          <cell r="EJ39">
            <v>-77378000</v>
          </cell>
          <cell r="EK39">
            <v>541760500</v>
          </cell>
          <cell r="EL39">
            <v>119036000</v>
          </cell>
          <cell r="EN39">
            <v>3225282000</v>
          </cell>
          <cell r="EO39">
            <v>-1054882666.66667</v>
          </cell>
          <cell r="EP39">
            <v>-1861520333.3333299</v>
          </cell>
          <cell r="EQ39">
            <v>-88112000</v>
          </cell>
          <cell r="ER39">
            <v>220767000</v>
          </cell>
          <cell r="ES39">
            <v>6.8448898421905505E-2</v>
          </cell>
          <cell r="ET39">
            <v>7.3478414985446994E-2</v>
          </cell>
        </row>
        <row r="40">
          <cell r="B40" t="str">
            <v>HONGMIAN ZHIHUI SCIENCE AND TECHNOLOGY INNOVATION CO.,LTD.GUANGZHOU</v>
          </cell>
          <cell r="C40" t="str">
            <v>exclude</v>
          </cell>
          <cell r="D40" t="str">
            <v>Independence(A+, A, A-, U)</v>
          </cell>
          <cell r="H40" t="str">
            <v/>
          </cell>
          <cell r="J40" t="e">
            <v>#N/A</v>
          </cell>
          <cell r="K40" t="e">
            <v>#N/A</v>
          </cell>
          <cell r="M40" t="str">
            <v>HONGMIAN ZHIHUI SCIENCE AND TECHNOLOGY INNOVATION CO.,LTD.GUANGZHOU</v>
          </cell>
          <cell r="N40" t="str">
            <v>The company is engaged in the manufacture and sale of soaps and other detergents. It was incorporated in the year 1959. The registered head office of the company is located in the city of Guangzhou, People's Republic of China. The company is primarily involved in manufacturing and packaging soaps and other detergents, such as laundry detergents; dishwashing detergents; toothpaste gels, and tooth powders; and natural glycerin. It principally conducts its business operations within the country.</v>
          </cell>
          <cell r="O40" t="str">
            <v>Manufacturing</v>
          </cell>
          <cell r="P40" t="str">
            <v>www.lonkey.com.cn</v>
          </cell>
          <cell r="R40" t="str">
            <v>China</v>
          </cell>
          <cell r="S40" t="str">
            <v>000523</v>
          </cell>
          <cell r="T40" t="str">
            <v>B+</v>
          </cell>
          <cell r="U40" t="str">
            <v>2841</v>
          </cell>
          <cell r="V40" t="str">
            <v>Engaged in the manufacture and sale of soaps and other detergents</v>
          </cell>
          <cell r="W40" t="str">
            <v>The Company's principal activities are the production and sale of daily used chemical products.  The Company is also involved in the development, production and distribution of chemical raw materials.</v>
          </cell>
          <cell r="X40" t="str">
            <v>LONKEY INDUSTRIAL CO.,LTD.GUANGZHOU</v>
          </cell>
          <cell r="Z40" t="str">
            <v>CN30338PC</v>
          </cell>
          <cell r="AA40">
            <v>2491477000</v>
          </cell>
          <cell r="AB40">
            <v>2593236000</v>
          </cell>
          <cell r="AC40">
            <v>3321756000</v>
          </cell>
          <cell r="AD40">
            <v>5739948000</v>
          </cell>
          <cell r="AE40">
            <v>2478190000</v>
          </cell>
          <cell r="AF40">
            <v>2569279000</v>
          </cell>
          <cell r="AG40">
            <v>3294629000</v>
          </cell>
          <cell r="AH40">
            <v>5708910000</v>
          </cell>
          <cell r="AI40">
            <v>-12338000</v>
          </cell>
          <cell r="AJ40">
            <v>-12993000</v>
          </cell>
          <cell r="AK40">
            <v>-13955000</v>
          </cell>
          <cell r="AL40">
            <v>-21429000</v>
          </cell>
          <cell r="AM40">
            <v>2465852000</v>
          </cell>
          <cell r="AN40">
            <v>2556286000</v>
          </cell>
          <cell r="AO40">
            <v>3280674000</v>
          </cell>
          <cell r="AP40">
            <v>5687481000</v>
          </cell>
          <cell r="AQ40">
            <v>25625000</v>
          </cell>
          <cell r="AR40">
            <v>36950000</v>
          </cell>
          <cell r="AS40">
            <v>41082000</v>
          </cell>
          <cell r="AT40">
            <v>52467000</v>
          </cell>
          <cell r="AU40">
            <v>-2183446000</v>
          </cell>
          <cell r="AV40">
            <v>-2182769000</v>
          </cell>
          <cell r="AW40">
            <v>-3086835000</v>
          </cell>
          <cell r="AX40">
            <v>-5295444000</v>
          </cell>
          <cell r="AY40" t="str">
            <v>n.a.</v>
          </cell>
          <cell r="AZ40" t="str">
            <v>n.a.</v>
          </cell>
          <cell r="BA40" t="str">
            <v>n.a.</v>
          </cell>
          <cell r="BB40" t="str">
            <v>n.a.</v>
          </cell>
          <cell r="BC40">
            <v>-303915000</v>
          </cell>
          <cell r="BD40">
            <v>-443739000</v>
          </cell>
          <cell r="BE40">
            <v>-376436000</v>
          </cell>
          <cell r="BF40">
            <v>-407811000</v>
          </cell>
          <cell r="BG40">
            <v>4116000</v>
          </cell>
          <cell r="BH40">
            <v>-33272000</v>
          </cell>
          <cell r="BI40">
            <v>-141515000</v>
          </cell>
          <cell r="BJ40">
            <v>36693000</v>
          </cell>
          <cell r="BK40">
            <v>-59820000</v>
          </cell>
          <cell r="BL40">
            <v>-145566000</v>
          </cell>
          <cell r="BM40">
            <v>-187200000</v>
          </cell>
          <cell r="BN40">
            <v>-43647000</v>
          </cell>
          <cell r="BO40">
            <v>-56110000</v>
          </cell>
          <cell r="BP40">
            <v>-64205000</v>
          </cell>
          <cell r="BQ40">
            <v>-43686000</v>
          </cell>
          <cell r="BR40">
            <v>-39443000</v>
          </cell>
          <cell r="BS40">
            <v>-3710000</v>
          </cell>
          <cell r="BT40">
            <v>-81361000</v>
          </cell>
          <cell r="BU40">
            <v>-143514000</v>
          </cell>
          <cell r="BV40">
            <v>-4204000</v>
          </cell>
          <cell r="BW40">
            <v>-71613000</v>
          </cell>
          <cell r="BX40">
            <v>1455423000</v>
          </cell>
          <cell r="BY40">
            <v>-4716184000</v>
          </cell>
          <cell r="BZ40">
            <v>-100072000</v>
          </cell>
          <cell r="CA40">
            <v>1293383000</v>
          </cell>
          <cell r="CB40">
            <v>1699606000</v>
          </cell>
          <cell r="CC40">
            <v>2176477000</v>
          </cell>
          <cell r="CD40">
            <v>6179015000</v>
          </cell>
          <cell r="CE40">
            <v>541333000</v>
          </cell>
          <cell r="CF40">
            <v>245265000</v>
          </cell>
          <cell r="CG40">
            <v>299445000</v>
          </cell>
          <cell r="CH40">
            <v>278494000</v>
          </cell>
          <cell r="CI40">
            <v>204184000</v>
          </cell>
          <cell r="CJ40">
            <v>274842000</v>
          </cell>
          <cell r="CK40">
            <v>239010000</v>
          </cell>
          <cell r="CL40">
            <v>893327000</v>
          </cell>
          <cell r="CM40">
            <v>116810000</v>
          </cell>
          <cell r="CN40">
            <v>86309000</v>
          </cell>
          <cell r="CO40">
            <v>491137000</v>
          </cell>
          <cell r="CP40">
            <v>3813692000</v>
          </cell>
          <cell r="CQ40">
            <v>338758000</v>
          </cell>
          <cell r="CR40">
            <v>892058000</v>
          </cell>
          <cell r="CS40">
            <v>988714000</v>
          </cell>
          <cell r="CT40">
            <v>1032175000</v>
          </cell>
          <cell r="CU40">
            <v>47411000</v>
          </cell>
          <cell r="CV40">
            <v>324860000</v>
          </cell>
          <cell r="CW40">
            <v>59000000</v>
          </cell>
          <cell r="CX40" t="str">
            <v>n.a.</v>
          </cell>
          <cell r="CY40">
            <v>65951000</v>
          </cell>
          <cell r="CZ40">
            <v>20290000</v>
          </cell>
          <cell r="DA40">
            <v>256801000</v>
          </cell>
          <cell r="DB40">
            <v>182610000</v>
          </cell>
          <cell r="DC40">
            <v>2339194000</v>
          </cell>
          <cell r="DD40">
            <v>2707250000</v>
          </cell>
          <cell r="DE40">
            <v>3399414000</v>
          </cell>
          <cell r="DF40">
            <v>7206490000</v>
          </cell>
          <cell r="DG40">
            <v>2465852000</v>
          </cell>
          <cell r="DH40">
            <v>-2183446000</v>
          </cell>
          <cell r="DI40">
            <v>-303915000</v>
          </cell>
          <cell r="DJ40">
            <v>-59820000</v>
          </cell>
          <cell r="DK40">
            <v>-81329000</v>
          </cell>
          <cell r="DL40">
            <v>-3.2982109226344501E-2</v>
          </cell>
          <cell r="DM40">
            <v>-3.1929022711774301E-2</v>
          </cell>
          <cell r="DN40" t="str">
            <v>n.a.</v>
          </cell>
          <cell r="DO40">
            <v>393299000</v>
          </cell>
          <cell r="DP40">
            <v>43120500</v>
          </cell>
          <cell r="DR40">
            <v>2556286000</v>
          </cell>
          <cell r="DS40">
            <v>-2182769000</v>
          </cell>
          <cell r="DT40">
            <v>-443739000</v>
          </cell>
          <cell r="DU40">
            <v>-145566000</v>
          </cell>
          <cell r="DV40">
            <v>-215788000</v>
          </cell>
          <cell r="DW40">
            <v>-8.4414654698261496E-2</v>
          </cell>
          <cell r="DX40">
            <v>-7.7843520771812003E-2</v>
          </cell>
          <cell r="DY40" t="str">
            <v>n.a.</v>
          </cell>
          <cell r="DZ40">
            <v>272355000</v>
          </cell>
          <cell r="EA40">
            <v>138545500</v>
          </cell>
          <cell r="EC40">
            <v>3280674000</v>
          </cell>
          <cell r="ED40">
            <v>-3086835000</v>
          </cell>
          <cell r="EE40">
            <v>-376436000</v>
          </cell>
          <cell r="EF40">
            <v>-187200000</v>
          </cell>
          <cell r="EG40">
            <v>-369797000</v>
          </cell>
          <cell r="EH40">
            <v>-0.11271982525542</v>
          </cell>
          <cell r="EI40">
            <v>-0.101301174560762</v>
          </cell>
          <cell r="EJ40" t="str">
            <v>n.a.</v>
          </cell>
          <cell r="EK40">
            <v>288969500</v>
          </cell>
          <cell r="EL40">
            <v>219705500</v>
          </cell>
          <cell r="EN40">
            <v>2767604000</v>
          </cell>
          <cell r="EO40">
            <v>-2484350000</v>
          </cell>
          <cell r="EP40">
            <v>-374696666.66666698</v>
          </cell>
          <cell r="EQ40">
            <v>-130862000</v>
          </cell>
          <cell r="ER40">
            <v>-222304666.66666701</v>
          </cell>
          <cell r="ES40">
            <v>-8.0323870996958605E-2</v>
          </cell>
          <cell r="ET40">
            <v>-7.43516580105123E-2</v>
          </cell>
        </row>
        <row r="41">
          <cell r="B41" t="str">
            <v>HEMAS HOLDINGS PLC</v>
          </cell>
          <cell r="C41" t="str">
            <v>exclude</v>
          </cell>
          <cell r="D41" t="str">
            <v>Lev SDA/SDP</v>
          </cell>
          <cell r="H41" t="str">
            <v/>
          </cell>
          <cell r="J41" t="str">
            <v>exclude</v>
          </cell>
          <cell r="K41" t="str">
            <v>lev SDA/SDP</v>
          </cell>
          <cell r="M41" t="str">
            <v>HEMAS HOLDINGS PLC</v>
          </cell>
          <cell r="N41" t="str">
            <v>This investment holding company manufactures, distributes, imports, and exports products and services in fast moving consumer goods (FMCG), pharmaceutical, hospital, transportation, leisure, and power sectors in Sri Lanka and internationally. It was founded in 1948 by Sheikh Hasannally Esufally (MBE) as a pharmaceuticals and trading enterprise. It is based in Colombo, Sri Lanka.The company is recognized as one of Sri Lanka's largest firms that distributes recognizable brands including Baby Cheramy, Clogard and ProSport. It offers personal care products under the Baby Cheramy, Clogard, Dandex, Pro Sport, Kumarika, Gold, Goya, Paris, Fems, and Capri brands; home care products under the Diva brand; skin care products under the Velevt brand; paper products; personal wash products under the Velvet brand; and products under the Godrej brand. The company also distributes pharmaceuticals, and surgical and diagnostic products; operates hospitals; markets over-the-counter health and wellness products; operates hotels and resorts; and offers destination management services. In addition, it provides airline representation and outbound travel, logistics, shipping agency, and maritime services; business process outsourcing services; and IT development and training services. Further, the company trades in and distributes FMCG products; imports and sells food products, consumer products, pharmaceuticals and medical aid; manufactures and trades in pharmaceuticals; provides research and development, travel agency, break bulk casual caller and cargo handling, general carrier and warehousing, corporate secretary, and property development services. Additionally, it is involved in the operation of GSA Emirates and GSA Malaysian airlines; import and distribution of agro chemicals; and promotional and wharf clearing activities.</v>
          </cell>
          <cell r="O41" t="str">
            <v>Manufacturing; Wholesale; Services</v>
          </cell>
          <cell r="P41" t="str">
            <v>www.hemas.com</v>
          </cell>
          <cell r="R41" t="str">
            <v>Sri Lanka</v>
          </cell>
          <cell r="S41" t="str">
            <v>HHL.N0000</v>
          </cell>
          <cell r="T41" t="str">
            <v>A+</v>
          </cell>
          <cell r="U41" t="str">
            <v>2844</v>
          </cell>
          <cell r="V41" t="str">
            <v>Investment holding company manufactures, distributes, imports, and exports products and services in fast moving consumer goods (FMCG), pharmaceutical, hospital, transportation, leisure, and power sectors in Sri Lanka and internationally</v>
          </cell>
          <cell r="W41" t="str">
            <v>The Company is mainly engaged in investment activities and providing management and administration services to other companies in the group.</v>
          </cell>
          <cell r="X41" t="str">
            <v>HEMAS (DRUGS) LIMITED</v>
          </cell>
          <cell r="Y41" t="str">
            <v>Baby Cheramy, Clogard, Dandex, Pro Sport, Kumarika, Gold, Goya, Paris, Fems, and Capri; Diva; Velevt; Velvet; Godrej</v>
          </cell>
          <cell r="Z41" t="str">
            <v>LK30229FS</v>
          </cell>
          <cell r="AA41">
            <v>114257360000</v>
          </cell>
          <cell r="AB41">
            <v>78990956000</v>
          </cell>
          <cell r="AC41">
            <v>65039885000</v>
          </cell>
          <cell r="AD41">
            <v>61862642000</v>
          </cell>
          <cell r="AE41">
            <v>113939574000</v>
          </cell>
          <cell r="AF41">
            <v>78830849000</v>
          </cell>
          <cell r="AG41">
            <v>64869532000</v>
          </cell>
          <cell r="AH41">
            <v>61632071000</v>
          </cell>
          <cell r="AI41" t="str">
            <v>n.a.</v>
          </cell>
          <cell r="AJ41" t="str">
            <v>n.a.</v>
          </cell>
          <cell r="AK41" t="str">
            <v>n.a.</v>
          </cell>
          <cell r="AL41" t="str">
            <v>n.a.</v>
          </cell>
          <cell r="AM41">
            <v>113939574000</v>
          </cell>
          <cell r="AN41">
            <v>78830849000</v>
          </cell>
          <cell r="AO41">
            <v>64869532000</v>
          </cell>
          <cell r="AP41">
            <v>61632071000</v>
          </cell>
          <cell r="AQ41">
            <v>317786000</v>
          </cell>
          <cell r="AR41">
            <v>160107000</v>
          </cell>
          <cell r="AS41">
            <v>170353000</v>
          </cell>
          <cell r="AT41">
            <v>230571000</v>
          </cell>
          <cell r="AU41">
            <v>-80285501000</v>
          </cell>
          <cell r="AV41">
            <v>-55507945000</v>
          </cell>
          <cell r="AW41">
            <v>-43410463000</v>
          </cell>
          <cell r="AX41">
            <v>-39129920000</v>
          </cell>
          <cell r="AY41">
            <v>0</v>
          </cell>
          <cell r="AZ41">
            <v>0</v>
          </cell>
          <cell r="BA41">
            <v>0</v>
          </cell>
          <cell r="BB41">
            <v>0</v>
          </cell>
          <cell r="BC41">
            <v>-21549761000</v>
          </cell>
          <cell r="BD41">
            <v>-16165821000</v>
          </cell>
          <cell r="BE41">
            <v>-14699768000</v>
          </cell>
          <cell r="BF41">
            <v>-17419888000</v>
          </cell>
          <cell r="BG41">
            <v>12422098000</v>
          </cell>
          <cell r="BH41">
            <v>7317190000</v>
          </cell>
          <cell r="BI41">
            <v>6929654000</v>
          </cell>
          <cell r="BJ41">
            <v>5312834000</v>
          </cell>
          <cell r="BK41">
            <v>-1602440000</v>
          </cell>
          <cell r="BL41">
            <v>-1461346000</v>
          </cell>
          <cell r="BM41">
            <v>-1596548000</v>
          </cell>
          <cell r="BN41">
            <v>-1658512000</v>
          </cell>
          <cell r="BO41">
            <v>-1526053000</v>
          </cell>
          <cell r="BP41">
            <v>-1384803000</v>
          </cell>
          <cell r="BQ41">
            <v>-1512613000</v>
          </cell>
          <cell r="BR41">
            <v>-1564718000</v>
          </cell>
          <cell r="BS41">
            <v>-76387000</v>
          </cell>
          <cell r="BT41">
            <v>-76543000</v>
          </cell>
          <cell r="BU41">
            <v>-83935000</v>
          </cell>
          <cell r="BV41">
            <v>-93794000</v>
          </cell>
          <cell r="BW41">
            <v>4268855000</v>
          </cell>
          <cell r="BX41">
            <v>4248553000</v>
          </cell>
          <cell r="BY41">
            <v>3253350000</v>
          </cell>
          <cell r="BZ41">
            <v>1235717000</v>
          </cell>
          <cell r="CA41">
            <v>70875255000</v>
          </cell>
          <cell r="CB41">
            <v>51221369000</v>
          </cell>
          <cell r="CC41">
            <v>37894554000</v>
          </cell>
          <cell r="CD41">
            <v>35653636000</v>
          </cell>
          <cell r="CE41">
            <v>28602360000</v>
          </cell>
          <cell r="CF41">
            <v>16807120000</v>
          </cell>
          <cell r="CG41">
            <v>15450580000</v>
          </cell>
          <cell r="CH41">
            <v>13559991000</v>
          </cell>
          <cell r="CI41">
            <v>17245243000</v>
          </cell>
          <cell r="CJ41">
            <v>13759137000</v>
          </cell>
          <cell r="CK41">
            <v>10133764000</v>
          </cell>
          <cell r="CL41">
            <v>12114185000</v>
          </cell>
          <cell r="CM41">
            <v>5394102000</v>
          </cell>
          <cell r="CN41">
            <v>4277716000</v>
          </cell>
          <cell r="CO41">
            <v>2899255000</v>
          </cell>
          <cell r="CP41">
            <v>3165676000</v>
          </cell>
          <cell r="CQ41">
            <v>16330774000</v>
          </cell>
          <cell r="CR41">
            <v>13895026000</v>
          </cell>
          <cell r="CS41">
            <v>8458209000</v>
          </cell>
          <cell r="CT41">
            <v>5617272000</v>
          </cell>
          <cell r="CU41" t="str">
            <v>n.a.</v>
          </cell>
          <cell r="CV41">
            <v>100000</v>
          </cell>
          <cell r="CW41">
            <v>100000</v>
          </cell>
          <cell r="CX41">
            <v>300000</v>
          </cell>
          <cell r="CY41">
            <v>5981837000</v>
          </cell>
          <cell r="CZ41">
            <v>5557187000</v>
          </cell>
          <cell r="DA41">
            <v>8621243000</v>
          </cell>
          <cell r="DB41">
            <v>8354199000</v>
          </cell>
          <cell r="DC41">
            <v>98497883000</v>
          </cell>
          <cell r="DD41">
            <v>76307670000</v>
          </cell>
          <cell r="DE41">
            <v>63594388000</v>
          </cell>
          <cell r="DF41">
            <v>64380417000</v>
          </cell>
          <cell r="DG41">
            <v>113939574000</v>
          </cell>
          <cell r="DH41">
            <v>-80285501000</v>
          </cell>
          <cell r="DI41">
            <v>-21549761000</v>
          </cell>
          <cell r="DJ41">
            <v>-1602440000</v>
          </cell>
          <cell r="DK41">
            <v>10501872000</v>
          </cell>
          <cell r="DL41">
            <v>9.2170539447514493E-2</v>
          </cell>
          <cell r="DM41">
            <v>0.10152847363140401</v>
          </cell>
          <cell r="DN41">
            <v>0</v>
          </cell>
          <cell r="DO41">
            <v>22704740000</v>
          </cell>
          <cell r="DP41">
            <v>5769512000</v>
          </cell>
          <cell r="DR41">
            <v>78830849000</v>
          </cell>
          <cell r="DS41">
            <v>-55507945000</v>
          </cell>
          <cell r="DT41">
            <v>-16165821000</v>
          </cell>
          <cell r="DU41">
            <v>-1461346000</v>
          </cell>
          <cell r="DV41">
            <v>5695737000</v>
          </cell>
          <cell r="DW41">
            <v>7.2252640587443101E-2</v>
          </cell>
          <cell r="DX41">
            <v>7.7879651021796503E-2</v>
          </cell>
          <cell r="DY41">
            <v>0</v>
          </cell>
          <cell r="DZ41">
            <v>16128850000</v>
          </cell>
          <cell r="EA41">
            <v>7089215000</v>
          </cell>
          <cell r="EC41">
            <v>64869532000</v>
          </cell>
          <cell r="ED41">
            <v>-43410463000</v>
          </cell>
          <cell r="EE41">
            <v>-14699768000</v>
          </cell>
          <cell r="EF41">
            <v>-1596548000</v>
          </cell>
          <cell r="EG41">
            <v>5162753000</v>
          </cell>
          <cell r="EH41">
            <v>7.9586715686495196E-2</v>
          </cell>
          <cell r="EI41">
            <v>8.6468456119530399E-2</v>
          </cell>
          <cell r="EJ41">
            <v>0</v>
          </cell>
          <cell r="EK41">
            <v>14505285500</v>
          </cell>
          <cell r="EL41">
            <v>8487721000</v>
          </cell>
          <cell r="EN41">
            <v>85879985000</v>
          </cell>
          <cell r="EO41">
            <v>-59734636333.333298</v>
          </cell>
          <cell r="EP41">
            <v>-17471783333.333302</v>
          </cell>
          <cell r="EQ41">
            <v>-1553444666.6666701</v>
          </cell>
          <cell r="ER41">
            <v>7120120666.6666698</v>
          </cell>
          <cell r="ES41">
            <v>8.2907800538934207E-2</v>
          </cell>
          <cell r="ET41">
            <v>9.0402906695374194E-2</v>
          </cell>
        </row>
        <row r="42">
          <cell r="B42" t="str">
            <v>MIWON COMMERCIAL CO.,LTD.</v>
          </cell>
          <cell r="C42" t="str">
            <v>exclude</v>
          </cell>
          <cell r="D42" t="str">
            <v>Lev SDA/SDP</v>
          </cell>
          <cell r="H42" t="str">
            <v/>
          </cell>
          <cell r="J42" t="str">
            <v>exclude</v>
          </cell>
          <cell r="K42" t="str">
            <v>lev SDA/SDP</v>
          </cell>
          <cell r="M42" t="str">
            <v>MIWON COMMERCIAL CO.,LTD.</v>
          </cell>
          <cell r="N42" t="str">
            <v>This company is engaged in the manufacture of chemical products. It was established in 1959 and conducts its business from its registered headquarters located in Ansan-si, Republic of Korea.The company has five main businesses: performance chemical business, which provides sulfur, refined and fuming sulfuric acid, sulphonic acid and rubber chemicals; personal care ingredients business, which produces hair, skin, oral and home care products, peptide cosmeceuticals and natural cosmeceuticals; specialty chemical business, which provides photo initiators, functional monomers, oligomers and epoxy diluents; electronic chemical business, which provides photoactive compounds, raw materials for photoactive compounds and photo sensitizers for negative photo resist used in cathode ray tube (CRT) devices, and polymer additive business, which produces antioxidants and ultraviolet (UV) stabilizers. It aims to be the world-renowned producer and supplier of chemical products.</v>
          </cell>
          <cell r="O42" t="str">
            <v>Manufacturing</v>
          </cell>
          <cell r="P42" t="str">
            <v>www.mwc.co.kr</v>
          </cell>
          <cell r="R42" t="str">
            <v>Republic of Korea</v>
          </cell>
          <cell r="S42" t="str">
            <v>002840</v>
          </cell>
          <cell r="T42" t="str">
            <v>A+</v>
          </cell>
          <cell r="U42" t="str">
            <v>2843</v>
          </cell>
          <cell r="V42" t="str">
            <v>Engaged in the manufacture of chemical products</v>
          </cell>
          <cell r="W42" t="str">
            <v>- The company was established in November 1959 and it is engaged in the manufacture and sale of chemical agents such as surfactants and electronic materials, and was listed on the Korea Exchange''s stock market in September, 1989.- Major products include electronic materials such as surfactant, antioxidant, UV stabilizer, photosensitizer, polymer, sensitizer etc. Subject has high market shares. - Subject''s subsidiaries to be consolidated includes Gyedong Chungunjung Sehwagong Corp. In August. 2016, Dongnam Chemical Co., Ltd. merged with subsidiary Miwon EOD Co., Ltd to subsidiary.</v>
          </cell>
          <cell r="Z42" t="str">
            <v>KR1301110007707</v>
          </cell>
          <cell r="AA42">
            <v>438188004000</v>
          </cell>
          <cell r="AB42">
            <v>359794983000</v>
          </cell>
          <cell r="AC42">
            <v>294983860000</v>
          </cell>
          <cell r="AD42">
            <v>249991190000</v>
          </cell>
          <cell r="AE42">
            <v>438188004000</v>
          </cell>
          <cell r="AF42">
            <v>359794983000</v>
          </cell>
          <cell r="AG42">
            <v>294983860000</v>
          </cell>
          <cell r="AH42">
            <v>249991190000</v>
          </cell>
          <cell r="AI42" t="str">
            <v>n.a.</v>
          </cell>
          <cell r="AJ42" t="str">
            <v>n.a.</v>
          </cell>
          <cell r="AK42" t="str">
            <v>n.a.</v>
          </cell>
          <cell r="AL42" t="str">
            <v>n.a.</v>
          </cell>
          <cell r="AM42">
            <v>438188004000</v>
          </cell>
          <cell r="AN42">
            <v>359794983000</v>
          </cell>
          <cell r="AO42">
            <v>294983860000</v>
          </cell>
          <cell r="AP42">
            <v>249991190000</v>
          </cell>
          <cell r="AQ42" t="str">
            <v>n.a.</v>
          </cell>
          <cell r="AR42" t="str">
            <v>n.a.</v>
          </cell>
          <cell r="AS42" t="str">
            <v>n.a.</v>
          </cell>
          <cell r="AT42" t="str">
            <v>n.a.</v>
          </cell>
          <cell r="AU42">
            <v>-330046379000</v>
          </cell>
          <cell r="AV42">
            <v>-275114763000</v>
          </cell>
          <cell r="AW42">
            <v>-226924697000</v>
          </cell>
          <cell r="AX42">
            <v>-195143442000</v>
          </cell>
          <cell r="AY42">
            <v>-10352987000</v>
          </cell>
          <cell r="AZ42">
            <v>-9155303000</v>
          </cell>
          <cell r="BA42">
            <v>-8572789000</v>
          </cell>
          <cell r="BB42">
            <v>-8113492000</v>
          </cell>
          <cell r="BC42">
            <v>-20658543000</v>
          </cell>
          <cell r="BD42">
            <v>-18192128000</v>
          </cell>
          <cell r="BE42">
            <v>-16389161000</v>
          </cell>
          <cell r="BF42">
            <v>-14260428000</v>
          </cell>
          <cell r="BG42">
            <v>77130095000</v>
          </cell>
          <cell r="BH42">
            <v>57332789000</v>
          </cell>
          <cell r="BI42">
            <v>43097213000</v>
          </cell>
          <cell r="BJ42">
            <v>32473828000</v>
          </cell>
          <cell r="BK42">
            <v>-114509000</v>
          </cell>
          <cell r="BL42">
            <v>-178035000</v>
          </cell>
          <cell r="BM42">
            <v>-213263000</v>
          </cell>
          <cell r="BN42">
            <v>-213403000</v>
          </cell>
          <cell r="BO42">
            <v>-111741000</v>
          </cell>
          <cell r="BP42">
            <v>-175728000</v>
          </cell>
          <cell r="BQ42">
            <v>-213263000</v>
          </cell>
          <cell r="BR42">
            <v>-213403000</v>
          </cell>
          <cell r="BS42">
            <v>-2768000</v>
          </cell>
          <cell r="BT42">
            <v>-2307000</v>
          </cell>
          <cell r="BU42" t="str">
            <v>n.a.</v>
          </cell>
          <cell r="BV42" t="str">
            <v>n.a.</v>
          </cell>
          <cell r="BW42">
            <v>72215529000</v>
          </cell>
          <cell r="BX42">
            <v>57743052000</v>
          </cell>
          <cell r="BY42">
            <v>51848333000</v>
          </cell>
          <cell r="BZ42">
            <v>31123175000</v>
          </cell>
          <cell r="CA42">
            <v>197197077000</v>
          </cell>
          <cell r="CB42">
            <v>171562461000</v>
          </cell>
          <cell r="CC42">
            <v>137696042000</v>
          </cell>
          <cell r="CD42">
            <v>120230352000</v>
          </cell>
          <cell r="CE42">
            <v>102743683000</v>
          </cell>
          <cell r="CF42">
            <v>85524319000</v>
          </cell>
          <cell r="CG42">
            <v>62321029000</v>
          </cell>
          <cell r="CH42">
            <v>61239016000</v>
          </cell>
          <cell r="CI42">
            <v>67286468000</v>
          </cell>
          <cell r="CJ42">
            <v>62868939000</v>
          </cell>
          <cell r="CK42">
            <v>51492158000</v>
          </cell>
          <cell r="CL42">
            <v>47808740000</v>
          </cell>
          <cell r="CM42">
            <v>1331445000</v>
          </cell>
          <cell r="CN42">
            <v>1171984000</v>
          </cell>
          <cell r="CO42">
            <v>1234313000</v>
          </cell>
          <cell r="CP42">
            <v>1389794000</v>
          </cell>
          <cell r="CQ42">
            <v>25264165000</v>
          </cell>
          <cell r="CR42">
            <v>21670615000</v>
          </cell>
          <cell r="CS42">
            <v>22220931000</v>
          </cell>
          <cell r="CT42">
            <v>9194271000</v>
          </cell>
          <cell r="CU42" t="str">
            <v>n.a.</v>
          </cell>
          <cell r="CV42" t="str">
            <v>n.a.</v>
          </cell>
          <cell r="CW42" t="str">
            <v>n.a.</v>
          </cell>
          <cell r="CX42" t="str">
            <v>n.a.</v>
          </cell>
          <cell r="CY42">
            <v>14017176000</v>
          </cell>
          <cell r="CZ42">
            <v>8251038000</v>
          </cell>
          <cell r="DA42">
            <v>10470362000</v>
          </cell>
          <cell r="DB42">
            <v>12515210000</v>
          </cell>
          <cell r="DC42">
            <v>415619325000</v>
          </cell>
          <cell r="DD42">
            <v>372413719000</v>
          </cell>
          <cell r="DE42">
            <v>328954823000</v>
          </cell>
          <cell r="DF42">
            <v>280693590000</v>
          </cell>
          <cell r="DG42">
            <v>438188004000</v>
          </cell>
          <cell r="DH42">
            <v>-330046379000</v>
          </cell>
          <cell r="DI42">
            <v>-31011530000</v>
          </cell>
          <cell r="DJ42">
            <v>-114509000</v>
          </cell>
          <cell r="DK42">
            <v>77015586000</v>
          </cell>
          <cell r="DL42">
            <v>0.17575922959314999</v>
          </cell>
          <cell r="DM42">
            <v>0.213237728469066</v>
          </cell>
          <cell r="DN42">
            <v>-10352987000</v>
          </cell>
          <cell r="DO42">
            <v>94134001000</v>
          </cell>
          <cell r="DP42">
            <v>11134107000</v>
          </cell>
          <cell r="DR42">
            <v>359794983000</v>
          </cell>
          <cell r="DS42">
            <v>-275114763000</v>
          </cell>
          <cell r="DT42">
            <v>-27347431000</v>
          </cell>
          <cell r="DU42">
            <v>-178035000</v>
          </cell>
          <cell r="DV42">
            <v>57154754000</v>
          </cell>
          <cell r="DW42">
            <v>0.15885367139763601</v>
          </cell>
          <cell r="DX42">
            <v>0.18885378916363399</v>
          </cell>
          <cell r="DY42">
            <v>-9155303000</v>
          </cell>
          <cell r="DZ42">
            <v>73922674000</v>
          </cell>
          <cell r="EA42">
            <v>9360700000</v>
          </cell>
          <cell r="EC42">
            <v>294983860000</v>
          </cell>
          <cell r="ED42">
            <v>-226924697000</v>
          </cell>
          <cell r="EE42">
            <v>-24961950000</v>
          </cell>
          <cell r="EF42">
            <v>-213263000</v>
          </cell>
          <cell r="EG42">
            <v>42883950000</v>
          </cell>
          <cell r="EH42">
            <v>0.14537727589570501</v>
          </cell>
          <cell r="EI42">
            <v>0.170106962751395</v>
          </cell>
          <cell r="EJ42">
            <v>-8572789000</v>
          </cell>
          <cell r="EK42">
            <v>61780022500</v>
          </cell>
          <cell r="EL42">
            <v>11492786000</v>
          </cell>
          <cell r="EN42">
            <v>364322282333.33301</v>
          </cell>
          <cell r="EO42">
            <v>-277361946333.33301</v>
          </cell>
          <cell r="EP42">
            <v>-27773637000</v>
          </cell>
          <cell r="EQ42">
            <v>-168602333.33333299</v>
          </cell>
          <cell r="ER42">
            <v>59018096666.666702</v>
          </cell>
          <cell r="ES42">
            <v>0.161994199994247</v>
          </cell>
          <cell r="ET42">
            <v>0.19330916324580999</v>
          </cell>
        </row>
        <row r="43">
          <cell r="B43" t="str">
            <v>MILBON CO LTD</v>
          </cell>
          <cell r="C43" t="str">
            <v>exclude</v>
          </cell>
          <cell r="D43" t="str">
            <v>Lev SDA/SDP</v>
          </cell>
          <cell r="H43" t="str">
            <v/>
          </cell>
          <cell r="J43" t="str">
            <v>exclude</v>
          </cell>
          <cell r="K43" t="str">
            <v>lev SDA/SDP</v>
          </cell>
          <cell r="M43" t="str">
            <v>MILBON CO LTD</v>
          </cell>
          <cell r="N43" t="str">
            <v>The company is involved in the manufacture and marketing of perming chemicals, shampoos, treatments, hair styling chemicals, hair coloring chemicals, medical trichogens and perming appliances. It was founded in July of 1960, and has its headquarters in Miyakojima-ku, Osaka, Japan.The company offers a wide range of products, including permanent wave lotions such as cysteine permanent wave lotion, thioglycolic permanent wave lotion and anti-frizz straightening lotion; hair care products, including shampoos, conditioners, hair treatment, hair tonic, hair creams, liquid and foamy hair styling products, setting lotions and hair sprays; hair colorants, encompassing hair dyes and hair manicures, and others, including hair rods, rollers and perm irons. The company operates a production facility located in Iga-shi, Mie, and office branches in Tokyo, Nagoya, Osaka, Fukuoka, Sendai, Saitama, Yokohama, Kanazawa, Kobe and Hiroshima.</v>
          </cell>
          <cell r="O43" t="str">
            <v>Manufacturing</v>
          </cell>
          <cell r="P43" t="str">
            <v>www.milbon.co.jp</v>
          </cell>
          <cell r="R43" t="str">
            <v>Japan</v>
          </cell>
          <cell r="S43" t="str">
            <v>4919</v>
          </cell>
          <cell r="T43" t="str">
            <v>A+</v>
          </cell>
          <cell r="U43" t="str">
            <v>2844</v>
          </cell>
          <cell r="V43" t="str">
            <v>Involved in the manufacture and marketing of perming chemicals, shampoos, treatments, hair styling chemicals, hair coloring chemicals, medical trichogens and perming appliances</v>
          </cell>
          <cell r="W43" t="str">
            <v>The Company is a Japan-based company mainly engaged in the manufacture and sale of hair cosmetics, as well as the provision of related services.</v>
          </cell>
          <cell r="X43" t="str">
            <v>YUTAKA BEAUTY CHEMICALS COMPANY LIMITED</v>
          </cell>
          <cell r="Z43" t="str">
            <v>JP3120001001206</v>
          </cell>
          <cell r="AA43">
            <v>45238377000</v>
          </cell>
          <cell r="AB43">
            <v>41582267000</v>
          </cell>
          <cell r="AC43">
            <v>35725069000</v>
          </cell>
          <cell r="AD43">
            <v>36266444000</v>
          </cell>
          <cell r="AE43">
            <v>45238377000</v>
          </cell>
          <cell r="AF43">
            <v>41582267000</v>
          </cell>
          <cell r="AG43">
            <v>35725069000</v>
          </cell>
          <cell r="AH43">
            <v>36266444000</v>
          </cell>
          <cell r="AI43" t="str">
            <v>n.a.</v>
          </cell>
          <cell r="AJ43" t="str">
            <v>n.a.</v>
          </cell>
          <cell r="AK43" t="str">
            <v>n.a.</v>
          </cell>
          <cell r="AL43" t="str">
            <v>n.a.</v>
          </cell>
          <cell r="AM43">
            <v>45238377000</v>
          </cell>
          <cell r="AN43">
            <v>41582267000</v>
          </cell>
          <cell r="AO43">
            <v>35725069000</v>
          </cell>
          <cell r="AP43">
            <v>36266444000</v>
          </cell>
          <cell r="AQ43" t="str">
            <v>n.a.</v>
          </cell>
          <cell r="AR43" t="str">
            <v>n.a.</v>
          </cell>
          <cell r="AS43" t="str">
            <v>n.a.</v>
          </cell>
          <cell r="AT43" t="str">
            <v>n.a.</v>
          </cell>
          <cell r="AU43">
            <v>-13648269000</v>
          </cell>
          <cell r="AV43">
            <v>-12306015000</v>
          </cell>
          <cell r="AW43">
            <v>-10730746000</v>
          </cell>
          <cell r="AX43">
            <v>-11060789000</v>
          </cell>
          <cell r="AY43">
            <v>-2074942000</v>
          </cell>
          <cell r="AZ43">
            <v>-1741738000</v>
          </cell>
          <cell r="BA43">
            <v>-1581055000</v>
          </cell>
          <cell r="BB43">
            <v>-1534332000</v>
          </cell>
          <cell r="BC43">
            <v>-19882563000</v>
          </cell>
          <cell r="BD43">
            <v>-17939492000</v>
          </cell>
          <cell r="BE43">
            <v>-15409465000</v>
          </cell>
          <cell r="BF43">
            <v>-15425525000</v>
          </cell>
          <cell r="BG43">
            <v>9632603000</v>
          </cell>
          <cell r="BH43">
            <v>9595022000</v>
          </cell>
          <cell r="BI43">
            <v>8003803000</v>
          </cell>
          <cell r="BJ43">
            <v>8245798000</v>
          </cell>
          <cell r="BK43">
            <v>-2080891000</v>
          </cell>
          <cell r="BL43">
            <v>-1777323000</v>
          </cell>
          <cell r="BM43">
            <v>-1609008000</v>
          </cell>
          <cell r="BN43">
            <v>-1493857000</v>
          </cell>
          <cell r="BO43">
            <v>-2080891000</v>
          </cell>
          <cell r="BP43">
            <v>-1777323000</v>
          </cell>
          <cell r="BQ43">
            <v>-1609008000</v>
          </cell>
          <cell r="BR43">
            <v>-1493857000</v>
          </cell>
          <cell r="BS43">
            <v>0</v>
          </cell>
          <cell r="BT43">
            <v>0</v>
          </cell>
          <cell r="BU43">
            <v>0</v>
          </cell>
          <cell r="BV43">
            <v>0</v>
          </cell>
          <cell r="BW43">
            <v>5577274000</v>
          </cell>
          <cell r="BX43">
            <v>5109288000</v>
          </cell>
          <cell r="BY43">
            <v>4204139000</v>
          </cell>
          <cell r="BZ43">
            <v>4517615000</v>
          </cell>
          <cell r="CA43">
            <v>26698631000</v>
          </cell>
          <cell r="CB43">
            <v>24900761000</v>
          </cell>
          <cell r="CC43">
            <v>22122303000</v>
          </cell>
          <cell r="CD43">
            <v>20330346000</v>
          </cell>
          <cell r="CE43">
            <v>8358151000</v>
          </cell>
          <cell r="CF43">
            <v>5940357000</v>
          </cell>
          <cell r="CG43">
            <v>5215353000</v>
          </cell>
          <cell r="CH43">
            <v>5067344000</v>
          </cell>
          <cell r="CI43">
            <v>5255501000</v>
          </cell>
          <cell r="CJ43">
            <v>4669987000</v>
          </cell>
          <cell r="CK43">
            <v>4195635000</v>
          </cell>
          <cell r="CL43">
            <v>4177001000</v>
          </cell>
          <cell r="CM43">
            <v>784926000</v>
          </cell>
          <cell r="CN43">
            <v>740270000</v>
          </cell>
          <cell r="CO43">
            <v>366291000</v>
          </cell>
          <cell r="CP43">
            <v>470611000</v>
          </cell>
          <cell r="CQ43">
            <v>12300053000</v>
          </cell>
          <cell r="CR43">
            <v>13550147000</v>
          </cell>
          <cell r="CS43">
            <v>12345024000</v>
          </cell>
          <cell r="CT43">
            <v>10615390000</v>
          </cell>
          <cell r="CU43" t="str">
            <v>n.a.</v>
          </cell>
          <cell r="CV43">
            <v>200000000</v>
          </cell>
          <cell r="CW43" t="str">
            <v>n.a.</v>
          </cell>
          <cell r="CX43" t="str">
            <v>n.a.</v>
          </cell>
          <cell r="CY43">
            <v>3784895000</v>
          </cell>
          <cell r="CZ43">
            <v>3370991000</v>
          </cell>
          <cell r="DA43">
            <v>3350490000</v>
          </cell>
          <cell r="DB43">
            <v>2803068000</v>
          </cell>
          <cell r="DC43">
            <v>52760387000</v>
          </cell>
          <cell r="DD43">
            <v>48238490000</v>
          </cell>
          <cell r="DE43">
            <v>43075520000</v>
          </cell>
          <cell r="DF43">
            <v>41912194000</v>
          </cell>
          <cell r="DG43">
            <v>45238377000</v>
          </cell>
          <cell r="DH43">
            <v>-13648269000</v>
          </cell>
          <cell r="DI43">
            <v>-21957505000</v>
          </cell>
          <cell r="DJ43">
            <v>-2080891000</v>
          </cell>
          <cell r="DK43">
            <v>7551712000</v>
          </cell>
          <cell r="DL43">
            <v>0.16693154133270499</v>
          </cell>
          <cell r="DM43">
            <v>0.20038154079168299</v>
          </cell>
          <cell r="DN43">
            <v>-2074942000</v>
          </cell>
          <cell r="DO43">
            <v>7149254000</v>
          </cell>
          <cell r="DP43">
            <v>3577943000</v>
          </cell>
          <cell r="DR43">
            <v>41582267000</v>
          </cell>
          <cell r="DS43">
            <v>-12306015000</v>
          </cell>
          <cell r="DT43">
            <v>-19681230000</v>
          </cell>
          <cell r="DU43">
            <v>-1777323000</v>
          </cell>
          <cell r="DV43">
            <v>7817699000</v>
          </cell>
          <cell r="DW43">
            <v>0.188005598636553</v>
          </cell>
          <cell r="DX43">
            <v>0.231535584877023</v>
          </cell>
          <cell r="DY43">
            <v>-1741738000</v>
          </cell>
          <cell r="DZ43">
            <v>5577855000</v>
          </cell>
          <cell r="EA43">
            <v>3360740500</v>
          </cell>
          <cell r="EC43">
            <v>35725069000</v>
          </cell>
          <cell r="ED43">
            <v>-10730746000</v>
          </cell>
          <cell r="EE43">
            <v>-16990520000</v>
          </cell>
          <cell r="EF43">
            <v>-1609008000</v>
          </cell>
          <cell r="EG43">
            <v>6394795000</v>
          </cell>
          <cell r="EH43">
            <v>0.17900021410735401</v>
          </cell>
          <cell r="EI43">
            <v>0.21802711423698301</v>
          </cell>
          <cell r="EJ43">
            <v>-1581055000</v>
          </cell>
          <cell r="EK43">
            <v>5141348500</v>
          </cell>
          <cell r="EL43">
            <v>3076779000</v>
          </cell>
          <cell r="EN43">
            <v>40848571000</v>
          </cell>
          <cell r="EO43">
            <v>-12228343333.3333</v>
          </cell>
          <cell r="EP43">
            <v>-19543085000</v>
          </cell>
          <cell r="EQ43">
            <v>-1822407333.3333299</v>
          </cell>
          <cell r="ER43">
            <v>7254735333.3333302</v>
          </cell>
          <cell r="ES43">
            <v>0.17760071296822899</v>
          </cell>
          <cell r="ET43">
            <v>0.21595436154769901</v>
          </cell>
        </row>
        <row r="44">
          <cell r="B44" t="str">
            <v>YA-MAN LTD</v>
          </cell>
          <cell r="C44" t="str">
            <v>exclude</v>
          </cell>
          <cell r="D44" t="str">
            <v>Lev SDA/SDP</v>
          </cell>
          <cell r="H44" t="str">
            <v/>
          </cell>
          <cell r="J44" t="str">
            <v>exclude</v>
          </cell>
          <cell r="K44" t="str">
            <v>lev SDA/SDP</v>
          </cell>
          <cell r="M44" t="str">
            <v>YA-MAN LTD</v>
          </cell>
          <cell r="N44" t="str">
            <v>This company specializes in the distribution and development of health and fitness products as well as semiconductor test equipment distributed throughout Japan, China, Europe and North America. It was founded in 1969 and has a registered head office located in Tokyo, Japan. The company has developed and patented the technology for a variety of handheld bio-impedance devices, which permit easy and accurate measurement of body fat. It also makes a complete line of Health and Beauty Products for lifestyle. Its NaviSlim product line, which includes the SlimStep Personal Fitness System, offers a combination of features to help people worldwide maintain a healthy, fit lifestyle. The company has several offices in Japan and in San Jose, California, United States.</v>
          </cell>
          <cell r="O44" t="str">
            <v>Manufacturing</v>
          </cell>
          <cell r="P44" t="str">
            <v>www.ya-man.com</v>
          </cell>
          <cell r="R44" t="str">
            <v>Japan</v>
          </cell>
          <cell r="S44" t="str">
            <v>6630</v>
          </cell>
          <cell r="T44" t="str">
            <v>A+</v>
          </cell>
          <cell r="U44" t="str">
            <v>2844</v>
          </cell>
          <cell r="V44" t="str">
            <v>Specializes in the distribution and development of health and fitness products as well as semiconductor test equipment distributed throughout Japan, China, Europe and North America</v>
          </cell>
          <cell r="W44" t="str">
            <v>The Company is a Japan-based company mainly engaged in the beauty and health related business.</v>
          </cell>
          <cell r="Z44" t="str">
            <v>JP5010601020184</v>
          </cell>
          <cell r="AA44">
            <v>42996308000</v>
          </cell>
          <cell r="AB44">
            <v>40943193000</v>
          </cell>
          <cell r="AC44">
            <v>36631026000</v>
          </cell>
          <cell r="AD44">
            <v>22975758000</v>
          </cell>
          <cell r="AE44">
            <v>42996308000</v>
          </cell>
          <cell r="AF44">
            <v>40943193000</v>
          </cell>
          <cell r="AG44">
            <v>36631026000</v>
          </cell>
          <cell r="AH44">
            <v>22975758000</v>
          </cell>
          <cell r="AI44" t="str">
            <v>n.a.</v>
          </cell>
          <cell r="AJ44" t="str">
            <v>n.a.</v>
          </cell>
          <cell r="AK44" t="str">
            <v>n.a.</v>
          </cell>
          <cell r="AL44" t="str">
            <v>n.a.</v>
          </cell>
          <cell r="AM44">
            <v>42996308000</v>
          </cell>
          <cell r="AN44">
            <v>40943193000</v>
          </cell>
          <cell r="AO44">
            <v>36631026000</v>
          </cell>
          <cell r="AP44">
            <v>22975758000</v>
          </cell>
          <cell r="AQ44" t="str">
            <v>n.a.</v>
          </cell>
          <cell r="AR44" t="str">
            <v>n.a.</v>
          </cell>
          <cell r="AS44" t="str">
            <v>n.a.</v>
          </cell>
          <cell r="AT44" t="str">
            <v>n.a.</v>
          </cell>
          <cell r="AU44">
            <v>-16676121000</v>
          </cell>
          <cell r="AV44">
            <v>-15619516000</v>
          </cell>
          <cell r="AW44">
            <v>-12980308000</v>
          </cell>
          <cell r="AX44">
            <v>-7997823000</v>
          </cell>
          <cell r="AY44">
            <v>-845177000</v>
          </cell>
          <cell r="AZ44">
            <v>-515711000</v>
          </cell>
          <cell r="BA44">
            <v>-410904000</v>
          </cell>
          <cell r="BB44">
            <v>-261871000</v>
          </cell>
          <cell r="BC44">
            <v>-18965568000</v>
          </cell>
          <cell r="BD44">
            <v>-17504770000</v>
          </cell>
          <cell r="BE44">
            <v>-16687775000</v>
          </cell>
          <cell r="BF44">
            <v>-11710778000</v>
          </cell>
          <cell r="BG44">
            <v>6509442000</v>
          </cell>
          <cell r="BH44">
            <v>7303196000</v>
          </cell>
          <cell r="BI44">
            <v>6552039000</v>
          </cell>
          <cell r="BJ44">
            <v>3005286000</v>
          </cell>
          <cell r="BK44">
            <v>-374622000</v>
          </cell>
          <cell r="BL44">
            <v>-422517000</v>
          </cell>
          <cell r="BM44">
            <v>-435239000</v>
          </cell>
          <cell r="BN44">
            <v>-500959000</v>
          </cell>
          <cell r="BO44">
            <v>-374622000</v>
          </cell>
          <cell r="BP44">
            <v>-422517000</v>
          </cell>
          <cell r="BQ44">
            <v>-349577000</v>
          </cell>
          <cell r="BR44">
            <v>-329634000</v>
          </cell>
          <cell r="BS44">
            <v>0</v>
          </cell>
          <cell r="BT44">
            <v>0</v>
          </cell>
          <cell r="BU44">
            <v>-85662000</v>
          </cell>
          <cell r="BV44">
            <v>-171325000</v>
          </cell>
          <cell r="BW44">
            <v>3913141000</v>
          </cell>
          <cell r="BX44">
            <v>5586869000</v>
          </cell>
          <cell r="BY44">
            <v>3727926000</v>
          </cell>
          <cell r="BZ44">
            <v>1322586000</v>
          </cell>
          <cell r="CA44">
            <v>28566696000</v>
          </cell>
          <cell r="CB44">
            <v>27907512000</v>
          </cell>
          <cell r="CC44">
            <v>23538015000</v>
          </cell>
          <cell r="CD44">
            <v>15040290000</v>
          </cell>
          <cell r="CE44">
            <v>5132500000</v>
          </cell>
          <cell r="CF44">
            <v>4118827000</v>
          </cell>
          <cell r="CG44">
            <v>3692333000</v>
          </cell>
          <cell r="CH44">
            <v>2034176000</v>
          </cell>
          <cell r="CI44">
            <v>4935153000</v>
          </cell>
          <cell r="CJ44">
            <v>5194775000</v>
          </cell>
          <cell r="CK44">
            <v>4000909000</v>
          </cell>
          <cell r="CL44">
            <v>3022020000</v>
          </cell>
          <cell r="CM44">
            <v>2352901000</v>
          </cell>
          <cell r="CN44">
            <v>1944801000</v>
          </cell>
          <cell r="CO44">
            <v>2887132000</v>
          </cell>
          <cell r="CP44">
            <v>2351587000</v>
          </cell>
          <cell r="CQ44">
            <v>16146142000</v>
          </cell>
          <cell r="CR44">
            <v>16649109000</v>
          </cell>
          <cell r="CS44">
            <v>12957641000</v>
          </cell>
          <cell r="CT44">
            <v>7632507000</v>
          </cell>
          <cell r="CU44" t="str">
            <v>n.a.</v>
          </cell>
          <cell r="CV44" t="str">
            <v>n.a.</v>
          </cell>
          <cell r="CW44" t="str">
            <v>n.a.</v>
          </cell>
          <cell r="CX44" t="str">
            <v>n.a.</v>
          </cell>
          <cell r="CY44" t="str">
            <v>n.a.</v>
          </cell>
          <cell r="CZ44" t="str">
            <v>n.a.</v>
          </cell>
          <cell r="DA44" t="str">
            <v>n.a.</v>
          </cell>
          <cell r="DB44" t="str">
            <v>n.a.</v>
          </cell>
          <cell r="DC44">
            <v>30979525000</v>
          </cell>
          <cell r="DD44">
            <v>30552173000</v>
          </cell>
          <cell r="DE44">
            <v>25855511000</v>
          </cell>
          <cell r="DF44">
            <v>17292977000</v>
          </cell>
          <cell r="DG44">
            <v>42996308000</v>
          </cell>
          <cell r="DH44">
            <v>-16676121000</v>
          </cell>
          <cell r="DI44">
            <v>-19810745000</v>
          </cell>
          <cell r="DJ44">
            <v>-374622000</v>
          </cell>
          <cell r="DK44">
            <v>6134820000</v>
          </cell>
          <cell r="DL44">
            <v>0.14268248334252301</v>
          </cell>
          <cell r="DM44">
            <v>0.1664289840931</v>
          </cell>
          <cell r="DN44">
            <v>-845177000</v>
          </cell>
          <cell r="DO44">
            <v>4625663500</v>
          </cell>
          <cell r="DP44" t="e">
            <v>#VALUE!</v>
          </cell>
          <cell r="DR44">
            <v>40943193000</v>
          </cell>
          <cell r="DS44">
            <v>-15619516000</v>
          </cell>
          <cell r="DT44">
            <v>-18020481000</v>
          </cell>
          <cell r="DU44">
            <v>-422517000</v>
          </cell>
          <cell r="DV44">
            <v>6880679000</v>
          </cell>
          <cell r="DW44">
            <v>0.16805428438373099</v>
          </cell>
          <cell r="DX44">
            <v>0.20200150229663</v>
          </cell>
          <cell r="DY44">
            <v>-515711000</v>
          </cell>
          <cell r="DZ44">
            <v>3905580000</v>
          </cell>
          <cell r="EA44" t="e">
            <v>#VALUE!</v>
          </cell>
          <cell r="EC44">
            <v>36631026000</v>
          </cell>
          <cell r="ED44">
            <v>-12980308000</v>
          </cell>
          <cell r="EE44">
            <v>-17098679000</v>
          </cell>
          <cell r="EF44">
            <v>-435239000</v>
          </cell>
          <cell r="EG44">
            <v>6116800000</v>
          </cell>
          <cell r="EH44">
            <v>0.16698412979205099</v>
          </cell>
          <cell r="EI44">
            <v>0.20045732111966399</v>
          </cell>
          <cell r="EJ44">
            <v>-410904000</v>
          </cell>
          <cell r="EK44">
            <v>2863254500</v>
          </cell>
          <cell r="EL44" t="e">
            <v>#VALUE!</v>
          </cell>
          <cell r="EN44">
            <v>40190175666.666702</v>
          </cell>
          <cell r="EO44">
            <v>-15091981666.6667</v>
          </cell>
          <cell r="EP44">
            <v>-18309968333.333302</v>
          </cell>
          <cell r="EQ44">
            <v>-410792666.66666698</v>
          </cell>
          <cell r="ER44">
            <v>6377433000</v>
          </cell>
          <cell r="ES44">
            <v>0.15868139151452801</v>
          </cell>
          <cell r="ET44">
            <v>0.18861034323273099</v>
          </cell>
        </row>
        <row r="45">
          <cell r="B45" t="str">
            <v>ARTNATURE INC</v>
          </cell>
          <cell r="C45" t="str">
            <v>exclude</v>
          </cell>
          <cell r="D45" t="str">
            <v>Lev SDA/SDP</v>
          </cell>
          <cell r="H45" t="str">
            <v/>
          </cell>
          <cell r="J45" t="str">
            <v>exclude</v>
          </cell>
          <cell r="K45" t="str">
            <v>lev SDA/SDP</v>
          </cell>
          <cell r="M45" t="str">
            <v>ARTNATURE INC</v>
          </cell>
          <cell r="N45" t="str">
            <v>This company is primarily engaged in the manufacture and sale of wigs and hairpieces, the provision of haircare and hair-addition products and services, and the sale of haircare products. It was founded as a sole proprietorship in April 1965. The company's head office is located in Tokyo, Japan. It operates production sites in the Philippines (Sto. Tomas, Batangas; San Pedoro, Laguna) and Cambodia (Phnom Penh).</v>
          </cell>
          <cell r="O45" t="str">
            <v>Manufacturing</v>
          </cell>
          <cell r="P45" t="str">
            <v>www.artnature.co.jp</v>
          </cell>
          <cell r="R45" t="str">
            <v>Japan</v>
          </cell>
          <cell r="S45" t="str">
            <v>7823</v>
          </cell>
          <cell r="T45" t="str">
            <v>A+</v>
          </cell>
          <cell r="U45" t="str">
            <v>2844</v>
          </cell>
          <cell r="V45" t="str">
            <v>Engaged in the manufacture and sale of wigs and hairpieces, the provision of haircare and hair-addition products and services, and the sale of haircare products</v>
          </cell>
          <cell r="W45" t="str">
            <v>The Company is a Japan-based company mainly engaged in the manufacture and sale of wigs.</v>
          </cell>
          <cell r="Z45" t="str">
            <v>JP9011001000392</v>
          </cell>
          <cell r="AA45">
            <v>43209000000</v>
          </cell>
          <cell r="AB45">
            <v>40437000000</v>
          </cell>
          <cell r="AC45">
            <v>35868000000</v>
          </cell>
          <cell r="AD45">
            <v>39484000000</v>
          </cell>
          <cell r="AE45">
            <v>43209000000</v>
          </cell>
          <cell r="AF45">
            <v>40437000000</v>
          </cell>
          <cell r="AG45">
            <v>35868000000</v>
          </cell>
          <cell r="AH45">
            <v>39484000000</v>
          </cell>
          <cell r="AI45" t="str">
            <v>n.a.</v>
          </cell>
          <cell r="AJ45" t="str">
            <v>n.a.</v>
          </cell>
          <cell r="AK45" t="str">
            <v>n.a.</v>
          </cell>
          <cell r="AL45" t="str">
            <v>n.a.</v>
          </cell>
          <cell r="AM45">
            <v>43209000000</v>
          </cell>
          <cell r="AN45">
            <v>40437000000</v>
          </cell>
          <cell r="AO45">
            <v>35868000000</v>
          </cell>
          <cell r="AP45">
            <v>39484000000</v>
          </cell>
          <cell r="AQ45" t="str">
            <v>n.a.</v>
          </cell>
          <cell r="AR45" t="str">
            <v>n.a.</v>
          </cell>
          <cell r="AS45" t="str">
            <v>n.a.</v>
          </cell>
          <cell r="AT45" t="str">
            <v>n.a.</v>
          </cell>
          <cell r="AU45">
            <v>-13887000000</v>
          </cell>
          <cell r="AV45">
            <v>-12442000000</v>
          </cell>
          <cell r="AW45">
            <v>-11747000000</v>
          </cell>
          <cell r="AX45">
            <v>-12181000000</v>
          </cell>
          <cell r="AY45">
            <v>-197000000</v>
          </cell>
          <cell r="AZ45">
            <v>-156000000</v>
          </cell>
          <cell r="BA45">
            <v>-153000000</v>
          </cell>
          <cell r="BB45">
            <v>-163000000</v>
          </cell>
          <cell r="BC45">
            <v>-24556000000</v>
          </cell>
          <cell r="BD45">
            <v>-23736000000</v>
          </cell>
          <cell r="BE45">
            <v>-20926000000</v>
          </cell>
          <cell r="BF45">
            <v>-23159000000</v>
          </cell>
          <cell r="BG45">
            <v>4569000000</v>
          </cell>
          <cell r="BH45">
            <v>4103000000</v>
          </cell>
          <cell r="BI45">
            <v>3042000000</v>
          </cell>
          <cell r="BJ45">
            <v>3981000000</v>
          </cell>
          <cell r="BK45">
            <v>-1355000000</v>
          </cell>
          <cell r="BL45">
            <v>-1628000000</v>
          </cell>
          <cell r="BM45">
            <v>-1468000000</v>
          </cell>
          <cell r="BN45">
            <v>-1498000000</v>
          </cell>
          <cell r="BO45">
            <v>-1262000000</v>
          </cell>
          <cell r="BP45">
            <v>-1260000000</v>
          </cell>
          <cell r="BQ45">
            <v>-1296000000</v>
          </cell>
          <cell r="BR45">
            <v>-1408000000</v>
          </cell>
          <cell r="BS45">
            <v>-93000000</v>
          </cell>
          <cell r="BT45">
            <v>-368000000</v>
          </cell>
          <cell r="BU45">
            <v>-172000000</v>
          </cell>
          <cell r="BV45">
            <v>-90000000</v>
          </cell>
          <cell r="BW45">
            <v>1874000000</v>
          </cell>
          <cell r="BX45">
            <v>1204000000</v>
          </cell>
          <cell r="BY45">
            <v>840000000</v>
          </cell>
          <cell r="BZ45">
            <v>1542000000</v>
          </cell>
          <cell r="CA45">
            <v>29310000000</v>
          </cell>
          <cell r="CB45">
            <v>28021000000</v>
          </cell>
          <cell r="CC45">
            <v>26586000000</v>
          </cell>
          <cell r="CD45">
            <v>24553000000</v>
          </cell>
          <cell r="CE45">
            <v>4946000000</v>
          </cell>
          <cell r="CF45">
            <v>4427000000</v>
          </cell>
          <cell r="CG45">
            <v>3650000000</v>
          </cell>
          <cell r="CH45">
            <v>3550000000</v>
          </cell>
          <cell r="CI45">
            <v>3040000000</v>
          </cell>
          <cell r="CJ45">
            <v>3061000000</v>
          </cell>
          <cell r="CK45">
            <v>2909000000</v>
          </cell>
          <cell r="CL45">
            <v>2881000000</v>
          </cell>
          <cell r="CM45">
            <v>1119000000</v>
          </cell>
          <cell r="CN45">
            <v>964000000</v>
          </cell>
          <cell r="CO45">
            <v>932000000</v>
          </cell>
          <cell r="CP45">
            <v>1004000000</v>
          </cell>
          <cell r="CQ45">
            <v>20205000000</v>
          </cell>
          <cell r="CR45">
            <v>19569000000</v>
          </cell>
          <cell r="CS45">
            <v>19095000000</v>
          </cell>
          <cell r="CT45">
            <v>17118000000</v>
          </cell>
          <cell r="CU45">
            <v>25000000</v>
          </cell>
          <cell r="CV45">
            <v>23000000</v>
          </cell>
          <cell r="CW45">
            <v>22000000</v>
          </cell>
          <cell r="CX45">
            <v>22000000</v>
          </cell>
          <cell r="CY45">
            <v>3535000000</v>
          </cell>
          <cell r="CZ45">
            <v>3190000000</v>
          </cell>
          <cell r="DA45">
            <v>3074000000</v>
          </cell>
          <cell r="DB45">
            <v>3026000000</v>
          </cell>
          <cell r="DC45">
            <v>47956000000</v>
          </cell>
          <cell r="DD45">
            <v>46510000000</v>
          </cell>
          <cell r="DE45">
            <v>44919000000</v>
          </cell>
          <cell r="DF45">
            <v>43163000000</v>
          </cell>
          <cell r="DG45">
            <v>43209000000</v>
          </cell>
          <cell r="DH45">
            <v>-13887000000</v>
          </cell>
          <cell r="DI45">
            <v>-24753000000</v>
          </cell>
          <cell r="DJ45">
            <v>-1355000000</v>
          </cell>
          <cell r="DK45">
            <v>3214000000</v>
          </cell>
          <cell r="DL45">
            <v>7.4382651762364305E-2</v>
          </cell>
          <cell r="DM45">
            <v>8.0360045005625699E-2</v>
          </cell>
          <cell r="DN45">
            <v>-197000000</v>
          </cell>
          <cell r="DO45">
            <v>4686500000</v>
          </cell>
          <cell r="DP45">
            <v>3362500000</v>
          </cell>
          <cell r="DR45">
            <v>40437000000</v>
          </cell>
          <cell r="DS45">
            <v>-12442000000</v>
          </cell>
          <cell r="DT45">
            <v>-23892000000</v>
          </cell>
          <cell r="DU45">
            <v>-1628000000</v>
          </cell>
          <cell r="DV45">
            <v>2475000000</v>
          </cell>
          <cell r="DW45">
            <v>6.1206320943690197E-2</v>
          </cell>
          <cell r="DX45">
            <v>6.5196775723091502E-2</v>
          </cell>
          <cell r="DY45">
            <v>-156000000</v>
          </cell>
          <cell r="DZ45">
            <v>4038500000</v>
          </cell>
          <cell r="EA45">
            <v>3132000000</v>
          </cell>
          <cell r="EC45">
            <v>35868000000</v>
          </cell>
          <cell r="ED45">
            <v>-11747000000</v>
          </cell>
          <cell r="EE45">
            <v>-21079000000</v>
          </cell>
          <cell r="EF45">
            <v>-1468000000</v>
          </cell>
          <cell r="EG45">
            <v>1574000000</v>
          </cell>
          <cell r="EH45">
            <v>4.3883127021300303E-2</v>
          </cell>
          <cell r="EI45">
            <v>4.5897241499970799E-2</v>
          </cell>
          <cell r="EJ45">
            <v>-153000000</v>
          </cell>
          <cell r="EK45">
            <v>3600000000</v>
          </cell>
          <cell r="EL45">
            <v>3050000000</v>
          </cell>
          <cell r="EN45">
            <v>39838000000</v>
          </cell>
          <cell r="EO45">
            <v>-12692000000</v>
          </cell>
          <cell r="EP45">
            <v>-23241333333.333302</v>
          </cell>
          <cell r="EQ45">
            <v>-1483666666.6666701</v>
          </cell>
          <cell r="ER45">
            <v>2421000000</v>
          </cell>
          <cell r="ES45">
            <v>6.0771123048345803E-2</v>
          </cell>
          <cell r="ET45">
            <v>6.4703209770959794E-2</v>
          </cell>
        </row>
        <row r="46">
          <cell r="B46" t="str">
            <v>COLGATE-PALMOLIVE (PAKISTAN) LTD</v>
          </cell>
          <cell r="C46" t="str">
            <v>exclude</v>
          </cell>
          <cell r="D46" t="str">
            <v>Independence(A+, A, A-, U)</v>
          </cell>
          <cell r="H46" t="str">
            <v/>
          </cell>
          <cell r="J46" t="str">
            <v>exclude</v>
          </cell>
          <cell r="K46" t="str">
            <v>Independence(A+, A, A-, U)</v>
          </cell>
          <cell r="M46" t="str">
            <v>COLGATE-PALMOLIVE (PAKISTAN) LTD</v>
          </cell>
          <cell r="N46" t="str">
            <v>The company is engaged in the manufacture and sale of detergents, personal care and other related products. It was incorporated in the year 1977 and conducts business in its registered head office located in Karachi, Pakistan. The company's oral care products include toothpastes and toothbrushes. Its range of toothpastes includes Colgate Maximum Cavity Protection, Colgate Sensitive Pro-Relief and Colgate MaxFresh, among others. Its range of toothbrushes includes Colgate SlimSoft, Colgate SlimSoft Charcoal and Colgate Navigator. Its personal care products include beauty soap and hand wash. The company's range of beauty soaps includes Palmolive Naturals Balanced &amp; Mild, and Palmolive Naturals Luxurious Softness. Its range of hand wash includes Palmolive-Aloe Vera with Chamomile and Palmolive-Antibacterial Sea Minerals. Its fabric care products include laundry detergents and laundry bar. Its surface care products include dishwash bar, dishwash liquid, dishwash paste, dishwash powder and all-purpose cleaner.</v>
          </cell>
          <cell r="O46" t="str">
            <v>Manufacturing</v>
          </cell>
          <cell r="P46" t="str">
            <v>colgate.com.pk</v>
          </cell>
          <cell r="R46" t="str">
            <v>Pakistan</v>
          </cell>
          <cell r="S46" t="str">
            <v>COLG</v>
          </cell>
          <cell r="T46" t="str">
            <v>B+</v>
          </cell>
          <cell r="U46" t="str">
            <v>2844</v>
          </cell>
          <cell r="V46" t="str">
            <v>Engaged in the manufacture and sale of detergents, personal care and other related products</v>
          </cell>
          <cell r="W46" t="str">
            <v>The Company is mainly engaged in the manufacture and sale of detergents, personal and other products.</v>
          </cell>
          <cell r="X46" t="str">
            <v>NATIONAL DETERGENTS LIMITED</v>
          </cell>
          <cell r="Y46" t="str">
            <v>Colgate Maximum Cavity Protection; Colgate Sensitive Pro-Relief; Colgate MaxFresh; Colgate SlimSoft; Colgate SlimSoft Charcoal; Colgate Navigator; Palmolive Naturals Balanced &amp; Mild; Palmolive Naturals Luxurious Softness; Palmolive-Aloe Vera with Chamomile; Palmolive-Antibacterial Sea Minerals</v>
          </cell>
          <cell r="Z46" t="str">
            <v>PK0005832</v>
          </cell>
          <cell r="AA46">
            <v>62346959000</v>
          </cell>
          <cell r="AB46">
            <v>50661043000</v>
          </cell>
          <cell r="AC46">
            <v>43600915000</v>
          </cell>
          <cell r="AD46">
            <v>37050620000</v>
          </cell>
          <cell r="AE46">
            <v>82398332000</v>
          </cell>
          <cell r="AF46">
            <v>67567680000</v>
          </cell>
          <cell r="AG46">
            <v>57870219000</v>
          </cell>
          <cell r="AH46">
            <v>48718781000</v>
          </cell>
          <cell r="AI46">
            <v>-20068106000</v>
          </cell>
          <cell r="AJ46">
            <v>-17004658000</v>
          </cell>
          <cell r="AK46">
            <v>-14339897000</v>
          </cell>
          <cell r="AL46">
            <v>-11757739000</v>
          </cell>
          <cell r="AM46">
            <v>62330226000</v>
          </cell>
          <cell r="AN46">
            <v>50563022000</v>
          </cell>
          <cell r="AO46">
            <v>43530322000</v>
          </cell>
          <cell r="AP46">
            <v>36961042000</v>
          </cell>
          <cell r="AQ46">
            <v>16733000</v>
          </cell>
          <cell r="AR46">
            <v>98021000</v>
          </cell>
          <cell r="AS46">
            <v>70593000</v>
          </cell>
          <cell r="AT46">
            <v>89578000</v>
          </cell>
          <cell r="AU46">
            <v>-45514410000</v>
          </cell>
          <cell r="AV46">
            <v>-34972242000</v>
          </cell>
          <cell r="AW46">
            <v>-30188323000</v>
          </cell>
          <cell r="AX46">
            <v>-25710474000</v>
          </cell>
          <cell r="AY46">
            <v>0</v>
          </cell>
          <cell r="AZ46">
            <v>0</v>
          </cell>
          <cell r="BA46">
            <v>0</v>
          </cell>
          <cell r="BB46">
            <v>0</v>
          </cell>
          <cell r="BC46">
            <v>-8134205000</v>
          </cell>
          <cell r="BD46">
            <v>-7522154000</v>
          </cell>
          <cell r="BE46">
            <v>-6723134000</v>
          </cell>
          <cell r="BF46">
            <v>-6042086000</v>
          </cell>
          <cell r="BG46">
            <v>8698344000</v>
          </cell>
          <cell r="BH46">
            <v>8166647000</v>
          </cell>
          <cell r="BI46">
            <v>6689458000</v>
          </cell>
          <cell r="BJ46">
            <v>5298060000</v>
          </cell>
          <cell r="BK46">
            <v>-863753000</v>
          </cell>
          <cell r="BL46">
            <v>-843562000</v>
          </cell>
          <cell r="BM46">
            <v>-811493000</v>
          </cell>
          <cell r="BN46">
            <v>-818956000</v>
          </cell>
          <cell r="BO46">
            <v>-858596000</v>
          </cell>
          <cell r="BP46">
            <v>-834694000</v>
          </cell>
          <cell r="BQ46">
            <v>-798100000</v>
          </cell>
          <cell r="BR46">
            <v>-806006000</v>
          </cell>
          <cell r="BS46">
            <v>-5157000</v>
          </cell>
          <cell r="BT46">
            <v>-8868000</v>
          </cell>
          <cell r="BU46">
            <v>-13393000</v>
          </cell>
          <cell r="BV46">
            <v>-12950000</v>
          </cell>
          <cell r="BW46">
            <v>5871580000</v>
          </cell>
          <cell r="BX46">
            <v>5676749000</v>
          </cell>
          <cell r="BY46">
            <v>4864816000</v>
          </cell>
          <cell r="BZ46">
            <v>3510803000</v>
          </cell>
          <cell r="CA46">
            <v>25279273000</v>
          </cell>
          <cell r="CB46">
            <v>21304813000</v>
          </cell>
          <cell r="CC46">
            <v>17337687000</v>
          </cell>
          <cell r="CD46">
            <v>14751657000</v>
          </cell>
          <cell r="CE46">
            <v>13551123000</v>
          </cell>
          <cell r="CF46">
            <v>7667874000</v>
          </cell>
          <cell r="CG46">
            <v>6522511000</v>
          </cell>
          <cell r="CH46">
            <v>5242567000</v>
          </cell>
          <cell r="CI46">
            <v>1407106000</v>
          </cell>
          <cell r="CJ46">
            <v>1155879000</v>
          </cell>
          <cell r="CK46">
            <v>837141000</v>
          </cell>
          <cell r="CL46">
            <v>749509000</v>
          </cell>
          <cell r="CM46">
            <v>498892000</v>
          </cell>
          <cell r="CN46">
            <v>335134000</v>
          </cell>
          <cell r="CO46">
            <v>487157000</v>
          </cell>
          <cell r="CP46">
            <v>254356000</v>
          </cell>
          <cell r="CQ46">
            <v>9445024000</v>
          </cell>
          <cell r="CR46">
            <v>12003356000</v>
          </cell>
          <cell r="CS46">
            <v>8370243000</v>
          </cell>
          <cell r="CT46">
            <v>6760918000</v>
          </cell>
          <cell r="CU46">
            <v>6543716000</v>
          </cell>
          <cell r="CV46">
            <v>9881592000</v>
          </cell>
          <cell r="CW46">
            <v>6030408000</v>
          </cell>
          <cell r="CX46">
            <v>5546618000</v>
          </cell>
          <cell r="CY46">
            <v>1935356000</v>
          </cell>
          <cell r="CZ46">
            <v>3608953000</v>
          </cell>
          <cell r="DA46">
            <v>2274915000</v>
          </cell>
          <cell r="DB46">
            <v>1310628000</v>
          </cell>
          <cell r="DC46">
            <v>33005165000</v>
          </cell>
          <cell r="DD46">
            <v>28138659000</v>
          </cell>
          <cell r="DE46">
            <v>22508614000</v>
          </cell>
          <cell r="DF46">
            <v>18995435000</v>
          </cell>
          <cell r="DG46">
            <v>62330226000</v>
          </cell>
          <cell r="DH46">
            <v>-45514410000</v>
          </cell>
          <cell r="DI46">
            <v>-8134205000</v>
          </cell>
          <cell r="DJ46">
            <v>-863753000</v>
          </cell>
          <cell r="DK46">
            <v>7817858000</v>
          </cell>
          <cell r="DL46">
            <v>0.12542643435947101</v>
          </cell>
          <cell r="DM46">
            <v>0.143414389923402</v>
          </cell>
          <cell r="DN46">
            <v>0</v>
          </cell>
          <cell r="DO46">
            <v>10609498500</v>
          </cell>
          <cell r="DP46">
            <v>2772154500</v>
          </cell>
          <cell r="DR46">
            <v>50563022000</v>
          </cell>
          <cell r="DS46">
            <v>-34972242000</v>
          </cell>
          <cell r="DT46">
            <v>-7522154000</v>
          </cell>
          <cell r="DU46">
            <v>-843562000</v>
          </cell>
          <cell r="DV46">
            <v>7225064000</v>
          </cell>
          <cell r="DW46">
            <v>0.14289225038803999</v>
          </cell>
          <cell r="DX46">
            <v>0.16671445387436101</v>
          </cell>
          <cell r="DY46">
            <v>0</v>
          </cell>
          <cell r="DZ46">
            <v>7095192500</v>
          </cell>
          <cell r="EA46">
            <v>2941934000</v>
          </cell>
          <cell r="EC46">
            <v>43530322000</v>
          </cell>
          <cell r="ED46">
            <v>-30188323000</v>
          </cell>
          <cell r="EE46">
            <v>-6723134000</v>
          </cell>
          <cell r="EF46">
            <v>-811493000</v>
          </cell>
          <cell r="EG46">
            <v>5807372000</v>
          </cell>
          <cell r="EH46">
            <v>0.133409810292697</v>
          </cell>
          <cell r="EI46">
            <v>0.15394798126869699</v>
          </cell>
          <cell r="EJ46">
            <v>0</v>
          </cell>
          <cell r="EK46">
            <v>5882539000</v>
          </cell>
          <cell r="EL46">
            <v>1792771500</v>
          </cell>
          <cell r="EN46">
            <v>52141190000</v>
          </cell>
          <cell r="EO46">
            <v>-36891658333.333298</v>
          </cell>
          <cell r="EP46">
            <v>-7459831000</v>
          </cell>
          <cell r="EQ46">
            <v>-839602666.66666698</v>
          </cell>
          <cell r="ER46">
            <v>6950098000</v>
          </cell>
          <cell r="ES46">
            <v>0.13329381243504401</v>
          </cell>
          <cell r="ET46">
            <v>0.15379353966485201</v>
          </cell>
        </row>
        <row r="47">
          <cell r="B47" t="str">
            <v>COSMECCA KOREA CO.,LTD.</v>
          </cell>
          <cell r="C47" t="str">
            <v>exclude</v>
          </cell>
          <cell r="D47" t="str">
            <v>Independence(A+, A, A-, U)</v>
          </cell>
          <cell r="H47" t="str">
            <v/>
          </cell>
          <cell r="J47" t="str">
            <v>exclude</v>
          </cell>
          <cell r="K47" t="str">
            <v>Independence(A+, A, A-, U)</v>
          </cell>
          <cell r="M47" t="str">
            <v>COSMECCA KOREA CO.,LTD.</v>
          </cell>
          <cell r="N47" t="str">
            <v>The company is primarily engaged in the research, development, and manufacture of functional cosmetics. It was established and incorporated in 1999. The registered business office of the company is located in Eumseong-Gun, Republic of Korea.The company offers a wide range of products such as skin care products, hair products, travel-grooming kits, and sunblock. It also provides products to whiten skin, as well as for atopy and sensitive skin. In addition, the company covers various types of perfume such as single or combination of flower scents and fresh and exhilarating scent of citrus.The company is active and operational in the Republic of Korea.</v>
          </cell>
          <cell r="O47" t="str">
            <v>Manufacturing</v>
          </cell>
          <cell r="P47" t="str">
            <v>www.cosmecca.com</v>
          </cell>
          <cell r="R47" t="str">
            <v>Republic of Korea</v>
          </cell>
          <cell r="S47" t="str">
            <v>241710</v>
          </cell>
          <cell r="T47" t="str">
            <v>B+</v>
          </cell>
          <cell r="U47" t="str">
            <v>2844</v>
          </cell>
          <cell r="V47" t="str">
            <v>Engaged in the research, development, and manufacture of functional cosmetics</v>
          </cell>
          <cell r="W47" t="str">
            <v>- Cosmetics manufacturing and sales business was established in October 1999, and it was listed on KOSDAQ in October, 2016. It has subsidiaries such as Endorphin Cosmetics Co., Ltd. and Cym Global Co., Ltd.- As a cosmetics OEM / ODM company, Company developed the world''s first triple functional bibby cream, tonic cream, DPF technology, and secured various product distribution channels worldwide by securing product competitiveness and advanced production system.- The company is commencing operation of the Foshan plant in Guangzhou, China in April 2017 and are building a success story in Zhejiang. The company is expecting to expand production capacity in Korea as The company is expanding production capacity by three times the current production capacity.</v>
          </cell>
          <cell r="Z47" t="str">
            <v>KR1545110016091</v>
          </cell>
          <cell r="AA47">
            <v>399399238000</v>
          </cell>
          <cell r="AB47">
            <v>396465786000</v>
          </cell>
          <cell r="AC47">
            <v>339055734000</v>
          </cell>
          <cell r="AD47">
            <v>347017988000</v>
          </cell>
          <cell r="AE47">
            <v>399399238000</v>
          </cell>
          <cell r="AF47">
            <v>396465786000</v>
          </cell>
          <cell r="AG47">
            <v>339055734000</v>
          </cell>
          <cell r="AH47">
            <v>347017988000</v>
          </cell>
          <cell r="AI47" t="str">
            <v>n.a.</v>
          </cell>
          <cell r="AJ47" t="str">
            <v>n.a.</v>
          </cell>
          <cell r="AK47" t="str">
            <v>n.a.</v>
          </cell>
          <cell r="AL47" t="str">
            <v>n.a.</v>
          </cell>
          <cell r="AM47">
            <v>399399238000</v>
          </cell>
          <cell r="AN47">
            <v>396465786000</v>
          </cell>
          <cell r="AO47">
            <v>339055734000</v>
          </cell>
          <cell r="AP47">
            <v>347017988000</v>
          </cell>
          <cell r="AQ47" t="str">
            <v>n.a.</v>
          </cell>
          <cell r="AR47" t="str">
            <v>n.a.</v>
          </cell>
          <cell r="AS47" t="str">
            <v>n.a.</v>
          </cell>
          <cell r="AT47" t="str">
            <v>n.a.</v>
          </cell>
          <cell r="AU47">
            <v>-334315544000</v>
          </cell>
          <cell r="AV47">
            <v>-323726024000</v>
          </cell>
          <cell r="AW47">
            <v>-278273582000</v>
          </cell>
          <cell r="AX47">
            <v>-283335084000</v>
          </cell>
          <cell r="AY47">
            <v>-13628467000</v>
          </cell>
          <cell r="AZ47">
            <v>-11792565000</v>
          </cell>
          <cell r="BA47">
            <v>-11094197000</v>
          </cell>
          <cell r="BB47">
            <v>-9746712000</v>
          </cell>
          <cell r="BC47">
            <v>-35847277000</v>
          </cell>
          <cell r="BD47">
            <v>-35799993000</v>
          </cell>
          <cell r="BE47">
            <v>-34452235000</v>
          </cell>
          <cell r="BF47">
            <v>-38392057000</v>
          </cell>
          <cell r="BG47">
            <v>15607950000</v>
          </cell>
          <cell r="BH47">
            <v>25147204000</v>
          </cell>
          <cell r="BI47">
            <v>15235720000</v>
          </cell>
          <cell r="BJ47">
            <v>15544135000</v>
          </cell>
          <cell r="BK47">
            <v>-5240513000</v>
          </cell>
          <cell r="BL47">
            <v>-5045513000</v>
          </cell>
          <cell r="BM47">
            <v>-5333121000</v>
          </cell>
          <cell r="BN47">
            <v>-7277099000</v>
          </cell>
          <cell r="BO47">
            <v>-2323969000</v>
          </cell>
          <cell r="BP47">
            <v>-2197269000</v>
          </cell>
          <cell r="BQ47">
            <v>-2600980000</v>
          </cell>
          <cell r="BR47">
            <v>-2706626000</v>
          </cell>
          <cell r="BS47">
            <v>-2916544000</v>
          </cell>
          <cell r="BT47">
            <v>-2848244000</v>
          </cell>
          <cell r="BU47">
            <v>-2732141000</v>
          </cell>
          <cell r="BV47">
            <v>-4570473000</v>
          </cell>
          <cell r="BW47">
            <v>2656042000</v>
          </cell>
          <cell r="BX47">
            <v>8904077000</v>
          </cell>
          <cell r="BY47">
            <v>2621759000</v>
          </cell>
          <cell r="BZ47">
            <v>4865586000</v>
          </cell>
          <cell r="CA47">
            <v>186758079000</v>
          </cell>
          <cell r="CB47">
            <v>183733559000</v>
          </cell>
          <cell r="CC47">
            <v>149800287000</v>
          </cell>
          <cell r="CD47">
            <v>138459672000</v>
          </cell>
          <cell r="CE47">
            <v>71176259000</v>
          </cell>
          <cell r="CF47">
            <v>66958658000</v>
          </cell>
          <cell r="CG47">
            <v>59782866000</v>
          </cell>
          <cell r="CH47">
            <v>49253904000</v>
          </cell>
          <cell r="CI47">
            <v>83156800000</v>
          </cell>
          <cell r="CJ47">
            <v>78546841000</v>
          </cell>
          <cell r="CK47">
            <v>53427782000</v>
          </cell>
          <cell r="CL47">
            <v>57662376000</v>
          </cell>
          <cell r="CM47">
            <v>926044000</v>
          </cell>
          <cell r="CN47">
            <v>1047507000</v>
          </cell>
          <cell r="CO47">
            <v>2009773000</v>
          </cell>
          <cell r="CP47">
            <v>11115332000</v>
          </cell>
          <cell r="CQ47">
            <v>26017634000</v>
          </cell>
          <cell r="CR47">
            <v>30097012000</v>
          </cell>
          <cell r="CS47">
            <v>31435596000</v>
          </cell>
          <cell r="CT47">
            <v>15586748000</v>
          </cell>
          <cell r="CU47" t="str">
            <v>n.a.</v>
          </cell>
          <cell r="CV47" t="str">
            <v>n.a.</v>
          </cell>
          <cell r="CW47" t="str">
            <v>n.a.</v>
          </cell>
          <cell r="CX47" t="str">
            <v>n.a.</v>
          </cell>
          <cell r="CY47">
            <v>16857820000</v>
          </cell>
          <cell r="CZ47">
            <v>12096292000</v>
          </cell>
          <cell r="DA47">
            <v>10493642000</v>
          </cell>
          <cell r="DB47">
            <v>20644063000</v>
          </cell>
          <cell r="DC47">
            <v>392755634000</v>
          </cell>
          <cell r="DD47">
            <v>391569471000</v>
          </cell>
          <cell r="DE47">
            <v>358963343000</v>
          </cell>
          <cell r="DF47">
            <v>350909520000</v>
          </cell>
          <cell r="DG47">
            <v>399399238000</v>
          </cell>
          <cell r="DH47">
            <v>-334315544000</v>
          </cell>
          <cell r="DI47">
            <v>-49475744000</v>
          </cell>
          <cell r="DJ47">
            <v>-5240513000</v>
          </cell>
          <cell r="DK47">
            <v>10367437000</v>
          </cell>
          <cell r="DL47">
            <v>2.5957578316661699E-2</v>
          </cell>
          <cell r="DM47">
            <v>2.6649330397542501E-2</v>
          </cell>
          <cell r="DN47">
            <v>-13628467000</v>
          </cell>
          <cell r="DO47">
            <v>69067458500</v>
          </cell>
          <cell r="DP47">
            <v>14477056000</v>
          </cell>
          <cell r="DR47">
            <v>396465786000</v>
          </cell>
          <cell r="DS47">
            <v>-323726024000</v>
          </cell>
          <cell r="DT47">
            <v>-47592558000</v>
          </cell>
          <cell r="DU47">
            <v>-5045513000</v>
          </cell>
          <cell r="DV47">
            <v>20101691000</v>
          </cell>
          <cell r="DW47">
            <v>5.07022086390072E-2</v>
          </cell>
          <cell r="DX47">
            <v>5.34102250109698E-2</v>
          </cell>
          <cell r="DY47">
            <v>-11792565000</v>
          </cell>
          <cell r="DZ47">
            <v>63370762000</v>
          </cell>
          <cell r="EA47">
            <v>11294967000</v>
          </cell>
          <cell r="EC47">
            <v>339055734000</v>
          </cell>
          <cell r="ED47">
            <v>-278273582000</v>
          </cell>
          <cell r="EE47">
            <v>-45546432000</v>
          </cell>
          <cell r="EF47">
            <v>-5333121000</v>
          </cell>
          <cell r="EG47">
            <v>9902599000</v>
          </cell>
          <cell r="EH47">
            <v>2.92064047499636E-2</v>
          </cell>
          <cell r="EI47">
            <v>3.0085081826730899E-2</v>
          </cell>
          <cell r="EJ47">
            <v>-11094197000</v>
          </cell>
          <cell r="EK47">
            <v>54518385000</v>
          </cell>
          <cell r="EL47">
            <v>15568852500</v>
          </cell>
          <cell r="EN47">
            <v>378306919333.33301</v>
          </cell>
          <cell r="EO47">
            <v>-312105050000</v>
          </cell>
          <cell r="EP47">
            <v>-47538244666.666702</v>
          </cell>
          <cell r="EQ47">
            <v>-5206382333.3333302</v>
          </cell>
          <cell r="ER47">
            <v>13457242333.3333</v>
          </cell>
          <cell r="ES47">
            <v>3.5572287065349401E-2</v>
          </cell>
          <cell r="ET47">
            <v>3.6884347668843701E-2</v>
          </cell>
        </row>
        <row r="48">
          <cell r="B48" t="str">
            <v>JYOTHY LABS LIMITED</v>
          </cell>
          <cell r="C48" t="str">
            <v>exclude</v>
          </cell>
          <cell r="D48" t="str">
            <v>Independence(A+, A, A-, U)</v>
          </cell>
          <cell r="H48" t="str">
            <v/>
          </cell>
          <cell r="J48" t="str">
            <v>exclude</v>
          </cell>
          <cell r="K48" t="str">
            <v>Independence(A+, A, A-, U)</v>
          </cell>
          <cell r="M48" t="str">
            <v>JYOTHY LABS LIMITED</v>
          </cell>
          <cell r="N48" t="str">
            <v>This company is engaged in the production and wholesale disdtribution of detergents, soaps, and mosquito repellents. It was incorporated in 1992. The registered business office of the company is located in Mumbai, India.The company offers dish wash scrubbers and scrubber steel, as well as dish wash bars, liquids, and powders. It also provides fabric whiteners, fabric enhancers, bar soaps, and detergent powders. In addition, the company offers mosquito repellent coils, liquids, and cards, as well as insect repellents and air care products. Further, it provides body soaps, face washes, toothpastes, deodorants, talcum powders, after shave products, and moisturizers. Furthermore, the company provides dry cleaning and laundry services; and incense sticks and floor shine products.It strives to create an impact by touching people's lives; and to develop innovative brands, tap high growth categories, reach untapped markets and explore untapped segments to meet the day-to-day requirements of every Indian household.</v>
          </cell>
          <cell r="O48" t="str">
            <v>Manufacturing; Wholesale</v>
          </cell>
          <cell r="P48" t="str">
            <v>www.jyothylaboratories.com</v>
          </cell>
          <cell r="R48" t="str">
            <v>India</v>
          </cell>
          <cell r="S48" t="str">
            <v>JYOTHYLAB</v>
          </cell>
          <cell r="T48" t="str">
            <v>B+</v>
          </cell>
          <cell r="U48" t="str">
            <v>2841</v>
          </cell>
          <cell r="V48" t="str">
            <v>Engaged in the production and wholesale disdtribution of detergents, soaps, and mosquito repellents</v>
          </cell>
          <cell r="W48" t="str">
            <v>The Company is engaged in in manufacturing and marketing of fabric care, dishwashing, personal care, household insecticides products and also provides laundry and dry cleaning services.</v>
          </cell>
          <cell r="X48" t="str">
            <v>JYOTHY LABORATORIES LIMITED</v>
          </cell>
          <cell r="Z48" t="str">
            <v>IN33772FI</v>
          </cell>
          <cell r="AA48">
            <v>24980274000</v>
          </cell>
          <cell r="AB48">
            <v>22075626000</v>
          </cell>
          <cell r="AC48">
            <v>19222002000</v>
          </cell>
          <cell r="AD48">
            <v>17247173000</v>
          </cell>
          <cell r="AE48">
            <v>24841762000</v>
          </cell>
          <cell r="AF48">
            <v>21950990000</v>
          </cell>
          <cell r="AG48">
            <v>19079824000</v>
          </cell>
          <cell r="AH48">
            <v>17097229000</v>
          </cell>
          <cell r="AI48" t="str">
            <v>n.a.</v>
          </cell>
          <cell r="AJ48" t="str">
            <v>n.a.</v>
          </cell>
          <cell r="AK48" t="str">
            <v>n.a.</v>
          </cell>
          <cell r="AL48" t="str">
            <v>n.a.</v>
          </cell>
          <cell r="AM48">
            <v>24841762000</v>
          </cell>
          <cell r="AN48">
            <v>21950990000</v>
          </cell>
          <cell r="AO48">
            <v>19079824000</v>
          </cell>
          <cell r="AP48">
            <v>17097229000</v>
          </cell>
          <cell r="AQ48">
            <v>138512000</v>
          </cell>
          <cell r="AR48">
            <v>124636000</v>
          </cell>
          <cell r="AS48">
            <v>142178000</v>
          </cell>
          <cell r="AT48">
            <v>149944000</v>
          </cell>
          <cell r="AU48">
            <v>-14416014000</v>
          </cell>
          <cell r="AV48">
            <v>-12887152000</v>
          </cell>
          <cell r="AW48">
            <v>-10155903000</v>
          </cell>
          <cell r="AX48">
            <v>-9056336000</v>
          </cell>
          <cell r="AY48">
            <v>0</v>
          </cell>
          <cell r="AZ48">
            <v>0</v>
          </cell>
          <cell r="BA48">
            <v>0</v>
          </cell>
          <cell r="BB48">
            <v>0</v>
          </cell>
          <cell r="BC48">
            <v>-7285469000</v>
          </cell>
          <cell r="BD48">
            <v>-6593371000</v>
          </cell>
          <cell r="BE48">
            <v>-5834678000</v>
          </cell>
          <cell r="BF48">
            <v>-5540027000</v>
          </cell>
          <cell r="BG48">
            <v>3278791000</v>
          </cell>
          <cell r="BH48">
            <v>2595103000</v>
          </cell>
          <cell r="BI48">
            <v>3231421000</v>
          </cell>
          <cell r="BJ48">
            <v>2650810000</v>
          </cell>
          <cell r="BK48">
            <v>-501232000</v>
          </cell>
          <cell r="BL48">
            <v>-581672000</v>
          </cell>
          <cell r="BM48">
            <v>-555881000</v>
          </cell>
          <cell r="BN48">
            <v>-529194000</v>
          </cell>
          <cell r="BO48">
            <v>-490777000</v>
          </cell>
          <cell r="BP48">
            <v>-569086000</v>
          </cell>
          <cell r="BQ48">
            <v>-542130000</v>
          </cell>
          <cell r="BR48">
            <v>-517111000</v>
          </cell>
          <cell r="BS48">
            <v>-10455000</v>
          </cell>
          <cell r="BT48">
            <v>-12586000</v>
          </cell>
          <cell r="BU48">
            <v>-13751000</v>
          </cell>
          <cell r="BV48">
            <v>-12083000</v>
          </cell>
          <cell r="BW48">
            <v>2397210000</v>
          </cell>
          <cell r="BX48">
            <v>1619735000</v>
          </cell>
          <cell r="BY48">
            <v>1994496000</v>
          </cell>
          <cell r="BZ48">
            <v>1703421000</v>
          </cell>
          <cell r="CA48">
            <v>7751467000</v>
          </cell>
          <cell r="CB48">
            <v>7241424000</v>
          </cell>
          <cell r="CC48">
            <v>6247952000</v>
          </cell>
          <cell r="CD48">
            <v>4487141000</v>
          </cell>
          <cell r="CE48">
            <v>3018626000</v>
          </cell>
          <cell r="CF48">
            <v>2972262000</v>
          </cell>
          <cell r="CG48">
            <v>2786398000</v>
          </cell>
          <cell r="CH48">
            <v>2250678000</v>
          </cell>
          <cell r="CI48">
            <v>1378150000</v>
          </cell>
          <cell r="CJ48">
            <v>1430839000</v>
          </cell>
          <cell r="CK48">
            <v>943484000</v>
          </cell>
          <cell r="CL48">
            <v>1223841000</v>
          </cell>
          <cell r="CM48">
            <v>317966000</v>
          </cell>
          <cell r="CN48">
            <v>523429000</v>
          </cell>
          <cell r="CO48">
            <v>401551000</v>
          </cell>
          <cell r="CP48">
            <v>511558000</v>
          </cell>
          <cell r="CQ48">
            <v>2834690000</v>
          </cell>
          <cell r="CR48">
            <v>2112006000</v>
          </cell>
          <cell r="CS48">
            <v>1938313000</v>
          </cell>
          <cell r="CT48">
            <v>289426000</v>
          </cell>
          <cell r="CU48" t="str">
            <v>n.a.</v>
          </cell>
          <cell r="CV48" t="str">
            <v>n.a.</v>
          </cell>
          <cell r="CW48" t="str">
            <v>n.a.</v>
          </cell>
          <cell r="CX48" t="str">
            <v>n.a.</v>
          </cell>
          <cell r="CY48">
            <v>399346000</v>
          </cell>
          <cell r="CZ48">
            <v>303554000</v>
          </cell>
          <cell r="DA48">
            <v>303151000</v>
          </cell>
          <cell r="DB48">
            <v>426240000</v>
          </cell>
          <cell r="DC48">
            <v>20617122000</v>
          </cell>
          <cell r="DD48">
            <v>20227811000</v>
          </cell>
          <cell r="DE48">
            <v>19559938000</v>
          </cell>
          <cell r="DF48">
            <v>18361905000</v>
          </cell>
          <cell r="DG48">
            <v>24841762000</v>
          </cell>
          <cell r="DH48">
            <v>-14416014000</v>
          </cell>
          <cell r="DI48">
            <v>-7285469000</v>
          </cell>
          <cell r="DJ48">
            <v>-501232000</v>
          </cell>
          <cell r="DK48">
            <v>2639047000</v>
          </cell>
          <cell r="DL48">
            <v>0.10623429207638301</v>
          </cell>
          <cell r="DM48">
            <v>0.118861454556346</v>
          </cell>
          <cell r="DN48">
            <v>0</v>
          </cell>
          <cell r="DO48">
            <v>2995444000</v>
          </cell>
          <cell r="DP48">
            <v>351450000</v>
          </cell>
          <cell r="DR48">
            <v>21950990000</v>
          </cell>
          <cell r="DS48">
            <v>-12887152000</v>
          </cell>
          <cell r="DT48">
            <v>-6593371000</v>
          </cell>
          <cell r="DU48">
            <v>-581672000</v>
          </cell>
          <cell r="DV48">
            <v>1888795000</v>
          </cell>
          <cell r="DW48">
            <v>8.6046005214343399E-2</v>
          </cell>
          <cell r="DX48">
            <v>9.4146976440015698E-2</v>
          </cell>
          <cell r="DY48">
            <v>0</v>
          </cell>
          <cell r="DZ48">
            <v>2879330000</v>
          </cell>
          <cell r="EA48">
            <v>303352500</v>
          </cell>
          <cell r="EC48">
            <v>19079824000</v>
          </cell>
          <cell r="ED48">
            <v>-10155903000</v>
          </cell>
          <cell r="EE48">
            <v>-5834678000</v>
          </cell>
          <cell r="EF48">
            <v>-555881000</v>
          </cell>
          <cell r="EG48">
            <v>2533362000</v>
          </cell>
          <cell r="EH48">
            <v>0.13277701094098099</v>
          </cell>
          <cell r="EI48">
            <v>0.153105963075369</v>
          </cell>
          <cell r="EJ48">
            <v>0</v>
          </cell>
          <cell r="EK48">
            <v>2518538000</v>
          </cell>
          <cell r="EL48">
            <v>364695500</v>
          </cell>
          <cell r="EN48">
            <v>21957525333.333302</v>
          </cell>
          <cell r="EO48">
            <v>-12486356333.3333</v>
          </cell>
          <cell r="EP48">
            <v>-6571172666.6666698</v>
          </cell>
          <cell r="EQ48">
            <v>-546261666.66666698</v>
          </cell>
          <cell r="ER48">
            <v>2353734666.6666598</v>
          </cell>
          <cell r="ES48">
            <v>0.10719489700843</v>
          </cell>
          <cell r="ET48">
            <v>0.120065282612349</v>
          </cell>
        </row>
        <row r="49">
          <cell r="B49" t="str">
            <v>SOFT99CORPORATION</v>
          </cell>
          <cell r="C49" t="str">
            <v>exclude</v>
          </cell>
          <cell r="D49" t="str">
            <v>Lev SDA/SDP</v>
          </cell>
          <cell r="H49" t="str">
            <v/>
          </cell>
          <cell r="J49" t="str">
            <v>exclude</v>
          </cell>
          <cell r="K49" t="str">
            <v>lev SDA/SDP</v>
          </cell>
          <cell r="M49" t="str">
            <v>SOFT99CORPORATION</v>
          </cell>
          <cell r="N49" t="str">
            <v>This company, through its subsidiaries and affiliates, is engaged in the manufacture and sale of chemical products for auto and home care primarily in Japan. It was founded in 1954 and has its registered head office in Osaka, Japan.The company specialises in the production and distribution of body wax and polish as water block wax, cleaners, shampoo, car wash equipment, GlACO water repellant series, DIY (do-it-yourself) repair paint and chemical products, synthetic snow tire chain, air freshener, eye glass cleaner and home care products. It also exports to China, Taiwan, Singapore, Thailand, Malaysia, Indonesia, Vietnam, South Korea, Sri Lanka, Brunei, Myanmar, Russia, Ukraine, Germany, Poland, the United Kingdom, U.A.E., Saudi Arabia, U.S.A, Brazil, Paraguay, Australia, and others.</v>
          </cell>
          <cell r="O49" t="str">
            <v>Manufacturing</v>
          </cell>
          <cell r="P49" t="str">
            <v>www.soft99.co.jp</v>
          </cell>
          <cell r="R49" t="str">
            <v>Japan</v>
          </cell>
          <cell r="S49" t="str">
            <v>4464</v>
          </cell>
          <cell r="T49" t="str">
            <v>A+</v>
          </cell>
          <cell r="U49" t="str">
            <v>2842</v>
          </cell>
          <cell r="V49" t="str">
            <v>Engaged in the manufacture and sale of chemical products for auto and home care primarily in Japan</v>
          </cell>
          <cell r="W49" t="str">
            <v>The Company is mainly engaged in fine chemical business.</v>
          </cell>
          <cell r="Z49" t="str">
            <v>JP8120001083009</v>
          </cell>
          <cell r="AA49">
            <v>30170498000</v>
          </cell>
          <cell r="AB49">
            <v>28435638000</v>
          </cell>
          <cell r="AC49">
            <v>26802707000</v>
          </cell>
          <cell r="AD49">
            <v>24434278000</v>
          </cell>
          <cell r="AE49">
            <v>30170498000</v>
          </cell>
          <cell r="AF49">
            <v>28435638000</v>
          </cell>
          <cell r="AG49">
            <v>26802707000</v>
          </cell>
          <cell r="AH49">
            <v>24434278000</v>
          </cell>
          <cell r="AI49" t="str">
            <v>n.a.</v>
          </cell>
          <cell r="AJ49" t="str">
            <v>n.a.</v>
          </cell>
          <cell r="AK49" t="str">
            <v>n.a.</v>
          </cell>
          <cell r="AL49" t="str">
            <v>n.a.</v>
          </cell>
          <cell r="AM49">
            <v>30170498000</v>
          </cell>
          <cell r="AN49">
            <v>28435638000</v>
          </cell>
          <cell r="AO49">
            <v>26802707000</v>
          </cell>
          <cell r="AP49">
            <v>24434278000</v>
          </cell>
          <cell r="AQ49" t="str">
            <v>n.a.</v>
          </cell>
          <cell r="AR49" t="str">
            <v>n.a.</v>
          </cell>
          <cell r="AS49" t="str">
            <v>n.a.</v>
          </cell>
          <cell r="AT49" t="str">
            <v>n.a.</v>
          </cell>
          <cell r="AU49">
            <v>-18788123000</v>
          </cell>
          <cell r="AV49">
            <v>-16756702000</v>
          </cell>
          <cell r="AW49">
            <v>-16177849000</v>
          </cell>
          <cell r="AX49">
            <v>-14876283000</v>
          </cell>
          <cell r="AY49">
            <v>-609460000</v>
          </cell>
          <cell r="AZ49">
            <v>-651204000</v>
          </cell>
          <cell r="BA49">
            <v>-570976000</v>
          </cell>
          <cell r="BB49">
            <v>-573833000</v>
          </cell>
          <cell r="BC49">
            <v>-6570920000</v>
          </cell>
          <cell r="BD49">
            <v>-6359274000</v>
          </cell>
          <cell r="BE49">
            <v>-5986274000</v>
          </cell>
          <cell r="BF49">
            <v>-5760482000</v>
          </cell>
          <cell r="BG49">
            <v>4201995000</v>
          </cell>
          <cell r="BH49">
            <v>4668458000</v>
          </cell>
          <cell r="BI49">
            <v>4067608000</v>
          </cell>
          <cell r="BJ49">
            <v>3223680000</v>
          </cell>
          <cell r="BK49">
            <v>-1298764000</v>
          </cell>
          <cell r="BL49">
            <v>-919281000</v>
          </cell>
          <cell r="BM49">
            <v>-2087138000</v>
          </cell>
          <cell r="BN49">
            <v>-810598000</v>
          </cell>
          <cell r="BO49">
            <v>-1156024000</v>
          </cell>
          <cell r="BP49">
            <v>-776541000</v>
          </cell>
          <cell r="BQ49">
            <v>-2012893000</v>
          </cell>
          <cell r="BR49">
            <v>-799264000</v>
          </cell>
          <cell r="BS49">
            <v>-142740000</v>
          </cell>
          <cell r="BT49">
            <v>-142740000</v>
          </cell>
          <cell r="BU49">
            <v>-74245000</v>
          </cell>
          <cell r="BV49">
            <v>-11334000</v>
          </cell>
          <cell r="BW49">
            <v>2063803000</v>
          </cell>
          <cell r="BX49">
            <v>2755473000</v>
          </cell>
          <cell r="BY49">
            <v>1539988000</v>
          </cell>
          <cell r="BZ49">
            <v>1824141000</v>
          </cell>
          <cell r="CA49">
            <v>29990964000</v>
          </cell>
          <cell r="CB49">
            <v>29330996000</v>
          </cell>
          <cell r="CC49">
            <v>27950249000</v>
          </cell>
          <cell r="CD49">
            <v>25725363000</v>
          </cell>
          <cell r="CE49">
            <v>4364678000</v>
          </cell>
          <cell r="CF49">
            <v>3988176000</v>
          </cell>
          <cell r="CG49">
            <v>3436907000</v>
          </cell>
          <cell r="CH49">
            <v>3333950000</v>
          </cell>
          <cell r="CI49">
            <v>4588115000</v>
          </cell>
          <cell r="CJ49">
            <v>4412368000</v>
          </cell>
          <cell r="CK49">
            <v>4512043000</v>
          </cell>
          <cell r="CL49">
            <v>3700355000</v>
          </cell>
          <cell r="CM49">
            <v>913718000</v>
          </cell>
          <cell r="CN49">
            <v>432863000</v>
          </cell>
          <cell r="CO49">
            <v>229600000</v>
          </cell>
          <cell r="CP49">
            <v>215514000</v>
          </cell>
          <cell r="CQ49">
            <v>20124453000</v>
          </cell>
          <cell r="CR49">
            <v>20497589000</v>
          </cell>
          <cell r="CS49">
            <v>19771699000</v>
          </cell>
          <cell r="CT49">
            <v>18475544000</v>
          </cell>
          <cell r="CU49" t="str">
            <v>n.a.</v>
          </cell>
          <cell r="CV49">
            <v>300160000</v>
          </cell>
          <cell r="CW49">
            <v>601457000</v>
          </cell>
          <cell r="CX49">
            <v>200549000</v>
          </cell>
          <cell r="CY49" t="str">
            <v>n.a.</v>
          </cell>
          <cell r="CZ49" t="str">
            <v>n.a.</v>
          </cell>
          <cell r="DA49" t="str">
            <v>n.a.</v>
          </cell>
          <cell r="DB49">
            <v>2076554000</v>
          </cell>
          <cell r="DC49">
            <v>60377314000</v>
          </cell>
          <cell r="DD49">
            <v>59231129000</v>
          </cell>
          <cell r="DE49">
            <v>57286291000</v>
          </cell>
          <cell r="DF49">
            <v>55255234000</v>
          </cell>
          <cell r="DG49">
            <v>30170498000</v>
          </cell>
          <cell r="DH49">
            <v>-18788123000</v>
          </cell>
          <cell r="DI49">
            <v>-7180380000</v>
          </cell>
          <cell r="DJ49">
            <v>-1298764000</v>
          </cell>
          <cell r="DK49">
            <v>2903231000</v>
          </cell>
          <cell r="DL49">
            <v>9.62274802358251E-2</v>
          </cell>
          <cell r="DM49">
            <v>0.106473120316752</v>
          </cell>
          <cell r="DN49">
            <v>-609460000</v>
          </cell>
          <cell r="DO49">
            <v>4176427000</v>
          </cell>
          <cell r="DP49" t="e">
            <v>#VALUE!</v>
          </cell>
          <cell r="DR49">
            <v>28435638000</v>
          </cell>
          <cell r="DS49">
            <v>-16756702000</v>
          </cell>
          <cell r="DT49">
            <v>-7010478000</v>
          </cell>
          <cell r="DU49">
            <v>-919281000</v>
          </cell>
          <cell r="DV49">
            <v>3749177000</v>
          </cell>
          <cell r="DW49">
            <v>0.131847824198634</v>
          </cell>
          <cell r="DX49">
            <v>0.15187178915600699</v>
          </cell>
          <cell r="DY49">
            <v>-651204000</v>
          </cell>
          <cell r="DZ49">
            <v>3712541500</v>
          </cell>
          <cell r="EA49" t="e">
            <v>#VALUE!</v>
          </cell>
          <cell r="EC49">
            <v>26802707000</v>
          </cell>
          <cell r="ED49">
            <v>-16177849000</v>
          </cell>
          <cell r="EE49">
            <v>-6557250000</v>
          </cell>
          <cell r="EF49">
            <v>-2087138000</v>
          </cell>
          <cell r="EG49">
            <v>1980470000</v>
          </cell>
          <cell r="EH49">
            <v>7.3890670819182602E-2</v>
          </cell>
          <cell r="EI49">
            <v>7.9786120807725694E-2</v>
          </cell>
          <cell r="EJ49">
            <v>-570976000</v>
          </cell>
          <cell r="EK49">
            <v>3385428500</v>
          </cell>
          <cell r="EL49" t="e">
            <v>#VALUE!</v>
          </cell>
          <cell r="EN49">
            <v>28469614333.333302</v>
          </cell>
          <cell r="EO49">
            <v>-17240891333.333302</v>
          </cell>
          <cell r="EP49">
            <v>-6916036000</v>
          </cell>
          <cell r="EQ49">
            <v>-1435061000</v>
          </cell>
          <cell r="ER49">
            <v>2877626000</v>
          </cell>
          <cell r="ES49">
            <v>0.101077098070512</v>
          </cell>
          <cell r="ET49">
            <v>0.112442455135536</v>
          </cell>
        </row>
        <row r="50">
          <cell r="B50" t="str">
            <v>CLIO COSMETICS CO.,LTD.</v>
          </cell>
          <cell r="C50" t="str">
            <v>exclude</v>
          </cell>
          <cell r="D50" t="str">
            <v>Independence(A+, A, A-, U)</v>
          </cell>
          <cell r="H50" t="str">
            <v/>
          </cell>
          <cell r="J50" t="str">
            <v>exclude</v>
          </cell>
          <cell r="K50" t="str">
            <v>Independence(A+, A, A-, U)</v>
          </cell>
          <cell r="M50" t="str">
            <v>CLIO COSMETICS CO.,LTD.</v>
          </cell>
          <cell r="N50" t="str">
            <v>The company is engaged in the manufacture and sale of perfumes, cosmetics and other toilet preparations. It operates its business primarily in the domestic market. The company was incorporated in the year 1997. Its registered business office is based in the city of Seoul, Republic of Korea. The company's business activities include the manufacture and sale of perfumes (natural and synthetic), cosmetics, and other toilet preparations. It is also involved in blending and compounding perfume bases, as well as the manufacture and sale of shampoos and shaving products, whether from soap or synthetic detergents.</v>
          </cell>
          <cell r="O50" t="str">
            <v>Manufacturing</v>
          </cell>
          <cell r="P50" t="str">
            <v>company.cliocosmetic.com</v>
          </cell>
          <cell r="R50" t="str">
            <v>Republic of Korea</v>
          </cell>
          <cell r="S50" t="str">
            <v>237880</v>
          </cell>
          <cell r="T50" t="str">
            <v>B+</v>
          </cell>
          <cell r="U50" t="str">
            <v>2844</v>
          </cell>
          <cell r="V50" t="str">
            <v>Engaged in the manufacture and sale of perfumes, cosmetics and other toilet preparations</v>
          </cell>
          <cell r="W50" t="str">
            <v>- Established in May 1997 for sales and distribution of cosmetics and cosmetics, it was listed on KOSDAQ in November, 2016, and has brands such as Clio, Ferafera and Goodal.- The company is supplying products from top OEM / ODM companies in Korea, such as Cosmax, Korea Colma, and Chemicus. We are expanding overseas exports such as China, Taiwan and Japan based on marketing and quality competitiveness.- The subsidiary to be consolidated includes the Clio (Shanghai) Cosmetics Co., Ltd., a subsidiary in China, which sells cosmetics and toiletries.</v>
          </cell>
          <cell r="X50" t="str">
            <v>CLIO COSMETICS LTD.</v>
          </cell>
          <cell r="Z50" t="str">
            <v>KR1101111421273</v>
          </cell>
          <cell r="AA50">
            <v>272455447000</v>
          </cell>
          <cell r="AB50">
            <v>232744015000</v>
          </cell>
          <cell r="AC50">
            <v>218215953000</v>
          </cell>
          <cell r="AD50">
            <v>250382613000</v>
          </cell>
          <cell r="AE50">
            <v>272455447000</v>
          </cell>
          <cell r="AF50">
            <v>232744015000</v>
          </cell>
          <cell r="AG50">
            <v>218215953000</v>
          </cell>
          <cell r="AH50">
            <v>250382613000</v>
          </cell>
          <cell r="AI50" t="str">
            <v>n.a.</v>
          </cell>
          <cell r="AJ50" t="str">
            <v>n.a.</v>
          </cell>
          <cell r="AK50" t="str">
            <v>n.a.</v>
          </cell>
          <cell r="AL50" t="str">
            <v>n.a.</v>
          </cell>
          <cell r="AM50">
            <v>272455447000</v>
          </cell>
          <cell r="AN50">
            <v>232744015000</v>
          </cell>
          <cell r="AO50">
            <v>218215953000</v>
          </cell>
          <cell r="AP50">
            <v>250382613000</v>
          </cell>
          <cell r="AQ50" t="str">
            <v>n.a.</v>
          </cell>
          <cell r="AR50" t="str">
            <v>n.a.</v>
          </cell>
          <cell r="AS50" t="str">
            <v>n.a.</v>
          </cell>
          <cell r="AT50" t="str">
            <v>n.a.</v>
          </cell>
          <cell r="AU50">
            <v>-137615936000</v>
          </cell>
          <cell r="AV50">
            <v>-120397746000</v>
          </cell>
          <cell r="AW50">
            <v>-106397367000</v>
          </cell>
          <cell r="AX50">
            <v>-113675085000</v>
          </cell>
          <cell r="AY50">
            <v>-4949483000</v>
          </cell>
          <cell r="AZ50">
            <v>-4492039000</v>
          </cell>
          <cell r="BA50">
            <v>-4190797000</v>
          </cell>
          <cell r="BB50">
            <v>-4455264000</v>
          </cell>
          <cell r="BC50">
            <v>-108867914000</v>
          </cell>
          <cell r="BD50">
            <v>-88371710000</v>
          </cell>
          <cell r="BE50">
            <v>-89885813000</v>
          </cell>
          <cell r="BF50">
            <v>-101187860000</v>
          </cell>
          <cell r="BG50">
            <v>21022114000</v>
          </cell>
          <cell r="BH50">
            <v>19482520000</v>
          </cell>
          <cell r="BI50">
            <v>17741976000</v>
          </cell>
          <cell r="BJ50">
            <v>31064404000</v>
          </cell>
          <cell r="BK50">
            <v>-3139784000</v>
          </cell>
          <cell r="BL50">
            <v>-5579653000</v>
          </cell>
          <cell r="BM50">
            <v>-11513619000</v>
          </cell>
          <cell r="BN50">
            <v>-12465881000</v>
          </cell>
          <cell r="BO50">
            <v>-2790384000</v>
          </cell>
          <cell r="BP50">
            <v>-5229617000</v>
          </cell>
          <cell r="BQ50">
            <v>-11234988000</v>
          </cell>
          <cell r="BR50">
            <v>-12169585000</v>
          </cell>
          <cell r="BS50">
            <v>-349400000</v>
          </cell>
          <cell r="BT50">
            <v>-350036000</v>
          </cell>
          <cell r="BU50">
            <v>-278631000</v>
          </cell>
          <cell r="BV50">
            <v>-296296000</v>
          </cell>
          <cell r="BW50">
            <v>10128871000</v>
          </cell>
          <cell r="BX50">
            <v>9267371000</v>
          </cell>
          <cell r="BY50">
            <v>9585394000</v>
          </cell>
          <cell r="BZ50">
            <v>2942265000</v>
          </cell>
          <cell r="CA50">
            <v>129713677000</v>
          </cell>
          <cell r="CB50">
            <v>131190260000</v>
          </cell>
          <cell r="CC50">
            <v>114392079000</v>
          </cell>
          <cell r="CD50">
            <v>140657411000</v>
          </cell>
          <cell r="CE50">
            <v>18636477000</v>
          </cell>
          <cell r="CF50">
            <v>20869709000</v>
          </cell>
          <cell r="CG50">
            <v>22709713000</v>
          </cell>
          <cell r="CH50">
            <v>23727211000</v>
          </cell>
          <cell r="CI50">
            <v>15151414000</v>
          </cell>
          <cell r="CJ50">
            <v>16756990000</v>
          </cell>
          <cell r="CK50">
            <v>25444733000</v>
          </cell>
          <cell r="CL50">
            <v>25806054000</v>
          </cell>
          <cell r="CM50">
            <v>2891235000</v>
          </cell>
          <cell r="CN50">
            <v>4997747000</v>
          </cell>
          <cell r="CO50">
            <v>8337018000</v>
          </cell>
          <cell r="CP50">
            <v>5359322000</v>
          </cell>
          <cell r="CQ50">
            <v>91090891000</v>
          </cell>
          <cell r="CR50">
            <v>87247493000</v>
          </cell>
          <cell r="CS50">
            <v>55201410000</v>
          </cell>
          <cell r="CT50">
            <v>83411530000</v>
          </cell>
          <cell r="CU50">
            <v>46969550000</v>
          </cell>
          <cell r="CV50">
            <v>61054345000</v>
          </cell>
          <cell r="CW50">
            <v>24350200000</v>
          </cell>
          <cell r="CX50">
            <v>57677017000</v>
          </cell>
          <cell r="CY50">
            <v>2845608000</v>
          </cell>
          <cell r="CZ50">
            <v>5953746000</v>
          </cell>
          <cell r="DA50">
            <v>3114383000</v>
          </cell>
          <cell r="DB50">
            <v>766289000</v>
          </cell>
          <cell r="DC50">
            <v>243885492000</v>
          </cell>
          <cell r="DD50">
            <v>234228417000</v>
          </cell>
          <cell r="DE50">
            <v>215007844000</v>
          </cell>
          <cell r="DF50">
            <v>236650518000</v>
          </cell>
          <cell r="DG50">
            <v>272455447000</v>
          </cell>
          <cell r="DH50">
            <v>-137615936000</v>
          </cell>
          <cell r="DI50">
            <v>-113817397000</v>
          </cell>
          <cell r="DJ50">
            <v>-3139784000</v>
          </cell>
          <cell r="DK50">
            <v>17882330000</v>
          </cell>
          <cell r="DL50">
            <v>6.5633960329668103E-2</v>
          </cell>
          <cell r="DM50">
            <v>7.0244376981879006E-2</v>
          </cell>
          <cell r="DN50">
            <v>-4949483000</v>
          </cell>
          <cell r="DO50">
            <v>19753093000</v>
          </cell>
          <cell r="DP50">
            <v>4399677000</v>
          </cell>
          <cell r="DR50">
            <v>232744015000</v>
          </cell>
          <cell r="DS50">
            <v>-120397746000</v>
          </cell>
          <cell r="DT50">
            <v>-92863749000</v>
          </cell>
          <cell r="DU50">
            <v>-5579653000</v>
          </cell>
          <cell r="DV50">
            <v>13902867000</v>
          </cell>
          <cell r="DW50">
            <v>5.9734584367293002E-2</v>
          </cell>
          <cell r="DX50">
            <v>6.35294921775863E-2</v>
          </cell>
          <cell r="DY50">
            <v>-4492039000</v>
          </cell>
          <cell r="DZ50">
            <v>21789711000</v>
          </cell>
          <cell r="EA50">
            <v>4534064500</v>
          </cell>
          <cell r="EC50">
            <v>218215953000</v>
          </cell>
          <cell r="ED50">
            <v>-106397367000</v>
          </cell>
          <cell r="EE50">
            <v>-94076610000</v>
          </cell>
          <cell r="EF50">
            <v>-11513619000</v>
          </cell>
          <cell r="EG50">
            <v>6228357000</v>
          </cell>
          <cell r="EH50">
            <v>2.8542170791701901E-2</v>
          </cell>
          <cell r="EI50">
            <v>2.9380761504555201E-2</v>
          </cell>
          <cell r="EJ50">
            <v>-4190797000</v>
          </cell>
          <cell r="EK50">
            <v>23218462000</v>
          </cell>
          <cell r="EL50">
            <v>1940336000</v>
          </cell>
          <cell r="EN50">
            <v>241138471666.66699</v>
          </cell>
          <cell r="EO50">
            <v>-121470349666.66701</v>
          </cell>
          <cell r="EP50">
            <v>-100252585333.33299</v>
          </cell>
          <cell r="EQ50">
            <v>-6744352000</v>
          </cell>
          <cell r="ER50">
            <v>12671184666.6667</v>
          </cell>
          <cell r="ES50">
            <v>5.2547337548785801E-2</v>
          </cell>
          <cell r="ET50">
            <v>5.54617023428245E-2</v>
          </cell>
        </row>
        <row r="51">
          <cell r="B51" t="str">
            <v>ABLE C &amp; C CO.,LTD.</v>
          </cell>
          <cell r="C51" t="str">
            <v>exclude</v>
          </cell>
          <cell r="D51" t="str">
            <v>Independence(A+, A, A-, U)</v>
          </cell>
          <cell r="H51" t="str">
            <v/>
          </cell>
          <cell r="J51" t="str">
            <v>exclude</v>
          </cell>
          <cell r="K51" t="str">
            <v>Independence(A+, A, A-, U)</v>
          </cell>
          <cell r="M51" t="str">
            <v>ABLE C &amp; C CO.,LTD.</v>
          </cell>
          <cell r="N51" t="str">
            <v>This company is engaged in the manufacture and wholesale distribution of cosmetic products. It was founded in 2000. The company has a registered office located in Seoul, South Korea.The company offers approximately 700 products for skin care, body care, make-up, fragrance and hair care. Its skin care products include cleansers, toners, emulsions, moisturizers and masks. Body care products comprise shower gels, body cleansers and body moisturizers. Its make-up products consist of foundations, concealers, powders, blush, mascaras, lip-sticks and nail colors. The company's hair care products include shampoos, treatments and conditioners.</v>
          </cell>
          <cell r="O51" t="str">
            <v>Manufacturing; Wholesale</v>
          </cell>
          <cell r="P51" t="str">
            <v>www.able-cnc.co.kr</v>
          </cell>
          <cell r="R51" t="str">
            <v>Republic of Korea</v>
          </cell>
          <cell r="S51" t="str">
            <v>078520</v>
          </cell>
          <cell r="T51" t="str">
            <v>D</v>
          </cell>
          <cell r="U51" t="str">
            <v>2844</v>
          </cell>
          <cell r="V51" t="str">
            <v>Engaged in the manufacture and wholesale distribution of cosmetic products</v>
          </cell>
          <cell r="W51" t="str">
            <v>- Established in January 2000, it is engaged in manufacturing and sales of cosmetics and household goods, distribution and sales business, Internet commerce business, etc., and has subsidiaries in Japan and China.- As a representative brand, Misha is a leader in the brand shop market and operates over 3,400 overseas stores in 40 countries including the US, Japan, and China.- Dec. 2018 In order to increase management efficiency and create synergy of cosmetics manufacturing and sales business, the company acquired a stake in cosmetics manufacturing and sales company, US factory, and incorporated it as a subsidiary.</v>
          </cell>
          <cell r="Z51" t="str">
            <v>KR1101111846174</v>
          </cell>
          <cell r="AA51">
            <v>247873188000</v>
          </cell>
          <cell r="AB51">
            <v>262945931000</v>
          </cell>
          <cell r="AC51">
            <v>307517402000</v>
          </cell>
          <cell r="AD51">
            <v>422205555000</v>
          </cell>
          <cell r="AE51">
            <v>247873188000</v>
          </cell>
          <cell r="AF51">
            <v>262945931000</v>
          </cell>
          <cell r="AG51">
            <v>307517402000</v>
          </cell>
          <cell r="AH51">
            <v>422205555000</v>
          </cell>
          <cell r="AI51" t="str">
            <v>n.a.</v>
          </cell>
          <cell r="AJ51" t="str">
            <v>n.a.</v>
          </cell>
          <cell r="AK51" t="str">
            <v>n.a.</v>
          </cell>
          <cell r="AL51" t="str">
            <v>n.a.</v>
          </cell>
          <cell r="AM51">
            <v>247873188000</v>
          </cell>
          <cell r="AN51">
            <v>262945931000</v>
          </cell>
          <cell r="AO51">
            <v>307517402000</v>
          </cell>
          <cell r="AP51">
            <v>422205555000</v>
          </cell>
          <cell r="AQ51" t="str">
            <v>n.a.</v>
          </cell>
          <cell r="AR51" t="str">
            <v>n.a.</v>
          </cell>
          <cell r="AS51" t="str">
            <v>n.a.</v>
          </cell>
          <cell r="AT51" t="str">
            <v>n.a.</v>
          </cell>
          <cell r="AU51">
            <v>-105725376000</v>
          </cell>
          <cell r="AV51">
            <v>-133073640000</v>
          </cell>
          <cell r="AW51">
            <v>-161015275000</v>
          </cell>
          <cell r="AX51">
            <v>-168852823000</v>
          </cell>
          <cell r="AY51">
            <v>-1943282000</v>
          </cell>
          <cell r="AZ51">
            <v>-2284811000</v>
          </cell>
          <cell r="BA51">
            <v>-3264939000</v>
          </cell>
          <cell r="BB51">
            <v>-3347898000</v>
          </cell>
          <cell r="BC51">
            <v>-120246989000</v>
          </cell>
          <cell r="BD51">
            <v>-139803142000</v>
          </cell>
          <cell r="BE51">
            <v>-177473011000</v>
          </cell>
          <cell r="BF51">
            <v>-217536636000</v>
          </cell>
          <cell r="BG51">
            <v>19957541000</v>
          </cell>
          <cell r="BH51">
            <v>-12215662000</v>
          </cell>
          <cell r="BI51">
            <v>-34235823000</v>
          </cell>
          <cell r="BJ51">
            <v>32468198000</v>
          </cell>
          <cell r="BK51">
            <v>-9981678000</v>
          </cell>
          <cell r="BL51">
            <v>-10163661000</v>
          </cell>
          <cell r="BM51">
            <v>-33759679000</v>
          </cell>
          <cell r="BN51">
            <v>-30634086000</v>
          </cell>
          <cell r="BO51">
            <v>-6519488000</v>
          </cell>
          <cell r="BP51">
            <v>-7485486000</v>
          </cell>
          <cell r="BQ51">
            <v>-29592071000</v>
          </cell>
          <cell r="BR51">
            <v>-26887966000</v>
          </cell>
          <cell r="BS51">
            <v>-3462190000</v>
          </cell>
          <cell r="BT51">
            <v>-2678175000</v>
          </cell>
          <cell r="BU51">
            <v>-4167608000</v>
          </cell>
          <cell r="BV51">
            <v>-3746120000</v>
          </cell>
          <cell r="BW51">
            <v>935466000</v>
          </cell>
          <cell r="BX51">
            <v>-43338180000</v>
          </cell>
          <cell r="BY51">
            <v>-88256513000</v>
          </cell>
          <cell r="BZ51">
            <v>-11151598000</v>
          </cell>
          <cell r="CA51">
            <v>122000891000</v>
          </cell>
          <cell r="CB51">
            <v>116388271000</v>
          </cell>
          <cell r="CC51">
            <v>138307898000</v>
          </cell>
          <cell r="CD51">
            <v>199999433000</v>
          </cell>
          <cell r="CE51">
            <v>43046844000</v>
          </cell>
          <cell r="CF51">
            <v>40562394000</v>
          </cell>
          <cell r="CG51">
            <v>53819086000</v>
          </cell>
          <cell r="CH51">
            <v>87262687000</v>
          </cell>
          <cell r="CI51">
            <v>21484605000</v>
          </cell>
          <cell r="CJ51">
            <v>24547355000</v>
          </cell>
          <cell r="CK51">
            <v>27024532000</v>
          </cell>
          <cell r="CL51">
            <v>42665201000</v>
          </cell>
          <cell r="CM51">
            <v>23633132000</v>
          </cell>
          <cell r="CN51">
            <v>26958520000</v>
          </cell>
          <cell r="CO51">
            <v>15010739000</v>
          </cell>
          <cell r="CP51">
            <v>10857164000</v>
          </cell>
          <cell r="CQ51">
            <v>30080681000</v>
          </cell>
          <cell r="CR51">
            <v>23122540000</v>
          </cell>
          <cell r="CS51">
            <v>40074854000</v>
          </cell>
          <cell r="CT51">
            <v>54558466000</v>
          </cell>
          <cell r="CU51" t="str">
            <v>n.a.</v>
          </cell>
          <cell r="CV51" t="str">
            <v>n.a.</v>
          </cell>
          <cell r="CW51">
            <v>3000000000</v>
          </cell>
          <cell r="CX51" t="str">
            <v>n.a.</v>
          </cell>
          <cell r="CY51">
            <v>14171208000</v>
          </cell>
          <cell r="CZ51">
            <v>17876417000</v>
          </cell>
          <cell r="DA51">
            <v>26095593000</v>
          </cell>
          <cell r="DB51">
            <v>28925102000</v>
          </cell>
          <cell r="DC51">
            <v>195431757000</v>
          </cell>
          <cell r="DD51">
            <v>193817470000</v>
          </cell>
          <cell r="DE51">
            <v>254779587000</v>
          </cell>
          <cell r="DF51">
            <v>433270432000</v>
          </cell>
          <cell r="DG51">
            <v>247873188000</v>
          </cell>
          <cell r="DH51">
            <v>-105725376000</v>
          </cell>
          <cell r="DI51">
            <v>-122190271000</v>
          </cell>
          <cell r="DJ51">
            <v>-9981678000</v>
          </cell>
          <cell r="DK51">
            <v>9975863000</v>
          </cell>
          <cell r="DL51">
            <v>4.0245833284719798E-2</v>
          </cell>
          <cell r="DM51">
            <v>4.1933481177226402E-2</v>
          </cell>
          <cell r="DN51">
            <v>-1943282000</v>
          </cell>
          <cell r="DO51">
            <v>41804619000</v>
          </cell>
          <cell r="DP51">
            <v>16023812500</v>
          </cell>
          <cell r="DR51">
            <v>262945931000</v>
          </cell>
          <cell r="DS51">
            <v>-133073640000</v>
          </cell>
          <cell r="DT51">
            <v>-142087953000</v>
          </cell>
          <cell r="DU51">
            <v>-10163661000</v>
          </cell>
          <cell r="DV51">
            <v>-22379323000</v>
          </cell>
          <cell r="DW51">
            <v>-8.5109980271951796E-2</v>
          </cell>
          <cell r="DX51">
            <v>-7.8434427679507104E-2</v>
          </cell>
          <cell r="DY51">
            <v>-2284811000</v>
          </cell>
          <cell r="DZ51">
            <v>47190740000</v>
          </cell>
          <cell r="EA51">
            <v>21986005000</v>
          </cell>
          <cell r="EC51">
            <v>307517402000</v>
          </cell>
          <cell r="ED51">
            <v>-161015275000</v>
          </cell>
          <cell r="EE51">
            <v>-180737950000</v>
          </cell>
          <cell r="EF51">
            <v>-33759679000</v>
          </cell>
          <cell r="EG51">
            <v>-67995502000</v>
          </cell>
          <cell r="EH51">
            <v>-0.22111107065089</v>
          </cell>
          <cell r="EI51">
            <v>-0.181073676232442</v>
          </cell>
          <cell r="EJ51">
            <v>-3264939000</v>
          </cell>
          <cell r="EK51">
            <v>70540886500</v>
          </cell>
          <cell r="EL51">
            <v>27510347500</v>
          </cell>
          <cell r="EN51">
            <v>272778840333.33301</v>
          </cell>
          <cell r="EO51">
            <v>-133271430333.33299</v>
          </cell>
          <cell r="EP51">
            <v>-148338724666.66699</v>
          </cell>
          <cell r="EQ51">
            <v>-17968339333.333302</v>
          </cell>
          <cell r="ER51">
            <v>-26799654000</v>
          </cell>
          <cell r="ES51">
            <v>-9.8246821370935697E-2</v>
          </cell>
          <cell r="ET51">
            <v>-8.9457869997105699E-2</v>
          </cell>
        </row>
        <row r="52">
          <cell r="B52" t="str">
            <v>AFC-HD AMS LIFE SCIENCE CO.,LTD.</v>
          </cell>
          <cell r="C52" t="str">
            <v>include before</v>
          </cell>
          <cell r="H52">
            <v>7.6216525861436499E-2</v>
          </cell>
          <cell r="J52" t="str">
            <v>Include before</v>
          </cell>
          <cell r="K52">
            <v>0</v>
          </cell>
          <cell r="M52" t="str">
            <v>AFC-HD AMS LIFE SCIENCE CO.,LTD.</v>
          </cell>
          <cell r="N52" t="str">
            <v>The company is engaged in the manufacture of health foods and cosmetics in Japan and internationally. Its activities include planning, research, development, processing, and completion of dietary supplements and cosmetics. The company offers health foods in various forms, such as tablets, soft and hard capsules, granulation, soft drinks, share parcels, PTP packing, and filling and finish packing. Its cosmetic products include facial cleansing oil, face lotion, milky lotion, makeup oil, cleansing cream, and liquid cosmetics. The company was founded in the year 1969 and is based in Shizuoka, Japan.</v>
          </cell>
          <cell r="O52" t="str">
            <v>Manufacturing</v>
          </cell>
          <cell r="P52" t="str">
            <v>www.ams-life.com</v>
          </cell>
          <cell r="R52" t="str">
            <v>Japan</v>
          </cell>
          <cell r="S52" t="str">
            <v>2927</v>
          </cell>
          <cell r="T52" t="str">
            <v>A+</v>
          </cell>
          <cell r="U52" t="str">
            <v>2844</v>
          </cell>
          <cell r="V52" t="str">
            <v>Engaged in the manufacture of health foods and cosmetics in Japan and internationally</v>
          </cell>
          <cell r="W52" t="str">
            <v>AMS Life Science Co., Ltd., a Japan-based company along with its subsidiaries, mainly manufactures and wholesales cosmetics, as well as health food products, such as health foods that contain beer yeast, vitamin, calcium, zinc, glucosamine, lutein and collagen.</v>
          </cell>
          <cell r="X52" t="str">
            <v>AMS LIFE SCIENCE CO LTD</v>
          </cell>
          <cell r="Z52" t="str">
            <v>JP3080001005054</v>
          </cell>
          <cell r="AA52">
            <v>22997127000</v>
          </cell>
          <cell r="AB52">
            <v>22368076000</v>
          </cell>
          <cell r="AC52">
            <v>15819281000</v>
          </cell>
          <cell r="AD52">
            <v>16252889000</v>
          </cell>
          <cell r="AE52">
            <v>22997127000</v>
          </cell>
          <cell r="AF52">
            <v>22368076000</v>
          </cell>
          <cell r="AG52">
            <v>15819281000</v>
          </cell>
          <cell r="AH52">
            <v>16252889000</v>
          </cell>
          <cell r="AI52" t="str">
            <v>n.a.</v>
          </cell>
          <cell r="AJ52" t="str">
            <v>n.a.</v>
          </cell>
          <cell r="AK52" t="str">
            <v>n.a.</v>
          </cell>
          <cell r="AL52" t="str">
            <v>n.a.</v>
          </cell>
          <cell r="AM52">
            <v>22997127000</v>
          </cell>
          <cell r="AN52">
            <v>22368076000</v>
          </cell>
          <cell r="AO52">
            <v>15819281000</v>
          </cell>
          <cell r="AP52">
            <v>16252889000</v>
          </cell>
          <cell r="AQ52" t="str">
            <v>n.a.</v>
          </cell>
          <cell r="AR52" t="str">
            <v>n.a.</v>
          </cell>
          <cell r="AS52" t="str">
            <v>n.a.</v>
          </cell>
          <cell r="AT52" t="str">
            <v>n.a.</v>
          </cell>
          <cell r="AU52">
            <v>-13564535000</v>
          </cell>
          <cell r="AV52">
            <v>-14891436000</v>
          </cell>
          <cell r="AW52">
            <v>-10755754000</v>
          </cell>
          <cell r="AX52">
            <v>-11259830000</v>
          </cell>
          <cell r="AY52">
            <v>-153029000</v>
          </cell>
          <cell r="AZ52">
            <v>-163700000</v>
          </cell>
          <cell r="BA52">
            <v>-166359000</v>
          </cell>
          <cell r="BB52">
            <v>-156620000</v>
          </cell>
          <cell r="BC52">
            <v>-7261795000</v>
          </cell>
          <cell r="BD52">
            <v>-4417821000</v>
          </cell>
          <cell r="BE52">
            <v>-3293543000</v>
          </cell>
          <cell r="BF52">
            <v>-3381945000</v>
          </cell>
          <cell r="BG52">
            <v>2017768000</v>
          </cell>
          <cell r="BH52">
            <v>2895119000</v>
          </cell>
          <cell r="BI52">
            <v>1603625000</v>
          </cell>
          <cell r="BJ52">
            <v>1454494000</v>
          </cell>
          <cell r="BK52">
            <v>-1022039000</v>
          </cell>
          <cell r="BL52">
            <v>-650608000</v>
          </cell>
          <cell r="BM52">
            <v>-510844000</v>
          </cell>
          <cell r="BN52">
            <v>-474251000</v>
          </cell>
          <cell r="BO52">
            <v>-869048000</v>
          </cell>
          <cell r="BP52">
            <v>-612361000</v>
          </cell>
          <cell r="BQ52">
            <v>-509824000</v>
          </cell>
          <cell r="BR52">
            <v>-473794000</v>
          </cell>
          <cell r="BS52">
            <v>-152991000</v>
          </cell>
          <cell r="BT52">
            <v>-38247000</v>
          </cell>
          <cell r="BU52">
            <v>-1020000</v>
          </cell>
          <cell r="BV52">
            <v>-457000</v>
          </cell>
          <cell r="BW52">
            <v>735353000</v>
          </cell>
          <cell r="BX52">
            <v>1495554000</v>
          </cell>
          <cell r="BY52">
            <v>676683000</v>
          </cell>
          <cell r="BZ52">
            <v>783292000</v>
          </cell>
          <cell r="CA52">
            <v>17125257000</v>
          </cell>
          <cell r="CB52">
            <v>15852396000</v>
          </cell>
          <cell r="CC52">
            <v>10009188000</v>
          </cell>
          <cell r="CD52">
            <v>9629550000</v>
          </cell>
          <cell r="CE52">
            <v>3728004000</v>
          </cell>
          <cell r="CF52">
            <v>3851429000</v>
          </cell>
          <cell r="CG52">
            <v>2995118000</v>
          </cell>
          <cell r="CH52">
            <v>2823308000</v>
          </cell>
          <cell r="CI52">
            <v>2379550000</v>
          </cell>
          <cell r="CJ52">
            <v>2184296000</v>
          </cell>
          <cell r="CK52">
            <v>2127698000</v>
          </cell>
          <cell r="CL52">
            <v>2132079000</v>
          </cell>
          <cell r="CM52">
            <v>639925000</v>
          </cell>
          <cell r="CN52">
            <v>594535000</v>
          </cell>
          <cell r="CO52">
            <v>160730000</v>
          </cell>
          <cell r="CP52">
            <v>236962000</v>
          </cell>
          <cell r="CQ52">
            <v>10377778000</v>
          </cell>
          <cell r="CR52">
            <v>9222136000</v>
          </cell>
          <cell r="CS52">
            <v>4725642000</v>
          </cell>
          <cell r="CT52">
            <v>4437201000</v>
          </cell>
          <cell r="CU52" t="str">
            <v>n.a.</v>
          </cell>
          <cell r="CV52" t="str">
            <v>n.a.</v>
          </cell>
          <cell r="CW52" t="str">
            <v>n.a.</v>
          </cell>
          <cell r="CX52" t="str">
            <v>n.a.</v>
          </cell>
          <cell r="CY52">
            <v>1209773000</v>
          </cell>
          <cell r="CZ52">
            <v>1037027000</v>
          </cell>
          <cell r="DA52">
            <v>651379000</v>
          </cell>
          <cell r="DB52">
            <v>614181000</v>
          </cell>
          <cell r="DC52">
            <v>37348660000</v>
          </cell>
          <cell r="DD52">
            <v>35752403000</v>
          </cell>
          <cell r="DE52">
            <v>18548888000</v>
          </cell>
          <cell r="DF52">
            <v>18327080000</v>
          </cell>
          <cell r="DG52">
            <v>22997127000</v>
          </cell>
          <cell r="DH52">
            <v>-13564535000</v>
          </cell>
          <cell r="DI52">
            <v>-7414824000</v>
          </cell>
          <cell r="DJ52">
            <v>-1022039000</v>
          </cell>
          <cell r="DK52">
            <v>995729000</v>
          </cell>
          <cell r="DL52">
            <v>4.3297973699062499E-2</v>
          </cell>
          <cell r="DM52">
            <v>4.5257533180391503E-2</v>
          </cell>
          <cell r="DN52">
            <v>-153029000</v>
          </cell>
          <cell r="DO52">
            <v>3789716500</v>
          </cell>
          <cell r="DP52">
            <v>1123400000</v>
          </cell>
          <cell r="DR52">
            <v>22368076000</v>
          </cell>
          <cell r="DS52">
            <v>-14891436000</v>
          </cell>
          <cell r="DT52">
            <v>-4581521000</v>
          </cell>
          <cell r="DU52">
            <v>-650608000</v>
          </cell>
          <cell r="DV52">
            <v>2244511000</v>
          </cell>
          <cell r="DW52">
            <v>0.100344392606677</v>
          </cell>
          <cell r="DX52">
            <v>0.111536449928231</v>
          </cell>
          <cell r="DY52">
            <v>-163700000</v>
          </cell>
          <cell r="DZ52">
            <v>3423273500</v>
          </cell>
          <cell r="EA52">
            <v>844203000</v>
          </cell>
          <cell r="EC52">
            <v>15819281000</v>
          </cell>
          <cell r="ED52">
            <v>-10755754000</v>
          </cell>
          <cell r="EE52">
            <v>-3459902000</v>
          </cell>
          <cell r="EF52">
            <v>-510844000</v>
          </cell>
          <cell r="EG52">
            <v>1092781000</v>
          </cell>
          <cell r="EH52">
            <v>6.9079056121450794E-2</v>
          </cell>
          <cell r="EI52">
            <v>7.4205072488371299E-2</v>
          </cell>
          <cell r="EJ52">
            <v>-166359000</v>
          </cell>
          <cell r="EK52">
            <v>2909213000</v>
          </cell>
          <cell r="EL52">
            <v>632780000</v>
          </cell>
          <cell r="EN52">
            <v>20394828000</v>
          </cell>
          <cell r="EO52">
            <v>-13070575000</v>
          </cell>
          <cell r="EP52">
            <v>-5152082333.3333302</v>
          </cell>
          <cell r="EQ52">
            <v>-727830333.33333302</v>
          </cell>
          <cell r="ER52">
            <v>1444340333.3333299</v>
          </cell>
          <cell r="ES52">
            <v>7.0818951419121201E-2</v>
          </cell>
          <cell r="ET52">
            <v>7.6216525861436499E-2</v>
          </cell>
        </row>
        <row r="53">
          <cell r="B53" t="str">
            <v>S &amp; J INTERNATIONAL ENTERPRISES PCL</v>
          </cell>
          <cell r="C53" t="str">
            <v>include before</v>
          </cell>
          <cell r="H53">
            <v>6.0534881501715501E-2</v>
          </cell>
          <cell r="J53" t="str">
            <v>include before</v>
          </cell>
          <cell r="K53">
            <v>0</v>
          </cell>
          <cell r="M53" t="str">
            <v>S &amp; J INTERNATIONAL ENTERPRISES PCL</v>
          </cell>
          <cell r="N53" t="str">
            <v>This company, based in Thailand, operates as a contract manufacturer that manufactures, sells, and exports cosmetic formulations and personal care products for various brands in Thailand and internationally. It was incorporated in 1980 and conducts business from its registered head office located in Bangkok.The company is principally involved in producing and dealing perfumes, colognes, body lotions, facial creams and other related cosmetic products. It also offers a wide range of other products, such as hair coloring products, shampoos, combs, nail coloring products, hair blowers, relaxers and texturizers, shapers and scissors, shaving creams and equipment, lotions, gels, wigs and other related products.</v>
          </cell>
          <cell r="O53" t="str">
            <v>Manufacturing; Wholesale; Services</v>
          </cell>
          <cell r="P53" t="str">
            <v>www.snjinter.com</v>
          </cell>
          <cell r="R53" t="str">
            <v>Thailand</v>
          </cell>
          <cell r="S53" t="str">
            <v>S &amp; J</v>
          </cell>
          <cell r="T53" t="str">
            <v>A+</v>
          </cell>
          <cell r="U53" t="str">
            <v>2844</v>
          </cell>
          <cell r="V53" t="str">
            <v>Operates as a contract manufacturer that manufactures, sells, and exports cosmetic formulations and personal care products for various brands in Thailand and internationally</v>
          </cell>
          <cell r="W53" t="str">
            <v>The Company is a  leading contract manufacturer of high quality cosmetic and personal care products.  Furthermore company is committed to providing creative cost effective solutions to each of its customers requirements, so the fullest service can be provided, from developing product and packaging concepts, through to manufacturing, shipping, and even brand awareness building programmes.</v>
          </cell>
          <cell r="X53" t="str">
            <v>S &amp; J INTERNATIONAL ENTERPRISES CO LTD</v>
          </cell>
          <cell r="Z53" t="str">
            <v>TH0107537001366</v>
          </cell>
          <cell r="AA53">
            <v>6057243000</v>
          </cell>
          <cell r="AB53">
            <v>5013377000</v>
          </cell>
          <cell r="AC53">
            <v>4395318000</v>
          </cell>
          <cell r="AD53">
            <v>4743357000</v>
          </cell>
          <cell r="AE53">
            <v>5959969000</v>
          </cell>
          <cell r="AF53">
            <v>4905707000</v>
          </cell>
          <cell r="AG53">
            <v>4315586000</v>
          </cell>
          <cell r="AH53">
            <v>4634030000</v>
          </cell>
          <cell r="AI53" t="str">
            <v>n.a.</v>
          </cell>
          <cell r="AJ53" t="str">
            <v>n.a.</v>
          </cell>
          <cell r="AK53" t="str">
            <v>n.a.</v>
          </cell>
          <cell r="AL53" t="str">
            <v>n.a.</v>
          </cell>
          <cell r="AM53">
            <v>5959969000</v>
          </cell>
          <cell r="AN53">
            <v>4905707000</v>
          </cell>
          <cell r="AO53">
            <v>4315586000</v>
          </cell>
          <cell r="AP53">
            <v>4634030000</v>
          </cell>
          <cell r="AQ53">
            <v>97274000</v>
          </cell>
          <cell r="AR53">
            <v>107670000</v>
          </cell>
          <cell r="AS53">
            <v>79732000</v>
          </cell>
          <cell r="AT53">
            <v>109327000</v>
          </cell>
          <cell r="AU53">
            <v>-2563769000</v>
          </cell>
          <cell r="AV53">
            <v>-1995112000</v>
          </cell>
          <cell r="AW53">
            <v>-1656701000</v>
          </cell>
          <cell r="AX53">
            <v>-2094983000</v>
          </cell>
          <cell r="AY53">
            <v>0</v>
          </cell>
          <cell r="AZ53">
            <v>0</v>
          </cell>
          <cell r="BA53">
            <v>0</v>
          </cell>
          <cell r="BB53">
            <v>0</v>
          </cell>
          <cell r="BC53">
            <v>-2659420000</v>
          </cell>
          <cell r="BD53">
            <v>-2375959000</v>
          </cell>
          <cell r="BE53">
            <v>-2199673000</v>
          </cell>
          <cell r="BF53">
            <v>-2199270000</v>
          </cell>
          <cell r="BG53">
            <v>834054000</v>
          </cell>
          <cell r="BH53">
            <v>642306000</v>
          </cell>
          <cell r="BI53">
            <v>538944000</v>
          </cell>
          <cell r="BJ53">
            <v>449104000</v>
          </cell>
          <cell r="BK53">
            <v>-278492000</v>
          </cell>
          <cell r="BL53">
            <v>-289825000</v>
          </cell>
          <cell r="BM53">
            <v>-295771000</v>
          </cell>
          <cell r="BN53">
            <v>-225472000</v>
          </cell>
          <cell r="BO53">
            <v>-272555000</v>
          </cell>
          <cell r="BP53">
            <v>-283002000</v>
          </cell>
          <cell r="BQ53">
            <v>-295771000</v>
          </cell>
          <cell r="BR53">
            <v>-218966000</v>
          </cell>
          <cell r="BS53">
            <v>-5937000</v>
          </cell>
          <cell r="BT53">
            <v>-6823000</v>
          </cell>
          <cell r="BU53">
            <v>0</v>
          </cell>
          <cell r="BV53">
            <v>-6506000</v>
          </cell>
          <cell r="BW53">
            <v>504298000</v>
          </cell>
          <cell r="BX53">
            <v>373167000</v>
          </cell>
          <cell r="BY53">
            <v>275907000</v>
          </cell>
          <cell r="BZ53">
            <v>258247000</v>
          </cell>
          <cell r="CA53">
            <v>2939640000</v>
          </cell>
          <cell r="CB53">
            <v>2516284000</v>
          </cell>
          <cell r="CC53">
            <v>1985044000</v>
          </cell>
          <cell r="CD53">
            <v>1880989000</v>
          </cell>
          <cell r="CE53">
            <v>841065000</v>
          </cell>
          <cell r="CF53">
            <v>863714000</v>
          </cell>
          <cell r="CG53">
            <v>771045000</v>
          </cell>
          <cell r="CH53">
            <v>764294000</v>
          </cell>
          <cell r="CI53">
            <v>1036325000</v>
          </cell>
          <cell r="CJ53">
            <v>784356000</v>
          </cell>
          <cell r="CK53">
            <v>830652000</v>
          </cell>
          <cell r="CL53">
            <v>643520000</v>
          </cell>
          <cell r="CM53">
            <v>96043000</v>
          </cell>
          <cell r="CN53">
            <v>202146000</v>
          </cell>
          <cell r="CO53">
            <v>70071000</v>
          </cell>
          <cell r="CP53">
            <v>312764000</v>
          </cell>
          <cell r="CQ53">
            <v>928506000</v>
          </cell>
          <cell r="CR53">
            <v>632686000</v>
          </cell>
          <cell r="CS53">
            <v>287806000</v>
          </cell>
          <cell r="CT53">
            <v>131189000</v>
          </cell>
          <cell r="CU53">
            <v>11129000</v>
          </cell>
          <cell r="CV53">
            <v>8507000</v>
          </cell>
          <cell r="CW53">
            <v>18809000</v>
          </cell>
          <cell r="CX53">
            <v>4000000</v>
          </cell>
          <cell r="CY53">
            <v>668869000</v>
          </cell>
          <cell r="CZ53">
            <v>659466000</v>
          </cell>
          <cell r="DA53">
            <v>581852000</v>
          </cell>
          <cell r="DB53">
            <v>593691000</v>
          </cell>
          <cell r="DC53">
            <v>6377371000</v>
          </cell>
          <cell r="DD53">
            <v>5979279000</v>
          </cell>
          <cell r="DE53">
            <v>5115102000</v>
          </cell>
          <cell r="DF53">
            <v>4945873000</v>
          </cell>
          <cell r="DG53">
            <v>5959969000</v>
          </cell>
          <cell r="DH53">
            <v>-2563769000</v>
          </cell>
          <cell r="DI53">
            <v>-2659420000</v>
          </cell>
          <cell r="DJ53">
            <v>-278492000</v>
          </cell>
          <cell r="DK53">
            <v>458288000</v>
          </cell>
          <cell r="DL53">
            <v>7.6894359685427904E-2</v>
          </cell>
          <cell r="DM53">
            <v>8.3299631512623096E-2</v>
          </cell>
          <cell r="DN53">
            <v>0</v>
          </cell>
          <cell r="DO53">
            <v>852389500</v>
          </cell>
          <cell r="DP53">
            <v>664167500</v>
          </cell>
          <cell r="DR53">
            <v>4905707000</v>
          </cell>
          <cell r="DS53">
            <v>-1995112000</v>
          </cell>
          <cell r="DT53">
            <v>-2375959000</v>
          </cell>
          <cell r="DU53">
            <v>-289825000</v>
          </cell>
          <cell r="DV53">
            <v>244811000</v>
          </cell>
          <cell r="DW53">
            <v>4.9903306495883301E-2</v>
          </cell>
          <cell r="DX53">
            <v>5.2524450234461402E-2</v>
          </cell>
          <cell r="DY53">
            <v>0</v>
          </cell>
          <cell r="DZ53">
            <v>817379500</v>
          </cell>
          <cell r="EA53">
            <v>620659000</v>
          </cell>
          <cell r="EC53">
            <v>4315586000</v>
          </cell>
          <cell r="ED53">
            <v>-1656701000</v>
          </cell>
          <cell r="EE53">
            <v>-2199673000</v>
          </cell>
          <cell r="EF53">
            <v>-295771000</v>
          </cell>
          <cell r="EG53">
            <v>163441000</v>
          </cell>
          <cell r="EH53">
            <v>3.78722611483122E-2</v>
          </cell>
          <cell r="EI53">
            <v>3.9363028025273701E-2</v>
          </cell>
          <cell r="EJ53">
            <v>0</v>
          </cell>
          <cell r="EK53">
            <v>767669500</v>
          </cell>
          <cell r="EL53">
            <v>587771500</v>
          </cell>
          <cell r="EN53">
            <v>5060420666.6666698</v>
          </cell>
          <cell r="EO53">
            <v>-2071860666.6666701</v>
          </cell>
          <cell r="EP53">
            <v>-2411684000</v>
          </cell>
          <cell r="EQ53">
            <v>-288029333.33333302</v>
          </cell>
          <cell r="ER53">
            <v>288846666.66666698</v>
          </cell>
          <cell r="ES53">
            <v>5.7079576124830701E-2</v>
          </cell>
          <cell r="ET53">
            <v>6.0534881501715501E-2</v>
          </cell>
        </row>
        <row r="54">
          <cell r="B54" t="str">
            <v>PAOS HOLDINGS BERHAD</v>
          </cell>
          <cell r="C54" t="str">
            <v>exclude</v>
          </cell>
          <cell r="D54" t="str">
            <v>Independence(A+, A, A-, U)</v>
          </cell>
          <cell r="H54" t="str">
            <v/>
          </cell>
          <cell r="J54" t="str">
            <v>exclude</v>
          </cell>
          <cell r="K54" t="str">
            <v>Independence(A+, A, A-, U)</v>
          </cell>
          <cell r="M54" t="str">
            <v>PAOS HOLDINGS BERHAD</v>
          </cell>
          <cell r="N54" t="str">
            <v>This company is an investment holding company for a group active in the manufacture and marketing of soaps and detergent products. The company was incorporated in November 1997. The registered head office of the company is located in Petaling Jaya, Malaysia.The company exercises financial control over its subsidiaries and provides central services. The company also provides financial support and control function for the board and is responsible for managing the group and its overall legal structure, tax planning, financial and equity structures. The company's subsidiaries include Paos Industries Sdn Bhd, one of the leading soap manufacturers in Malaysia; Premier Oil Industries Sdn Bhd, which is negaged in rental of investment properties; Alpine Legacy (M) Sdn Bhd, which is engaged in property investment holding; and The 5 Elements Hotel Sdn Bhd, which is engaged in the operation and management of a hotel.</v>
          </cell>
          <cell r="O54" t="str">
            <v>Services</v>
          </cell>
          <cell r="P54" t="str">
            <v>www.paos.com</v>
          </cell>
          <cell r="R54" t="str">
            <v>Malaysia</v>
          </cell>
          <cell r="S54" t="str">
            <v>5022</v>
          </cell>
          <cell r="T54" t="str">
            <v>B+</v>
          </cell>
          <cell r="U54" t="str">
            <v>2841</v>
          </cell>
          <cell r="V54" t="str">
            <v>An investment holding company for a group active in the manufacture and marketing of soaps and detergent products</v>
          </cell>
          <cell r="W54" t="str">
            <v>The Company is principally involved in the production of downstream value-added palm oil-related products, that includes soap chips, finished soaps, and specialty fats from palm oil, and also manufacturing of specialty fats and animal feed from palm oil.</v>
          </cell>
          <cell r="Z54" t="str">
            <v>MY452536-W</v>
          </cell>
          <cell r="AA54">
            <v>684189000</v>
          </cell>
          <cell r="AB54">
            <v>378907000</v>
          </cell>
          <cell r="AC54">
            <v>405361000</v>
          </cell>
          <cell r="AD54">
            <v>283161000</v>
          </cell>
          <cell r="AE54">
            <v>683950000</v>
          </cell>
          <cell r="AF54">
            <v>378670000</v>
          </cell>
          <cell r="AG54">
            <v>404863000</v>
          </cell>
          <cell r="AH54">
            <v>282844000</v>
          </cell>
          <cell r="AI54" t="str">
            <v>n.a.</v>
          </cell>
          <cell r="AJ54" t="str">
            <v>n.a.</v>
          </cell>
          <cell r="AK54" t="str">
            <v>n.a.</v>
          </cell>
          <cell r="AL54" t="str">
            <v>n.a.</v>
          </cell>
          <cell r="AM54">
            <v>683950000</v>
          </cell>
          <cell r="AN54">
            <v>378670000</v>
          </cell>
          <cell r="AO54">
            <v>404863000</v>
          </cell>
          <cell r="AP54">
            <v>282844000</v>
          </cell>
          <cell r="AQ54">
            <v>239000</v>
          </cell>
          <cell r="AR54">
            <v>237000</v>
          </cell>
          <cell r="AS54">
            <v>498000</v>
          </cell>
          <cell r="AT54">
            <v>317000</v>
          </cell>
          <cell r="AU54">
            <v>-676272000</v>
          </cell>
          <cell r="AV54">
            <v>-372499000</v>
          </cell>
          <cell r="AW54">
            <v>-396483000</v>
          </cell>
          <cell r="AX54">
            <v>-274560000</v>
          </cell>
          <cell r="AY54">
            <v>0</v>
          </cell>
          <cell r="AZ54">
            <v>0</v>
          </cell>
          <cell r="BA54">
            <v>0</v>
          </cell>
          <cell r="BB54">
            <v>0</v>
          </cell>
          <cell r="BC54">
            <v>-6977000</v>
          </cell>
          <cell r="BD54">
            <v>-8217000</v>
          </cell>
          <cell r="BE54">
            <v>-7303000</v>
          </cell>
          <cell r="BF54">
            <v>-7607000</v>
          </cell>
          <cell r="BG54">
            <v>940000</v>
          </cell>
          <cell r="BH54">
            <v>-1809000</v>
          </cell>
          <cell r="BI54">
            <v>1575000</v>
          </cell>
          <cell r="BJ54">
            <v>994000</v>
          </cell>
          <cell r="BK54">
            <v>-2574000</v>
          </cell>
          <cell r="BL54">
            <v>-2516000</v>
          </cell>
          <cell r="BM54">
            <v>-2614000</v>
          </cell>
          <cell r="BN54">
            <v>-2781000</v>
          </cell>
          <cell r="BO54">
            <v>-2574000</v>
          </cell>
          <cell r="BP54">
            <v>-2516000</v>
          </cell>
          <cell r="BQ54">
            <v>-2614000</v>
          </cell>
          <cell r="BR54">
            <v>-2781000</v>
          </cell>
          <cell r="BS54">
            <v>0</v>
          </cell>
          <cell r="BT54">
            <v>0</v>
          </cell>
          <cell r="BU54">
            <v>0</v>
          </cell>
          <cell r="BV54">
            <v>0</v>
          </cell>
          <cell r="BW54">
            <v>-46000</v>
          </cell>
          <cell r="BX54">
            <v>-3195000</v>
          </cell>
          <cell r="BY54">
            <v>-1151000</v>
          </cell>
          <cell r="BZ54">
            <v>-1344000</v>
          </cell>
          <cell r="CA54">
            <v>74144000</v>
          </cell>
          <cell r="CB54">
            <v>43406000</v>
          </cell>
          <cell r="CC54">
            <v>42587000</v>
          </cell>
          <cell r="CD54">
            <v>38091000</v>
          </cell>
          <cell r="CE54">
            <v>153000</v>
          </cell>
          <cell r="CF54">
            <v>173000</v>
          </cell>
          <cell r="CG54">
            <v>177000</v>
          </cell>
          <cell r="CH54">
            <v>574000</v>
          </cell>
          <cell r="CI54">
            <v>63135000</v>
          </cell>
          <cell r="CJ54">
            <v>35052000</v>
          </cell>
          <cell r="CK54">
            <v>30540000</v>
          </cell>
          <cell r="CL54">
            <v>25713000</v>
          </cell>
          <cell r="CM54">
            <v>5282000</v>
          </cell>
          <cell r="CN54">
            <v>5109000</v>
          </cell>
          <cell r="CO54">
            <v>5749000</v>
          </cell>
          <cell r="CP54">
            <v>5326000</v>
          </cell>
          <cell r="CQ54">
            <v>4600000</v>
          </cell>
          <cell r="CR54">
            <v>2072000</v>
          </cell>
          <cell r="CS54">
            <v>5213000</v>
          </cell>
          <cell r="CT54">
            <v>5381000</v>
          </cell>
          <cell r="CU54">
            <v>151000</v>
          </cell>
          <cell r="CV54">
            <v>843000</v>
          </cell>
          <cell r="CW54">
            <v>2325000</v>
          </cell>
          <cell r="CX54">
            <v>4000</v>
          </cell>
          <cell r="CY54">
            <v>19821000</v>
          </cell>
          <cell r="CZ54">
            <v>19338000</v>
          </cell>
          <cell r="DA54">
            <v>19053000</v>
          </cell>
          <cell r="DB54">
            <v>16454000</v>
          </cell>
          <cell r="DC54">
            <v>132860000</v>
          </cell>
          <cell r="DD54">
            <v>103110000</v>
          </cell>
          <cell r="DE54">
            <v>104504000</v>
          </cell>
          <cell r="DF54">
            <v>99810000</v>
          </cell>
          <cell r="DG54">
            <v>683950000</v>
          </cell>
          <cell r="DH54">
            <v>-676272000</v>
          </cell>
          <cell r="DI54">
            <v>-6977000</v>
          </cell>
          <cell r="DJ54">
            <v>-2574000</v>
          </cell>
          <cell r="DK54">
            <v>-1873000</v>
          </cell>
          <cell r="DL54">
            <v>-2.73850427662841E-3</v>
          </cell>
          <cell r="DM54">
            <v>-2.7310253520223099E-3</v>
          </cell>
          <cell r="DN54">
            <v>0</v>
          </cell>
          <cell r="DO54">
            <v>163000</v>
          </cell>
          <cell r="DP54">
            <v>19579500</v>
          </cell>
          <cell r="DR54">
            <v>378670000</v>
          </cell>
          <cell r="DS54">
            <v>-372499000</v>
          </cell>
          <cell r="DT54">
            <v>-8217000</v>
          </cell>
          <cell r="DU54">
            <v>-2516000</v>
          </cell>
          <cell r="DV54">
            <v>-4562000</v>
          </cell>
          <cell r="DW54">
            <v>-1.20474291599546E-2</v>
          </cell>
          <cell r="DX54">
            <v>-1.1904016366065501E-2</v>
          </cell>
          <cell r="DY54">
            <v>0</v>
          </cell>
          <cell r="DZ54">
            <v>175000</v>
          </cell>
          <cell r="EA54">
            <v>19195500</v>
          </cell>
          <cell r="EC54">
            <v>404863000</v>
          </cell>
          <cell r="ED54">
            <v>-396483000</v>
          </cell>
          <cell r="EE54">
            <v>-7303000</v>
          </cell>
          <cell r="EF54">
            <v>-2614000</v>
          </cell>
          <cell r="EG54">
            <v>-1537000</v>
          </cell>
          <cell r="EH54">
            <v>-3.7963459244238201E-3</v>
          </cell>
          <cell r="EI54">
            <v>-3.7819881889763801E-3</v>
          </cell>
          <cell r="EJ54">
            <v>0</v>
          </cell>
          <cell r="EK54">
            <v>375500</v>
          </cell>
          <cell r="EL54">
            <v>17753500</v>
          </cell>
          <cell r="EN54">
            <v>489161000</v>
          </cell>
          <cell r="EO54">
            <v>-481751333.33333302</v>
          </cell>
          <cell r="EP54">
            <v>-7499000</v>
          </cell>
          <cell r="EQ54">
            <v>-2568000</v>
          </cell>
          <cell r="ER54">
            <v>-2657333.3333333102</v>
          </cell>
          <cell r="ES54">
            <v>-5.4324309037991902E-3</v>
          </cell>
          <cell r="ET54">
            <v>-5.4030790501912599E-3</v>
          </cell>
        </row>
        <row r="55">
          <cell r="B55" t="str">
            <v>NIITAKA CO LTD</v>
          </cell>
          <cell r="C55" t="str">
            <v>exclude</v>
          </cell>
          <cell r="D55" t="str">
            <v>Lev SDA/SDP</v>
          </cell>
          <cell r="H55" t="str">
            <v/>
          </cell>
          <cell r="J55" t="str">
            <v>exclude</v>
          </cell>
          <cell r="K55" t="str">
            <v>lev SDA/SDP</v>
          </cell>
          <cell r="M55" t="str">
            <v>NIITAKA CO LTD</v>
          </cell>
          <cell r="N55" t="str">
            <v>The company is engaged in the manufacture, purchase, and sale of industrial cleansers, cleaning agents and solid fuels. It is also engaged in the provision of dish washing machine maintenance services for the foodservice industry, as well as the rental and sale of kitchen-related equipment. The company has its registered office located in Osaka, Japan. It was established in April of 1963. The company is traded on the Tokyo Stock Exchange under the trading symbol 4465.The company has three business segments. The Industrial Cleanser and Cleaning Agent segment offers kitchen detergents, dish washing machine detergents, germicides, bleaches and cleaning agents. The Solid Fuels is engaged in the manufacture and sale of household fuels and fuels for heaters. The Others segment offers various pots, food wrappers, body soaps, paper towels and other products.</v>
          </cell>
          <cell r="O55" t="str">
            <v>Manufacturing; Wholesale</v>
          </cell>
          <cell r="P55" t="str">
            <v>www.niitaka.co.jp</v>
          </cell>
          <cell r="R55" t="str">
            <v>Japan</v>
          </cell>
          <cell r="S55" t="str">
            <v>4465</v>
          </cell>
          <cell r="T55" t="str">
            <v>A+</v>
          </cell>
          <cell r="U55" t="str">
            <v>2841</v>
          </cell>
          <cell r="V55" t="str">
            <v>Engaged in the manufacture, purchase, and sale of industrial cleansers, cleaning agents and solid fuels</v>
          </cell>
          <cell r="W55" t="str">
            <v>The Company is a Japan-based company mainly engaged in the manufacture, purchase and sale of industrial cleansers, cleaning agents, sterilization agents and solid fuels.</v>
          </cell>
          <cell r="Z55" t="str">
            <v>JP9120001056079</v>
          </cell>
          <cell r="AA55">
            <v>19504189000</v>
          </cell>
          <cell r="AB55">
            <v>17792438000</v>
          </cell>
          <cell r="AC55">
            <v>18436868000</v>
          </cell>
          <cell r="AD55">
            <v>17723180000</v>
          </cell>
          <cell r="AE55">
            <v>19504189000</v>
          </cell>
          <cell r="AF55">
            <v>17792438000</v>
          </cell>
          <cell r="AG55">
            <v>18436868000</v>
          </cell>
          <cell r="AH55">
            <v>17723180000</v>
          </cell>
          <cell r="AI55" t="str">
            <v>n.a.</v>
          </cell>
          <cell r="AJ55" t="str">
            <v>n.a.</v>
          </cell>
          <cell r="AK55" t="str">
            <v>n.a.</v>
          </cell>
          <cell r="AL55" t="str">
            <v>n.a.</v>
          </cell>
          <cell r="AM55">
            <v>19504189000</v>
          </cell>
          <cell r="AN55">
            <v>17792438000</v>
          </cell>
          <cell r="AO55">
            <v>18436868000</v>
          </cell>
          <cell r="AP55">
            <v>17723180000</v>
          </cell>
          <cell r="AQ55" t="str">
            <v>n.a.</v>
          </cell>
          <cell r="AR55" t="str">
            <v>n.a.</v>
          </cell>
          <cell r="AS55" t="str">
            <v>n.a.</v>
          </cell>
          <cell r="AT55" t="str">
            <v>n.a.</v>
          </cell>
          <cell r="AU55">
            <v>-12245311000</v>
          </cell>
          <cell r="AV55">
            <v>-9882989000</v>
          </cell>
          <cell r="AW55">
            <v>-9642429000</v>
          </cell>
          <cell r="AX55">
            <v>-9631474000</v>
          </cell>
          <cell r="AY55">
            <v>-270246000</v>
          </cell>
          <cell r="AZ55">
            <v>-209906000</v>
          </cell>
          <cell r="BA55">
            <v>-295820000</v>
          </cell>
          <cell r="BB55">
            <v>-304389000</v>
          </cell>
          <cell r="BC55">
            <v>-5560604000</v>
          </cell>
          <cell r="BD55">
            <v>-5257064000</v>
          </cell>
          <cell r="BE55">
            <v>-5415375000</v>
          </cell>
          <cell r="BF55">
            <v>-5586914000</v>
          </cell>
          <cell r="BG55">
            <v>1428028000</v>
          </cell>
          <cell r="BH55">
            <v>2442479000</v>
          </cell>
          <cell r="BI55">
            <v>3083244000</v>
          </cell>
          <cell r="BJ55">
            <v>2200403000</v>
          </cell>
          <cell r="BK55">
            <v>-573015000</v>
          </cell>
          <cell r="BL55">
            <v>-617135000</v>
          </cell>
          <cell r="BM55">
            <v>-1693378000</v>
          </cell>
          <cell r="BN55">
            <v>-582583000</v>
          </cell>
          <cell r="BO55">
            <v>-573015000</v>
          </cell>
          <cell r="BP55">
            <v>-617135000</v>
          </cell>
          <cell r="BQ55">
            <v>-1693378000</v>
          </cell>
          <cell r="BR55">
            <v>-582583000</v>
          </cell>
          <cell r="BS55">
            <v>0</v>
          </cell>
          <cell r="BT55">
            <v>0</v>
          </cell>
          <cell r="BU55">
            <v>0</v>
          </cell>
          <cell r="BV55">
            <v>0</v>
          </cell>
          <cell r="BW55">
            <v>561584000</v>
          </cell>
          <cell r="BX55">
            <v>1231410000</v>
          </cell>
          <cell r="BY55">
            <v>697248000</v>
          </cell>
          <cell r="BZ55">
            <v>1058619000</v>
          </cell>
          <cell r="CA55">
            <v>13668452000</v>
          </cell>
          <cell r="CB55">
            <v>11604321000</v>
          </cell>
          <cell r="CC55">
            <v>10948553000</v>
          </cell>
          <cell r="CD55">
            <v>7907727000</v>
          </cell>
          <cell r="CE55">
            <v>2063442000</v>
          </cell>
          <cell r="CF55">
            <v>1418948000</v>
          </cell>
          <cell r="CG55">
            <v>1509266000</v>
          </cell>
          <cell r="CH55">
            <v>1522632000</v>
          </cell>
          <cell r="CI55">
            <v>4054488000</v>
          </cell>
          <cell r="CJ55">
            <v>4020153000</v>
          </cell>
          <cell r="CK55">
            <v>3625423000</v>
          </cell>
          <cell r="CL55">
            <v>3935417000</v>
          </cell>
          <cell r="CM55">
            <v>805180000</v>
          </cell>
          <cell r="CN55">
            <v>108100000</v>
          </cell>
          <cell r="CO55">
            <v>60017000</v>
          </cell>
          <cell r="CP55">
            <v>155530000</v>
          </cell>
          <cell r="CQ55">
            <v>6745342000</v>
          </cell>
          <cell r="CR55">
            <v>6057120000</v>
          </cell>
          <cell r="CS55">
            <v>5753847000</v>
          </cell>
          <cell r="CT55">
            <v>2294148000</v>
          </cell>
          <cell r="CU55" t="str">
            <v>n.a.</v>
          </cell>
          <cell r="CV55" t="str">
            <v>n.a.</v>
          </cell>
          <cell r="CW55" t="str">
            <v>n.a.</v>
          </cell>
          <cell r="CX55" t="str">
            <v>n.a.</v>
          </cell>
          <cell r="CY55">
            <v>1272529000</v>
          </cell>
          <cell r="CZ55">
            <v>1122725000</v>
          </cell>
          <cell r="DA55">
            <v>861975000</v>
          </cell>
          <cell r="DB55">
            <v>827113000</v>
          </cell>
          <cell r="DC55">
            <v>23568032000</v>
          </cell>
          <cell r="DD55">
            <v>20796044000</v>
          </cell>
          <cell r="DE55">
            <v>20468243000</v>
          </cell>
          <cell r="DF55">
            <v>17777553000</v>
          </cell>
          <cell r="DG55">
            <v>19504189000</v>
          </cell>
          <cell r="DH55">
            <v>-12245311000</v>
          </cell>
          <cell r="DI55">
            <v>-5830850000</v>
          </cell>
          <cell r="DJ55">
            <v>-573015000</v>
          </cell>
          <cell r="DK55">
            <v>855013000</v>
          </cell>
          <cell r="DL55">
            <v>4.3837403339354403E-2</v>
          </cell>
          <cell r="DM55">
            <v>4.5847226708568799E-2</v>
          </cell>
          <cell r="DN55">
            <v>-270246000</v>
          </cell>
          <cell r="DO55">
            <v>1741195000</v>
          </cell>
          <cell r="DP55">
            <v>1197627000</v>
          </cell>
          <cell r="DR55">
            <v>17792438000</v>
          </cell>
          <cell r="DS55">
            <v>-9882989000</v>
          </cell>
          <cell r="DT55">
            <v>-5466970000</v>
          </cell>
          <cell r="DU55">
            <v>-617135000</v>
          </cell>
          <cell r="DV55">
            <v>1825344000</v>
          </cell>
          <cell r="DW55">
            <v>0.10259099961455501</v>
          </cell>
          <cell r="DX55">
            <v>0.114319111542777</v>
          </cell>
          <cell r="DY55">
            <v>-209906000</v>
          </cell>
          <cell r="DZ55">
            <v>1464107000</v>
          </cell>
          <cell r="EA55">
            <v>992350000</v>
          </cell>
          <cell r="EC55">
            <v>18436868000</v>
          </cell>
          <cell r="ED55">
            <v>-9642429000</v>
          </cell>
          <cell r="EE55">
            <v>-5711195000</v>
          </cell>
          <cell r="EF55">
            <v>-1693378000</v>
          </cell>
          <cell r="EG55">
            <v>1389866000</v>
          </cell>
          <cell r="EH55">
            <v>7.5385146761369703E-2</v>
          </cell>
          <cell r="EI55">
            <v>8.1531403586390105E-2</v>
          </cell>
          <cell r="EJ55">
            <v>-295820000</v>
          </cell>
          <cell r="EK55">
            <v>1515949000</v>
          </cell>
          <cell r="EL55">
            <v>844544000</v>
          </cell>
          <cell r="EN55">
            <v>18577831666.666698</v>
          </cell>
          <cell r="EO55">
            <v>-10590243000</v>
          </cell>
          <cell r="EP55">
            <v>-5669671666.6666698</v>
          </cell>
          <cell r="EQ55">
            <v>-961176000</v>
          </cell>
          <cell r="ER55">
            <v>1356741000</v>
          </cell>
          <cell r="ES55">
            <v>7.3030105145927102E-2</v>
          </cell>
          <cell r="ET55">
            <v>7.8783686019731805E-2</v>
          </cell>
        </row>
        <row r="56">
          <cell r="B56" t="str">
            <v>SHENZHEN SELEN SCIENCE &amp; TECHNOLOGY COMPANY LIMITED</v>
          </cell>
          <cell r="C56" t="str">
            <v>exclude</v>
          </cell>
          <cell r="D56" t="str">
            <v>Consecutive loss</v>
          </cell>
          <cell r="H56" t="str">
            <v/>
          </cell>
          <cell r="J56" t="e">
            <v>#N/A</v>
          </cell>
          <cell r="K56" t="e">
            <v>#N/A</v>
          </cell>
          <cell r="M56" t="str">
            <v>SHENZHEN SELEN SCIENCE &amp; TECHNOLOGY COMPANY LIMITED</v>
          </cell>
          <cell r="N56" t="str">
            <v>This company, based in China, is engaged in the manufacture and distribution of a complete line of electrostatic discharge and cleanroom consumables. It was established in 2002 and has its registered head office based in Guangdong Shenzhen City.The company is recognized as a leading system solutions provider in static contamination control and cleanroom technology industry in China. It has two production and logistics bases in Suzhou and Shenzhen, and more than 30 sales branches covering Yangtze River Delta, Pearl River Delta and Bohai Bay region. In addition, it serves companies in the information technology, electronic, biotechnology, pharmaceutical, precise instruments, aerospace, automobile, and petroleum industries.The company is committed to continuing the company ideals of create safety cleanroom with full passion; advocating the core values pragmatic, serious, dedicated, innovative; insuring total customer satisfaction; providing quality product and service; and providing a friendly, courteous atmosphere for customers, shareholders and employees alike.</v>
          </cell>
          <cell r="O56" t="str">
            <v>Manufacturing; Wholesale</v>
          </cell>
          <cell r="P56" t="str">
            <v>www.szselen.com</v>
          </cell>
          <cell r="R56" t="str">
            <v>China</v>
          </cell>
          <cell r="S56" t="str">
            <v>002341</v>
          </cell>
          <cell r="T56" t="str">
            <v>A+</v>
          </cell>
          <cell r="U56" t="str">
            <v>2842</v>
          </cell>
          <cell r="V56" t="str">
            <v>Engaged in the manufacture and distribution of a complete line of electrostatic discharge and cleanroom consumables</v>
          </cell>
          <cell r="W56" t="str">
            <v>The company has been engaged in production, sales and related services of anti-static / clean room industry, consumption of goods.</v>
          </cell>
          <cell r="Z56" t="str">
            <v>CN32119PC</v>
          </cell>
          <cell r="AA56">
            <v>981611000</v>
          </cell>
          <cell r="AB56">
            <v>1345791000</v>
          </cell>
          <cell r="AC56">
            <v>2264805000</v>
          </cell>
          <cell r="AD56">
            <v>3368892000</v>
          </cell>
          <cell r="AE56">
            <v>946297000</v>
          </cell>
          <cell r="AF56">
            <v>1300742000</v>
          </cell>
          <cell r="AG56">
            <v>2179608000</v>
          </cell>
          <cell r="AH56">
            <v>3230790000</v>
          </cell>
          <cell r="AI56">
            <v>-19135000</v>
          </cell>
          <cell r="AJ56">
            <v>-22635000</v>
          </cell>
          <cell r="AK56">
            <v>-26144000</v>
          </cell>
          <cell r="AL56">
            <v>-28976000</v>
          </cell>
          <cell r="AM56">
            <v>927162000</v>
          </cell>
          <cell r="AN56">
            <v>1278107000</v>
          </cell>
          <cell r="AO56">
            <v>2153464000</v>
          </cell>
          <cell r="AP56">
            <v>3201814000</v>
          </cell>
          <cell r="AQ56">
            <v>54449000</v>
          </cell>
          <cell r="AR56">
            <v>67684000</v>
          </cell>
          <cell r="AS56">
            <v>111341000</v>
          </cell>
          <cell r="AT56">
            <v>167078000</v>
          </cell>
          <cell r="AU56">
            <v>-676368000</v>
          </cell>
          <cell r="AV56">
            <v>-864310000</v>
          </cell>
          <cell r="AW56">
            <v>-1543788000</v>
          </cell>
          <cell r="AX56">
            <v>-2462906000</v>
          </cell>
          <cell r="AY56" t="str">
            <v>n.a.</v>
          </cell>
          <cell r="AZ56" t="str">
            <v>n.a.</v>
          </cell>
          <cell r="BA56" t="str">
            <v>n.a.</v>
          </cell>
          <cell r="BB56" t="str">
            <v>n.a.</v>
          </cell>
          <cell r="BC56">
            <v>-310091000</v>
          </cell>
          <cell r="BD56">
            <v>-374128000</v>
          </cell>
          <cell r="BE56">
            <v>-497653000</v>
          </cell>
          <cell r="BF56">
            <v>-488985000</v>
          </cell>
          <cell r="BG56">
            <v>-4848000</v>
          </cell>
          <cell r="BH56">
            <v>107353000</v>
          </cell>
          <cell r="BI56">
            <v>223364000</v>
          </cell>
          <cell r="BJ56">
            <v>417001000</v>
          </cell>
          <cell r="BK56">
            <v>-564607000</v>
          </cell>
          <cell r="BL56">
            <v>-817233000</v>
          </cell>
          <cell r="BM56">
            <v>-881029000</v>
          </cell>
          <cell r="BN56">
            <v>-205565000</v>
          </cell>
          <cell r="BO56">
            <v>-83847000</v>
          </cell>
          <cell r="BP56">
            <v>-186244000</v>
          </cell>
          <cell r="BQ56">
            <v>-192274000</v>
          </cell>
          <cell r="BR56">
            <v>-153036000</v>
          </cell>
          <cell r="BS56">
            <v>-480760000</v>
          </cell>
          <cell r="BT56">
            <v>-630989000</v>
          </cell>
          <cell r="BU56">
            <v>-688755000</v>
          </cell>
          <cell r="BV56">
            <v>-52529000</v>
          </cell>
          <cell r="BW56">
            <v>-1232905000</v>
          </cell>
          <cell r="BX56">
            <v>-1268195000</v>
          </cell>
          <cell r="BY56">
            <v>-1289561000</v>
          </cell>
          <cell r="BZ56">
            <v>9881000</v>
          </cell>
          <cell r="CA56">
            <v>944223000</v>
          </cell>
          <cell r="CB56">
            <v>1472846000</v>
          </cell>
          <cell r="CC56">
            <v>2175877000</v>
          </cell>
          <cell r="CD56">
            <v>2927693000</v>
          </cell>
          <cell r="CE56">
            <v>188392000</v>
          </cell>
          <cell r="CF56">
            <v>282785000</v>
          </cell>
          <cell r="CG56">
            <v>330205000</v>
          </cell>
          <cell r="CH56">
            <v>661520000</v>
          </cell>
          <cell r="CI56">
            <v>200026000</v>
          </cell>
          <cell r="CJ56">
            <v>199489000</v>
          </cell>
          <cell r="CK56">
            <v>526478000</v>
          </cell>
          <cell r="CL56">
            <v>1218726000</v>
          </cell>
          <cell r="CM56">
            <v>497575000</v>
          </cell>
          <cell r="CN56">
            <v>908984000</v>
          </cell>
          <cell r="CO56">
            <v>1078553000</v>
          </cell>
          <cell r="CP56">
            <v>380799000</v>
          </cell>
          <cell r="CQ56">
            <v>35222000</v>
          </cell>
          <cell r="CR56">
            <v>19598000</v>
          </cell>
          <cell r="CS56">
            <v>166230000</v>
          </cell>
          <cell r="CT56">
            <v>451148000</v>
          </cell>
          <cell r="CU56">
            <v>5184000</v>
          </cell>
          <cell r="CV56">
            <v>3688000</v>
          </cell>
          <cell r="CW56">
            <v>18935000</v>
          </cell>
          <cell r="CX56" t="str">
            <v>n.a.</v>
          </cell>
          <cell r="CY56">
            <v>251694000</v>
          </cell>
          <cell r="CZ56">
            <v>299199000</v>
          </cell>
          <cell r="DA56">
            <v>407948000</v>
          </cell>
          <cell r="DB56">
            <v>681776000</v>
          </cell>
          <cell r="DC56">
            <v>4802053000</v>
          </cell>
          <cell r="DD56">
            <v>6273802000</v>
          </cell>
          <cell r="DE56">
            <v>7749007000</v>
          </cell>
          <cell r="DF56">
            <v>9563737000</v>
          </cell>
          <cell r="DG56">
            <v>927162000</v>
          </cell>
          <cell r="DH56">
            <v>-676368000</v>
          </cell>
          <cell r="DI56">
            <v>-310091000</v>
          </cell>
          <cell r="DJ56">
            <v>-564607000</v>
          </cell>
          <cell r="DK56">
            <v>-623904000</v>
          </cell>
          <cell r="DL56">
            <v>-0.67291800138487101</v>
          </cell>
          <cell r="DM56">
            <v>-0.40224207093702002</v>
          </cell>
          <cell r="DN56" t="str">
            <v>n.a.</v>
          </cell>
          <cell r="DO56">
            <v>235588500</v>
          </cell>
          <cell r="DP56">
            <v>275446500</v>
          </cell>
          <cell r="DR56">
            <v>1278107000</v>
          </cell>
          <cell r="DS56">
            <v>-864310000</v>
          </cell>
          <cell r="DT56">
            <v>-374128000</v>
          </cell>
          <cell r="DU56">
            <v>-817233000</v>
          </cell>
          <cell r="DV56">
            <v>-777564000</v>
          </cell>
          <cell r="DW56">
            <v>-0.60837159956091302</v>
          </cell>
          <cell r="DX56">
            <v>-0.37825313486447998</v>
          </cell>
          <cell r="DY56" t="str">
            <v>n.a.</v>
          </cell>
          <cell r="DZ56">
            <v>306495000</v>
          </cell>
          <cell r="EA56">
            <v>353573500</v>
          </cell>
          <cell r="EC56">
            <v>2153464000</v>
          </cell>
          <cell r="ED56">
            <v>-1543788000</v>
          </cell>
          <cell r="EE56">
            <v>-497653000</v>
          </cell>
          <cell r="EF56">
            <v>-881029000</v>
          </cell>
          <cell r="EG56">
            <v>-769006000</v>
          </cell>
          <cell r="EH56">
            <v>-0.35710186007288702</v>
          </cell>
          <cell r="EI56">
            <v>-0.263135635267428</v>
          </cell>
          <cell r="EJ56" t="str">
            <v>n.a.</v>
          </cell>
          <cell r="EK56">
            <v>495862500</v>
          </cell>
          <cell r="EL56">
            <v>544862000</v>
          </cell>
          <cell r="EN56">
            <v>1452911000</v>
          </cell>
          <cell r="EO56">
            <v>-1028155333.33333</v>
          </cell>
          <cell r="EP56">
            <v>-393957333.33333302</v>
          </cell>
          <cell r="EQ56">
            <v>-754289666.66666698</v>
          </cell>
          <cell r="ER56">
            <v>-723491333.33333302</v>
          </cell>
          <cell r="ES56">
            <v>-0.49795984291765499</v>
          </cell>
          <cell r="ET56">
            <v>-0.33242536191607902</v>
          </cell>
        </row>
        <row r="57">
          <cell r="B57" t="str">
            <v>MINGCHEN HEALTH CO.,LTD.</v>
          </cell>
          <cell r="C57" t="str">
            <v>exclude</v>
          </cell>
          <cell r="D57" t="str">
            <v>Independence(A+, A, A-, U)</v>
          </cell>
          <cell r="H57" t="str">
            <v/>
          </cell>
          <cell r="J57" t="str">
            <v>exclude</v>
          </cell>
          <cell r="K57" t="str">
            <v>Independence(A+, A, A-, U)</v>
          </cell>
          <cell r="M57" t="str">
            <v>MINGCHEN HEALTH CO.,LTD.</v>
          </cell>
          <cell r="N57" t="str">
            <v>This company is engaged in the manufacture and sale of personal healthcare products. Incorporated in 1994, it has its registered head office in the city of Shantou in China. The company specialises in skin and hair care products. Its products are marketed and sold throughout China through its network of distributors in the country.</v>
          </cell>
          <cell r="O57" t="str">
            <v>Manufacturing; Wholesale</v>
          </cell>
          <cell r="P57" t="str">
            <v>www.mingchen.com.cn</v>
          </cell>
          <cell r="R57" t="str">
            <v>China</v>
          </cell>
          <cell r="S57" t="str">
            <v>002919</v>
          </cell>
          <cell r="T57" t="str">
            <v>B+</v>
          </cell>
          <cell r="U57" t="str">
            <v>2844</v>
          </cell>
          <cell r="V57" t="str">
            <v>Engaged in the manufacture and sale of personal healthcare products</v>
          </cell>
          <cell r="W57" t="str">
            <v>The Company's main business is a high-tech enterprise selling health care products. Its main products include shampoo, conditioner, bath lotion and gel.Water and skin care products.</v>
          </cell>
          <cell r="Z57" t="str">
            <v>CN49272PC</v>
          </cell>
          <cell r="AA57">
            <v>950036000</v>
          </cell>
          <cell r="AB57">
            <v>741648000</v>
          </cell>
          <cell r="AC57">
            <v>677521000</v>
          </cell>
          <cell r="AD57">
            <v>513292000</v>
          </cell>
          <cell r="AE57">
            <v>944037000</v>
          </cell>
          <cell r="AF57">
            <v>743067000</v>
          </cell>
          <cell r="AG57">
            <v>677120000</v>
          </cell>
          <cell r="AH57">
            <v>515010000</v>
          </cell>
          <cell r="AI57">
            <v>-5356000</v>
          </cell>
          <cell r="AJ57">
            <v>-6795000</v>
          </cell>
          <cell r="AK57">
            <v>-6350000</v>
          </cell>
          <cell r="AL57">
            <v>-4510000</v>
          </cell>
          <cell r="AM57">
            <v>938681000</v>
          </cell>
          <cell r="AN57">
            <v>736272000</v>
          </cell>
          <cell r="AO57">
            <v>670770000</v>
          </cell>
          <cell r="AP57">
            <v>510500000</v>
          </cell>
          <cell r="AQ57">
            <v>11355000</v>
          </cell>
          <cell r="AR57">
            <v>5376000</v>
          </cell>
          <cell r="AS57">
            <v>6751000</v>
          </cell>
          <cell r="AT57">
            <v>2792000</v>
          </cell>
          <cell r="AU57">
            <v>-411747000</v>
          </cell>
          <cell r="AV57">
            <v>-351015000</v>
          </cell>
          <cell r="AW57">
            <v>-367062000</v>
          </cell>
          <cell r="AX57">
            <v>-307699000</v>
          </cell>
          <cell r="AY57" t="str">
            <v>n.a.</v>
          </cell>
          <cell r="AZ57" t="str">
            <v>n.a.</v>
          </cell>
          <cell r="BA57" t="str">
            <v>n.a.</v>
          </cell>
          <cell r="BB57" t="str">
            <v>n.a.</v>
          </cell>
          <cell r="BC57">
            <v>-514531000</v>
          </cell>
          <cell r="BD57">
            <v>-253833000</v>
          </cell>
          <cell r="BE57">
            <v>-184501000</v>
          </cell>
          <cell r="BF57">
            <v>-172001000</v>
          </cell>
          <cell r="BG57">
            <v>23758000</v>
          </cell>
          <cell r="BH57">
            <v>136800000</v>
          </cell>
          <cell r="BI57">
            <v>125958000</v>
          </cell>
          <cell r="BJ57">
            <v>33592000</v>
          </cell>
          <cell r="BK57">
            <v>-36520000</v>
          </cell>
          <cell r="BL57">
            <v>-17364000</v>
          </cell>
          <cell r="BM57">
            <v>-12979000</v>
          </cell>
          <cell r="BN57">
            <v>-8828000</v>
          </cell>
          <cell r="BO57">
            <v>-10935000</v>
          </cell>
          <cell r="BP57">
            <v>-10507000</v>
          </cell>
          <cell r="BQ57">
            <v>-10334000</v>
          </cell>
          <cell r="BR57">
            <v>-8492000</v>
          </cell>
          <cell r="BS57">
            <v>-25585000</v>
          </cell>
          <cell r="BT57">
            <v>-6857000</v>
          </cell>
          <cell r="BU57">
            <v>-2645000</v>
          </cell>
          <cell r="BV57">
            <v>-336000</v>
          </cell>
          <cell r="BW57">
            <v>25330000</v>
          </cell>
          <cell r="BX57">
            <v>133494000</v>
          </cell>
          <cell r="BY57">
            <v>102240000</v>
          </cell>
          <cell r="BZ57">
            <v>23077000</v>
          </cell>
          <cell r="CA57">
            <v>638873000</v>
          </cell>
          <cell r="CB57">
            <v>671842000</v>
          </cell>
          <cell r="CC57">
            <v>663795000</v>
          </cell>
          <cell r="CD57">
            <v>613085000</v>
          </cell>
          <cell r="CE57">
            <v>191289000</v>
          </cell>
          <cell r="CF57">
            <v>133010000</v>
          </cell>
          <cell r="CG57">
            <v>137479000</v>
          </cell>
          <cell r="CH57">
            <v>160573000</v>
          </cell>
          <cell r="CI57">
            <v>161236000</v>
          </cell>
          <cell r="CJ57">
            <v>209736000</v>
          </cell>
          <cell r="CK57">
            <v>188092000</v>
          </cell>
          <cell r="CL57">
            <v>19078000</v>
          </cell>
          <cell r="CM57">
            <v>24004000</v>
          </cell>
          <cell r="CN57">
            <v>15902000</v>
          </cell>
          <cell r="CO57">
            <v>10836000</v>
          </cell>
          <cell r="CP57">
            <v>6265000</v>
          </cell>
          <cell r="CQ57">
            <v>135933000</v>
          </cell>
          <cell r="CR57">
            <v>262855000</v>
          </cell>
          <cell r="CS57">
            <v>313586000</v>
          </cell>
          <cell r="CT57">
            <v>424272000</v>
          </cell>
          <cell r="CU57">
            <v>0</v>
          </cell>
          <cell r="CV57">
            <v>11957000</v>
          </cell>
          <cell r="CW57">
            <v>114874000</v>
          </cell>
          <cell r="CX57">
            <v>102780000</v>
          </cell>
          <cell r="CY57">
            <v>30715000</v>
          </cell>
          <cell r="CZ57">
            <v>25378000</v>
          </cell>
          <cell r="DA57">
            <v>20031000</v>
          </cell>
          <cell r="DB57">
            <v>21287000</v>
          </cell>
          <cell r="DC57">
            <v>1243033000</v>
          </cell>
          <cell r="DD57">
            <v>970346000</v>
          </cell>
          <cell r="DE57">
            <v>879177000</v>
          </cell>
          <cell r="DF57">
            <v>699552000</v>
          </cell>
          <cell r="DG57">
            <v>938681000</v>
          </cell>
          <cell r="DH57">
            <v>-411747000</v>
          </cell>
          <cell r="DI57">
            <v>-514531000</v>
          </cell>
          <cell r="DJ57">
            <v>-36520000</v>
          </cell>
          <cell r="DK57">
            <v>-24117000</v>
          </cell>
          <cell r="DL57">
            <v>-2.5692434383992001E-2</v>
          </cell>
          <cell r="DM57">
            <v>-2.5048867986846701E-2</v>
          </cell>
          <cell r="DN57" t="str">
            <v>n.a.</v>
          </cell>
          <cell r="DO57">
            <v>162149500</v>
          </cell>
          <cell r="DP57">
            <v>28046500</v>
          </cell>
          <cell r="DR57">
            <v>736272000</v>
          </cell>
          <cell r="DS57">
            <v>-351015000</v>
          </cell>
          <cell r="DT57">
            <v>-253833000</v>
          </cell>
          <cell r="DU57">
            <v>-17364000</v>
          </cell>
          <cell r="DV57">
            <v>114060000</v>
          </cell>
          <cell r="DW57">
            <v>0.154915574678923</v>
          </cell>
          <cell r="DX57">
            <v>0.18331372586835401</v>
          </cell>
          <cell r="DY57" t="str">
            <v>n.a.</v>
          </cell>
          <cell r="DZ57">
            <v>135244500</v>
          </cell>
          <cell r="EA57">
            <v>22704500</v>
          </cell>
          <cell r="EC57">
            <v>670770000</v>
          </cell>
          <cell r="ED57">
            <v>-367062000</v>
          </cell>
          <cell r="EE57">
            <v>-184501000</v>
          </cell>
          <cell r="EF57">
            <v>-12979000</v>
          </cell>
          <cell r="EG57">
            <v>106228000</v>
          </cell>
          <cell r="EH57">
            <v>0.15836724957884199</v>
          </cell>
          <cell r="EI57">
            <v>0.18816669087508101</v>
          </cell>
          <cell r="EJ57" t="str">
            <v>n.a.</v>
          </cell>
          <cell r="EK57">
            <v>149026000</v>
          </cell>
          <cell r="EL57">
            <v>20659000</v>
          </cell>
          <cell r="EN57">
            <v>781907666.66666698</v>
          </cell>
          <cell r="EO57">
            <v>-376608000</v>
          </cell>
          <cell r="EP57">
            <v>-317621666.66666698</v>
          </cell>
          <cell r="EQ57">
            <v>-22287666.666666701</v>
          </cell>
          <cell r="ER57">
            <v>65390333.333333299</v>
          </cell>
          <cell r="ES57">
            <v>8.3629226468768803E-2</v>
          </cell>
          <cell r="ET57">
            <v>9.1261341898218704E-2</v>
          </cell>
        </row>
        <row r="58">
          <cell r="B58" t="str">
            <v>PT MANDOM INDONESIA TBK</v>
          </cell>
          <cell r="C58" t="str">
            <v>exclude</v>
          </cell>
          <cell r="D58" t="str">
            <v>Independence(A+, A, A-, U)</v>
          </cell>
          <cell r="H58" t="str">
            <v/>
          </cell>
          <cell r="J58" t="str">
            <v>exclude</v>
          </cell>
          <cell r="K58" t="str">
            <v>Independence(A+, A, A-, U)</v>
          </cell>
          <cell r="M58" t="str">
            <v>PT MANDOM INDONESIA TBK</v>
          </cell>
          <cell r="N58" t="str">
            <v>This company is engaged in the production and distribution of a wide range of cosmetics and healthcare products in Indonesia. It was established in 1969 and has its head office and main plant is located in Jakarta. The company is a market leader for men's cosmetics and fragrances product category in Indonesia. It manufactures and sells men's and women's cosmetics and women's fragrances, including hair care and grooming products, skin-care products, and make-up items with brands of Tancho, Mandom, Spalding, Gatsby, Pixy, Pixy UV Whitening, Pucelle, Excel, Lovillea, La Beaute, Miratone, and Johnny Andrean. The company also manufactures plastic containers for its cosmetic products in its plastic factory located in Cibitung Bekasi, Indonesia. In addition, the company exports its products to Japan, Asia, the United States of America, Brazil, the United Arab Emirates, and others. The company aims to provide a comfortable lifestyle which is supported by health and beauty products to its consumers.</v>
          </cell>
          <cell r="O58" t="str">
            <v>Manufacturing; Wholesale</v>
          </cell>
          <cell r="P58" t="str">
            <v>www.mandom.co.id</v>
          </cell>
          <cell r="R58" t="str">
            <v>Indonesia</v>
          </cell>
          <cell r="S58" t="str">
            <v>TCID</v>
          </cell>
          <cell r="T58" t="str">
            <v>D</v>
          </cell>
          <cell r="U58" t="str">
            <v>2844</v>
          </cell>
          <cell r="V58" t="str">
            <v>Engaged in the production and distribution of a wide range of cosmetics and healthcare products in Indonesia</v>
          </cell>
          <cell r="W58" t="str">
            <v>The Company is engaged in the manufacturing and trading of cosmetics, perfumes, cleansing materials, and plastic containers.</v>
          </cell>
          <cell r="X58" t="str">
            <v>PT TANCHO INDONESIA TBK</v>
          </cell>
          <cell r="Z58" t="str">
            <v>ID30070FD</v>
          </cell>
          <cell r="AA58">
            <v>2047559458000</v>
          </cell>
          <cell r="AB58">
            <v>1851029419000</v>
          </cell>
          <cell r="AC58">
            <v>1886441461000</v>
          </cell>
          <cell r="AD58">
            <v>2805353776000</v>
          </cell>
          <cell r="AE58">
            <v>2044821803000</v>
          </cell>
          <cell r="AF58">
            <v>1850311080000</v>
          </cell>
          <cell r="AG58">
            <v>1882144125000</v>
          </cell>
          <cell r="AH58">
            <v>2804151671000</v>
          </cell>
          <cell r="AI58" t="str">
            <v>n.a.</v>
          </cell>
          <cell r="AJ58" t="str">
            <v>n.a.</v>
          </cell>
          <cell r="AK58" t="str">
            <v>n.a.</v>
          </cell>
          <cell r="AL58" t="str">
            <v>n.a.</v>
          </cell>
          <cell r="AM58">
            <v>2044821803000</v>
          </cell>
          <cell r="AN58">
            <v>1850311080000</v>
          </cell>
          <cell r="AO58">
            <v>1882144125000</v>
          </cell>
          <cell r="AP58">
            <v>2804151671000</v>
          </cell>
          <cell r="AQ58">
            <v>2737655000</v>
          </cell>
          <cell r="AR58">
            <v>718339000</v>
          </cell>
          <cell r="AS58">
            <v>4297336000</v>
          </cell>
          <cell r="AT58">
            <v>1202105000</v>
          </cell>
          <cell r="AU58">
            <v>-1523273156000</v>
          </cell>
          <cell r="AV58">
            <v>-1415865345000</v>
          </cell>
          <cell r="AW58">
            <v>-1417377964000</v>
          </cell>
          <cell r="AX58">
            <v>-1725061669000</v>
          </cell>
          <cell r="AY58">
            <v>-3501367000</v>
          </cell>
          <cell r="AZ58">
            <v>0</v>
          </cell>
          <cell r="BA58">
            <v>0</v>
          </cell>
          <cell r="BB58">
            <v>-3382936000</v>
          </cell>
          <cell r="BC58">
            <v>-374856866000</v>
          </cell>
          <cell r="BD58">
            <v>-378065159000</v>
          </cell>
          <cell r="BE58">
            <v>-394257859000</v>
          </cell>
          <cell r="BF58">
            <v>-710959852000</v>
          </cell>
          <cell r="BG58">
            <v>145928069000</v>
          </cell>
          <cell r="BH58">
            <v>57098915000</v>
          </cell>
          <cell r="BI58">
            <v>74805638000</v>
          </cell>
          <cell r="BJ58">
            <v>365949319000</v>
          </cell>
          <cell r="BK58">
            <v>-137343021000</v>
          </cell>
          <cell r="BL58">
            <v>-160936098000</v>
          </cell>
          <cell r="BM58">
            <v>-184671976000</v>
          </cell>
          <cell r="BN58">
            <v>-176374226000</v>
          </cell>
          <cell r="BO58">
            <v>-120854241000</v>
          </cell>
          <cell r="BP58">
            <v>-137152034000</v>
          </cell>
          <cell r="BQ58">
            <v>-155636572000</v>
          </cell>
          <cell r="BR58">
            <v>-152669282000</v>
          </cell>
          <cell r="BS58">
            <v>-16488780000</v>
          </cell>
          <cell r="BT58">
            <v>-23784064000</v>
          </cell>
          <cell r="BU58">
            <v>-29035404000</v>
          </cell>
          <cell r="BV58">
            <v>-23704944000</v>
          </cell>
          <cell r="BW58">
            <v>18467724000</v>
          </cell>
          <cell r="BX58">
            <v>-75681611000</v>
          </cell>
          <cell r="BY58">
            <v>-97132842000</v>
          </cell>
          <cell r="BZ58">
            <v>145149345000</v>
          </cell>
          <cell r="CA58">
            <v>1594565568000</v>
          </cell>
          <cell r="CB58">
            <v>1437357375000</v>
          </cell>
          <cell r="CC58">
            <v>1361073330000</v>
          </cell>
          <cell r="CD58">
            <v>1428191709000</v>
          </cell>
          <cell r="CE58">
            <v>624271016000</v>
          </cell>
          <cell r="CF58">
            <v>497854833000</v>
          </cell>
          <cell r="CG58">
            <v>532921306000</v>
          </cell>
          <cell r="CH58">
            <v>677051920000</v>
          </cell>
          <cell r="CI58">
            <v>358632132000</v>
          </cell>
          <cell r="CJ58">
            <v>368214599000</v>
          </cell>
          <cell r="CK58">
            <v>343063537000</v>
          </cell>
          <cell r="CL58">
            <v>450804270000</v>
          </cell>
          <cell r="CM58">
            <v>27559047000</v>
          </cell>
          <cell r="CN58">
            <v>5382858000</v>
          </cell>
          <cell r="CO58">
            <v>6357219000</v>
          </cell>
          <cell r="CP58">
            <v>2628619000</v>
          </cell>
          <cell r="CQ58">
            <v>573682034000</v>
          </cell>
          <cell r="CR58">
            <v>557941979000</v>
          </cell>
          <cell r="CS58">
            <v>470717389000</v>
          </cell>
          <cell r="CT58">
            <v>288931118000</v>
          </cell>
          <cell r="CU58">
            <v>306523000</v>
          </cell>
          <cell r="CV58">
            <v>3327633000</v>
          </cell>
          <cell r="CW58">
            <v>3251901000</v>
          </cell>
          <cell r="CX58">
            <v>3175806000</v>
          </cell>
          <cell r="CY58">
            <v>81863292000</v>
          </cell>
          <cell r="CZ58">
            <v>88802870000</v>
          </cell>
          <cell r="DA58">
            <v>69099138000</v>
          </cell>
          <cell r="DB58">
            <v>54829371000</v>
          </cell>
          <cell r="DC58">
            <v>2380657918000</v>
          </cell>
          <cell r="DD58">
            <v>2300804865000</v>
          </cell>
          <cell r="DE58">
            <v>2333947582000</v>
          </cell>
          <cell r="DF58">
            <v>2551192621000</v>
          </cell>
          <cell r="DG58">
            <v>2044821803000</v>
          </cell>
          <cell r="DH58">
            <v>-1523273156000</v>
          </cell>
          <cell r="DI58">
            <v>-378358233000</v>
          </cell>
          <cell r="DJ58">
            <v>-137343021000</v>
          </cell>
          <cell r="DK58">
            <v>5847393000</v>
          </cell>
          <cell r="DL58">
            <v>2.8596100606034102E-3</v>
          </cell>
          <cell r="DM58">
            <v>2.8678108814519199E-3</v>
          </cell>
          <cell r="DN58">
            <v>-3501367000</v>
          </cell>
          <cell r="DO58">
            <v>561062924500</v>
          </cell>
          <cell r="DP58">
            <v>85333081000</v>
          </cell>
          <cell r="DR58">
            <v>1850311080000</v>
          </cell>
          <cell r="DS58">
            <v>-1415865345000</v>
          </cell>
          <cell r="DT58">
            <v>-378065159000</v>
          </cell>
          <cell r="DU58">
            <v>-160936098000</v>
          </cell>
          <cell r="DV58">
            <v>-104555522000</v>
          </cell>
          <cell r="DW58">
            <v>-5.65069966505308E-2</v>
          </cell>
          <cell r="DX58">
            <v>-5.34847349138967E-2</v>
          </cell>
          <cell r="DY58">
            <v>0</v>
          </cell>
          <cell r="DZ58">
            <v>515388069500</v>
          </cell>
          <cell r="EA58">
            <v>78951004000</v>
          </cell>
          <cell r="EC58">
            <v>1882144125000</v>
          </cell>
          <cell r="ED58">
            <v>-1417377964000</v>
          </cell>
          <cell r="EE58">
            <v>-394257859000</v>
          </cell>
          <cell r="EF58">
            <v>-184671976000</v>
          </cell>
          <cell r="EG58">
            <v>-114163674000</v>
          </cell>
          <cell r="EH58">
            <v>-6.0656180620599402E-2</v>
          </cell>
          <cell r="EI58">
            <v>-5.7187410707500802E-2</v>
          </cell>
          <cell r="EJ58">
            <v>0</v>
          </cell>
          <cell r="EK58">
            <v>604986613000</v>
          </cell>
          <cell r="EL58">
            <v>61964254500</v>
          </cell>
          <cell r="EN58">
            <v>1925759002666.6699</v>
          </cell>
          <cell r="EO58">
            <v>-1452172155000</v>
          </cell>
          <cell r="EP58">
            <v>-383560417000</v>
          </cell>
          <cell r="EQ58">
            <v>-160983698333.33301</v>
          </cell>
          <cell r="ER58">
            <v>-70957267666.666595</v>
          </cell>
          <cell r="ES58">
            <v>-3.6846390212071999E-2</v>
          </cell>
          <cell r="ET58">
            <v>-3.5536980752313402E-2</v>
          </cell>
        </row>
        <row r="59">
          <cell r="B59" t="str">
            <v>WUHAN CHUANGJIE GONGMAO XIHUA CO.,LTD.</v>
          </cell>
          <cell r="C59" t="str">
            <v>exclude</v>
          </cell>
          <cell r="D59" t="str">
            <v>Independence(A+, A, A-, U)</v>
          </cell>
          <cell r="H59" t="str">
            <v/>
          </cell>
          <cell r="J59" t="str">
            <v>exclude</v>
          </cell>
          <cell r="K59" t="str">
            <v>Independence(A+, A, A-, U)</v>
          </cell>
          <cell r="M59" t="str">
            <v>WUHAN CHUANGJIE GONGMAO XIHUA CO.,LTD.</v>
          </cell>
          <cell r="N59" t="str">
            <v>This company is an entity based in China that is engaged in the wholesale trade of nondurable goods. It was incorporated in 2007 and conducts business operations from its registered head office in located in Wuhan, Hubei. The company specializes in the following nondurable goods: surgical products, cosmetics, cleaning products, office supplies, as well as packaging and containers, and paper and paper products. In addition, it offers other nondurable goods, such as personal products, rubber products, plastic products, textile raw materials, agricultural raw materials, clothing and footwear, and other semi finished goods. The company markets its products to customers primarily within the country.</v>
          </cell>
          <cell r="O59" t="str">
            <v>Wholesale</v>
          </cell>
          <cell r="R59" t="str">
            <v>China</v>
          </cell>
          <cell r="S59" t="str">
            <v>836770</v>
          </cell>
          <cell r="T59" t="str">
            <v>D</v>
          </cell>
          <cell r="U59" t="str">
            <v>2844</v>
          </cell>
          <cell r="V59" t="str">
            <v>Engaged in the wholesale trade of nondurable goods</v>
          </cell>
          <cell r="W59" t="str">
            <v>The Company mainly engaged in cosmetics, chemicals, department stores and retail.</v>
          </cell>
          <cell r="Z59" t="str">
            <v>CN47967PC</v>
          </cell>
          <cell r="AA59">
            <v>908603000</v>
          </cell>
          <cell r="AB59">
            <v>1045237000</v>
          </cell>
          <cell r="AC59">
            <v>1068749000</v>
          </cell>
          <cell r="AD59">
            <v>1065108000</v>
          </cell>
          <cell r="AE59">
            <v>910638000</v>
          </cell>
          <cell r="AF59">
            <v>1046733000</v>
          </cell>
          <cell r="AG59">
            <v>1069594000</v>
          </cell>
          <cell r="AH59">
            <v>1066205000</v>
          </cell>
          <cell r="AI59">
            <v>-2274000</v>
          </cell>
          <cell r="AJ59">
            <v>-1609000</v>
          </cell>
          <cell r="AK59">
            <v>-1302000</v>
          </cell>
          <cell r="AL59">
            <v>-1352000</v>
          </cell>
          <cell r="AM59">
            <v>908364000</v>
          </cell>
          <cell r="AN59">
            <v>1045124000</v>
          </cell>
          <cell r="AO59">
            <v>1068292000</v>
          </cell>
          <cell r="AP59">
            <v>1064853000</v>
          </cell>
          <cell r="AQ59">
            <v>239000</v>
          </cell>
          <cell r="AR59">
            <v>113000</v>
          </cell>
          <cell r="AS59">
            <v>457000</v>
          </cell>
          <cell r="AT59">
            <v>255000</v>
          </cell>
          <cell r="AU59">
            <v>-791940000</v>
          </cell>
          <cell r="AV59">
            <v>-895251000</v>
          </cell>
          <cell r="AW59">
            <v>-960516000</v>
          </cell>
          <cell r="AX59">
            <v>-945366000</v>
          </cell>
          <cell r="AY59" t="str">
            <v>n.a.</v>
          </cell>
          <cell r="AZ59" t="str">
            <v>n.a.</v>
          </cell>
          <cell r="BA59" t="str">
            <v>n.a.</v>
          </cell>
          <cell r="BB59" t="str">
            <v>n.a.</v>
          </cell>
          <cell r="BC59">
            <v>-76165000</v>
          </cell>
          <cell r="BD59">
            <v>-87876000</v>
          </cell>
          <cell r="BE59">
            <v>-81471000</v>
          </cell>
          <cell r="BF59">
            <v>-92851000</v>
          </cell>
          <cell r="BG59">
            <v>40498000</v>
          </cell>
          <cell r="BH59">
            <v>62110000</v>
          </cell>
          <cell r="BI59">
            <v>26762000</v>
          </cell>
          <cell r="BJ59">
            <v>26891000</v>
          </cell>
          <cell r="BK59">
            <v>-419000</v>
          </cell>
          <cell r="BL59">
            <v>-18505000</v>
          </cell>
          <cell r="BM59">
            <v>332000</v>
          </cell>
          <cell r="BN59">
            <v>-584000</v>
          </cell>
          <cell r="BO59">
            <v>-238000</v>
          </cell>
          <cell r="BP59">
            <v>-336000</v>
          </cell>
          <cell r="BQ59">
            <v>-348000</v>
          </cell>
          <cell r="BR59">
            <v>-362000</v>
          </cell>
          <cell r="BS59">
            <v>-181000</v>
          </cell>
          <cell r="BT59">
            <v>-18169000</v>
          </cell>
          <cell r="BU59">
            <v>680000</v>
          </cell>
          <cell r="BV59">
            <v>-222000</v>
          </cell>
          <cell r="BW59">
            <v>31047000</v>
          </cell>
          <cell r="BX59">
            <v>29110000</v>
          </cell>
          <cell r="BY59">
            <v>20562000</v>
          </cell>
          <cell r="BZ59">
            <v>19281000</v>
          </cell>
          <cell r="CA59">
            <v>167387000</v>
          </cell>
          <cell r="CB59">
            <v>199251000</v>
          </cell>
          <cell r="CC59">
            <v>177311000</v>
          </cell>
          <cell r="CD59">
            <v>182526000</v>
          </cell>
          <cell r="CE59">
            <v>75697000</v>
          </cell>
          <cell r="CF59">
            <v>60585000</v>
          </cell>
          <cell r="CG59">
            <v>71567000</v>
          </cell>
          <cell r="CH59">
            <v>74357000</v>
          </cell>
          <cell r="CI59">
            <v>22042000</v>
          </cell>
          <cell r="CJ59">
            <v>18677000</v>
          </cell>
          <cell r="CK59">
            <v>28223000</v>
          </cell>
          <cell r="CL59">
            <v>50444000</v>
          </cell>
          <cell r="CM59">
            <v>2245000</v>
          </cell>
          <cell r="CN59">
            <v>3665000</v>
          </cell>
          <cell r="CO59">
            <v>13369000</v>
          </cell>
          <cell r="CP59">
            <v>8362000</v>
          </cell>
          <cell r="CQ59">
            <v>56596000</v>
          </cell>
          <cell r="CR59">
            <v>108067000</v>
          </cell>
          <cell r="CS59">
            <v>56700000</v>
          </cell>
          <cell r="CT59">
            <v>39705000</v>
          </cell>
          <cell r="CU59">
            <v>1920000</v>
          </cell>
          <cell r="CV59">
            <v>87955000</v>
          </cell>
          <cell r="CW59">
            <v>14000000</v>
          </cell>
          <cell r="CX59" t="str">
            <v>n.a.</v>
          </cell>
          <cell r="CY59" t="str">
            <v>n.a.</v>
          </cell>
          <cell r="CZ59" t="str">
            <v>n.a.</v>
          </cell>
          <cell r="DA59" t="str">
            <v>n.a.</v>
          </cell>
          <cell r="DB59" t="str">
            <v>n.a.</v>
          </cell>
          <cell r="DC59">
            <v>172532000</v>
          </cell>
          <cell r="DD59">
            <v>200452000</v>
          </cell>
          <cell r="DE59">
            <v>178563000</v>
          </cell>
          <cell r="DF59">
            <v>184192000</v>
          </cell>
          <cell r="DG59">
            <v>908364000</v>
          </cell>
          <cell r="DH59">
            <v>-791940000</v>
          </cell>
          <cell r="DI59">
            <v>-76165000</v>
          </cell>
          <cell r="DJ59">
            <v>-419000</v>
          </cell>
          <cell r="DK59">
            <v>39840000</v>
          </cell>
          <cell r="DL59">
            <v>4.3859069712141797E-2</v>
          </cell>
          <cell r="DM59">
            <v>4.58709258466087E-2</v>
          </cell>
          <cell r="DN59" t="str">
            <v>n.a.</v>
          </cell>
          <cell r="DO59">
            <v>68141000</v>
          </cell>
          <cell r="DP59" t="e">
            <v>#VALUE!</v>
          </cell>
          <cell r="DR59">
            <v>1045124000</v>
          </cell>
          <cell r="DS59">
            <v>-895251000</v>
          </cell>
          <cell r="DT59">
            <v>-87876000</v>
          </cell>
          <cell r="DU59">
            <v>-18505000</v>
          </cell>
          <cell r="DV59">
            <v>43492000</v>
          </cell>
          <cell r="DW59">
            <v>4.1614200802966898E-2</v>
          </cell>
          <cell r="DX59">
            <v>4.3421136704897598E-2</v>
          </cell>
          <cell r="DY59" t="str">
            <v>n.a.</v>
          </cell>
          <cell r="DZ59">
            <v>66076000</v>
          </cell>
          <cell r="EA59" t="e">
            <v>#VALUE!</v>
          </cell>
          <cell r="EC59">
            <v>1068292000</v>
          </cell>
          <cell r="ED59">
            <v>-960516000</v>
          </cell>
          <cell r="EE59">
            <v>-81471000</v>
          </cell>
          <cell r="EF59">
            <v>332000</v>
          </cell>
          <cell r="EG59">
            <v>26637000</v>
          </cell>
          <cell r="EH59">
            <v>2.4934194021859198E-2</v>
          </cell>
          <cell r="EI59">
            <v>2.5571806404231699E-2</v>
          </cell>
          <cell r="EJ59" t="str">
            <v>n.a.</v>
          </cell>
          <cell r="EK59">
            <v>72962000</v>
          </cell>
          <cell r="EL59" t="e">
            <v>#VALUE!</v>
          </cell>
          <cell r="EN59">
            <v>1007260000</v>
          </cell>
          <cell r="EO59">
            <v>-882569000</v>
          </cell>
          <cell r="EP59">
            <v>-81837333.333333299</v>
          </cell>
          <cell r="EQ59">
            <v>-6197333.3333333302</v>
          </cell>
          <cell r="ER59">
            <v>36656333.333333299</v>
          </cell>
          <cell r="ES59">
            <v>3.6392126494979797E-2</v>
          </cell>
          <cell r="ET59">
            <v>3.7766530863438598E-2</v>
          </cell>
        </row>
        <row r="60">
          <cell r="B60" t="str">
            <v>LAFANG CHINA CO.,LTD</v>
          </cell>
          <cell r="C60" t="str">
            <v>exclude</v>
          </cell>
          <cell r="D60" t="str">
            <v>Independence(A+, A, A-, U)</v>
          </cell>
          <cell r="H60" t="str">
            <v/>
          </cell>
          <cell r="J60" t="str">
            <v>exclude</v>
          </cell>
          <cell r="K60" t="str">
            <v>Independence(A+, A, A-, U)</v>
          </cell>
          <cell r="M60" t="str">
            <v>LAFANG CHINA CO.,LTD</v>
          </cell>
          <cell r="N60" t="str">
            <v>This company is a China based enterprise engaged in the manufacture and sale of chemicals and chemical preparations. It operates its business primarily in the domestic market. The company was incorporated in 2001. Its registered business office is based in Shantou, China. It is registered as a joint stock company.The company's business activities include the manufacture and sale of miscellaneous chemical preparations, such as fatty acids, essential oils, gelatin, bluing, laundry sours, and writing and stamp pad ink; industrial compounds, such as boiler and heat insulating compounds, metal, oil; and water-treating compounds, waterproofing compounds, and chemical supplies for foundries.</v>
          </cell>
          <cell r="O60" t="str">
            <v>Manufacturing</v>
          </cell>
          <cell r="P60" t="str">
            <v>www.laf.cn</v>
          </cell>
          <cell r="R60" t="str">
            <v>China</v>
          </cell>
          <cell r="S60" t="str">
            <v>603630</v>
          </cell>
          <cell r="T60" t="str">
            <v>B+</v>
          </cell>
          <cell r="U60" t="str">
            <v>2841</v>
          </cell>
          <cell r="V60" t="str">
            <v>Engaged in the manufacture and sale of chemicals and chemical preparations</v>
          </cell>
          <cell r="W60" t="str">
            <v>The Company is mainly engaged in the research and development, production and sales of daily chemical products, including shampoo, conditioner, shower gel, soap, cream and other products.</v>
          </cell>
          <cell r="Z60" t="str">
            <v>CN49215PC</v>
          </cell>
          <cell r="AA60">
            <v>884925000</v>
          </cell>
          <cell r="AB60">
            <v>1097405000</v>
          </cell>
          <cell r="AC60">
            <v>976723000</v>
          </cell>
          <cell r="AD60">
            <v>956810000</v>
          </cell>
          <cell r="AE60">
            <v>886170000</v>
          </cell>
          <cell r="AF60">
            <v>1098154000</v>
          </cell>
          <cell r="AG60">
            <v>982164000</v>
          </cell>
          <cell r="AH60">
            <v>964166000</v>
          </cell>
          <cell r="AI60">
            <v>-5225000</v>
          </cell>
          <cell r="AJ60">
            <v>-7807000</v>
          </cell>
          <cell r="AK60">
            <v>-8630000</v>
          </cell>
          <cell r="AL60">
            <v>-9821000</v>
          </cell>
          <cell r="AM60">
            <v>880945000</v>
          </cell>
          <cell r="AN60">
            <v>1090347000</v>
          </cell>
          <cell r="AO60">
            <v>973534000</v>
          </cell>
          <cell r="AP60">
            <v>954345000</v>
          </cell>
          <cell r="AQ60">
            <v>3980000</v>
          </cell>
          <cell r="AR60">
            <v>7058000</v>
          </cell>
          <cell r="AS60">
            <v>3189000</v>
          </cell>
          <cell r="AT60">
            <v>2465000</v>
          </cell>
          <cell r="AU60">
            <v>-454976000</v>
          </cell>
          <cell r="AV60">
            <v>-489403000</v>
          </cell>
          <cell r="AW60">
            <v>-494136000</v>
          </cell>
          <cell r="AX60">
            <v>-418415000</v>
          </cell>
          <cell r="AY60" t="str">
            <v>n.a.</v>
          </cell>
          <cell r="AZ60" t="str">
            <v>n.a.</v>
          </cell>
          <cell r="BA60" t="str">
            <v>n.a.</v>
          </cell>
          <cell r="BB60" t="str">
            <v>n.a.</v>
          </cell>
          <cell r="BC60">
            <v>-380042000</v>
          </cell>
          <cell r="BD60">
            <v>-587214000</v>
          </cell>
          <cell r="BE60">
            <v>-402974000</v>
          </cell>
          <cell r="BF60">
            <v>-495882000</v>
          </cell>
          <cell r="BG60">
            <v>49907000</v>
          </cell>
          <cell r="BH60">
            <v>20788000</v>
          </cell>
          <cell r="BI60">
            <v>79613000</v>
          </cell>
          <cell r="BJ60">
            <v>42513000</v>
          </cell>
          <cell r="BK60">
            <v>-24812000</v>
          </cell>
          <cell r="BL60">
            <v>-17164000</v>
          </cell>
          <cell r="BM60">
            <v>-13271000</v>
          </cell>
          <cell r="BN60">
            <v>-18939000</v>
          </cell>
          <cell r="BO60">
            <v>-9727000</v>
          </cell>
          <cell r="BP60">
            <v>-10908000</v>
          </cell>
          <cell r="BQ60">
            <v>-10783000</v>
          </cell>
          <cell r="BR60">
            <v>-16694000</v>
          </cell>
          <cell r="BS60">
            <v>-15085000</v>
          </cell>
          <cell r="BT60">
            <v>-6256000</v>
          </cell>
          <cell r="BU60">
            <v>-2488000</v>
          </cell>
          <cell r="BV60">
            <v>-2245000</v>
          </cell>
          <cell r="BW60">
            <v>59234000</v>
          </cell>
          <cell r="BX60">
            <v>69049000</v>
          </cell>
          <cell r="BY60">
            <v>116985000</v>
          </cell>
          <cell r="BZ60">
            <v>49629000</v>
          </cell>
          <cell r="CA60">
            <v>1486278000</v>
          </cell>
          <cell r="CB60">
            <v>1495378000</v>
          </cell>
          <cell r="CC60">
            <v>1531670000</v>
          </cell>
          <cell r="CD60">
            <v>1568025000</v>
          </cell>
          <cell r="CE60">
            <v>203281000</v>
          </cell>
          <cell r="CF60">
            <v>193768000</v>
          </cell>
          <cell r="CG60">
            <v>211352000</v>
          </cell>
          <cell r="CH60">
            <v>245157000</v>
          </cell>
          <cell r="CI60">
            <v>93478000</v>
          </cell>
          <cell r="CJ60">
            <v>142144000</v>
          </cell>
          <cell r="CK60">
            <v>112518000</v>
          </cell>
          <cell r="CL60">
            <v>118882000</v>
          </cell>
          <cell r="CM60">
            <v>14440000</v>
          </cell>
          <cell r="CN60">
            <v>23226000</v>
          </cell>
          <cell r="CO60">
            <v>26489000</v>
          </cell>
          <cell r="CP60">
            <v>37853000</v>
          </cell>
          <cell r="CQ60">
            <v>1158121000</v>
          </cell>
          <cell r="CR60">
            <v>1108620000</v>
          </cell>
          <cell r="CS60">
            <v>1170356000</v>
          </cell>
          <cell r="CT60">
            <v>1156321000</v>
          </cell>
          <cell r="CU60">
            <v>9179000</v>
          </cell>
          <cell r="CV60">
            <v>386000</v>
          </cell>
          <cell r="CW60">
            <v>25080000</v>
          </cell>
          <cell r="CX60">
            <v>5760000</v>
          </cell>
          <cell r="CY60">
            <v>3577000</v>
          </cell>
          <cell r="CZ60">
            <v>1456000</v>
          </cell>
          <cell r="DA60">
            <v>1634000</v>
          </cell>
          <cell r="DB60">
            <v>2708000</v>
          </cell>
          <cell r="DC60">
            <v>2161850000</v>
          </cell>
          <cell r="DD60">
            <v>2088411000</v>
          </cell>
          <cell r="DE60">
            <v>2040093000</v>
          </cell>
          <cell r="DF60">
            <v>1928735000</v>
          </cell>
          <cell r="DG60">
            <v>880945000</v>
          </cell>
          <cell r="DH60">
            <v>-454976000</v>
          </cell>
          <cell r="DI60">
            <v>-380042000</v>
          </cell>
          <cell r="DJ60">
            <v>-24812000</v>
          </cell>
          <cell r="DK60">
            <v>21115000</v>
          </cell>
          <cell r="DL60">
            <v>2.3968579196204098E-2</v>
          </cell>
          <cell r="DM60">
            <v>2.4557179907656199E-2</v>
          </cell>
          <cell r="DN60" t="str">
            <v>n.a.</v>
          </cell>
          <cell r="DO60">
            <v>198524500</v>
          </cell>
          <cell r="DP60">
            <v>2516500</v>
          </cell>
          <cell r="DR60">
            <v>1090347000</v>
          </cell>
          <cell r="DS60">
            <v>-489403000</v>
          </cell>
          <cell r="DT60">
            <v>-587214000</v>
          </cell>
          <cell r="DU60">
            <v>-17164000</v>
          </cell>
          <cell r="DV60">
            <v>-3434000</v>
          </cell>
          <cell r="DW60">
            <v>-3.14945609058401E-3</v>
          </cell>
          <cell r="DX60">
            <v>-3.1395681585253401E-3</v>
          </cell>
          <cell r="DY60" t="str">
            <v>n.a.</v>
          </cell>
          <cell r="DZ60">
            <v>202560000</v>
          </cell>
          <cell r="EA60">
            <v>1545000</v>
          </cell>
          <cell r="EC60">
            <v>973534000</v>
          </cell>
          <cell r="ED60">
            <v>-494136000</v>
          </cell>
          <cell r="EE60">
            <v>-402974000</v>
          </cell>
          <cell r="EF60">
            <v>-13271000</v>
          </cell>
          <cell r="EG60">
            <v>63153000</v>
          </cell>
          <cell r="EH60">
            <v>6.4869845326408701E-2</v>
          </cell>
          <cell r="EI60">
            <v>6.9369857235596993E-2</v>
          </cell>
          <cell r="EJ60" t="str">
            <v>n.a.</v>
          </cell>
          <cell r="EK60">
            <v>228254500</v>
          </cell>
          <cell r="EL60">
            <v>2171000</v>
          </cell>
          <cell r="EN60">
            <v>981608666.66666698</v>
          </cell>
          <cell r="EO60">
            <v>-479505000</v>
          </cell>
          <cell r="EP60">
            <v>-456743333.33333302</v>
          </cell>
          <cell r="EQ60">
            <v>-18415666.666666701</v>
          </cell>
          <cell r="ER60">
            <v>26944666.666666601</v>
          </cell>
          <cell r="ES60">
            <v>2.7449499562962301E-2</v>
          </cell>
          <cell r="ET60">
            <v>2.8224240849834801E-2</v>
          </cell>
        </row>
        <row r="61">
          <cell r="B61" t="str">
            <v>LIX DETERGENT JOINT STOCK COMPANY</v>
          </cell>
          <cell r="C61" t="str">
            <v>exclude</v>
          </cell>
          <cell r="D61" t="str">
            <v>Independence(A+, A, A-, U)</v>
          </cell>
          <cell r="H61" t="str">
            <v/>
          </cell>
          <cell r="J61" t="str">
            <v>exclude</v>
          </cell>
          <cell r="K61" t="str">
            <v>Independence(A+, A, A-, U)</v>
          </cell>
          <cell r="M61" t="str">
            <v>LIX DETERGENT JOINT STOCK COMPANY</v>
          </cell>
          <cell r="N61" t="str">
            <v>The company is engaged in the production of detergents and cosmetics. It was established in 1972 and was formerly known as a factory named Huan Huan Chemical Technology Company. The company has its registered head office located in Ho Chi Minh, Vietnam. It is listed on the HoChiMinh Stock Exchange under the trading symbol LIX.The company's products include washing powders, dishwaters and other cleaning products. It is also involved in the manufacture and trading of chemicals and packagings, as well as real estate trading. The company predominantly operates in the domestic market with factories in HCMC and Ha Noi having a total capacity of 140,000 tons per year. It distributes its products to a wide range of customers, targeting low and medium income groups.</v>
          </cell>
          <cell r="O61" t="str">
            <v>Manufacturing; Services</v>
          </cell>
          <cell r="P61" t="str">
            <v>www.lixco.com</v>
          </cell>
          <cell r="R61" t="str">
            <v>Vietnam</v>
          </cell>
          <cell r="S61" t="str">
            <v>LIX</v>
          </cell>
          <cell r="T61" t="str">
            <v>D</v>
          </cell>
          <cell r="U61" t="str">
            <v>2841</v>
          </cell>
          <cell r="V61" t="str">
            <v>Engaged in the production of detergents and cosmetics</v>
          </cell>
          <cell r="W61" t="str">
            <v>The Company's main business are: Manufacturing and trading all kinds of detergent such as: powder detergent, liquid detergent, dish washing liquids, fabric softerner, floor cleaner, toilet liquid, etc...;  Import-export business and real estate business.</v>
          </cell>
          <cell r="Z61" t="str">
            <v>VN4103001845</v>
          </cell>
          <cell r="AA61">
            <v>2815142032000</v>
          </cell>
          <cell r="AB61">
            <v>2613003212000</v>
          </cell>
          <cell r="AC61">
            <v>2902192970000</v>
          </cell>
          <cell r="AD61">
            <v>2526485464000</v>
          </cell>
          <cell r="AE61">
            <v>2858219048000</v>
          </cell>
          <cell r="AF61">
            <v>2652839724000</v>
          </cell>
          <cell r="AG61">
            <v>2991900990000</v>
          </cell>
          <cell r="AH61">
            <v>2567735847000</v>
          </cell>
          <cell r="AI61">
            <v>-43077016000</v>
          </cell>
          <cell r="AJ61">
            <v>-39836512000</v>
          </cell>
          <cell r="AK61">
            <v>-89708020000</v>
          </cell>
          <cell r="AL61">
            <v>-41250383000</v>
          </cell>
          <cell r="AM61">
            <v>2815142032000</v>
          </cell>
          <cell r="AN61">
            <v>2613003212000</v>
          </cell>
          <cell r="AO61">
            <v>2902192970000</v>
          </cell>
          <cell r="AP61">
            <v>2526485464000</v>
          </cell>
          <cell r="AQ61" t="str">
            <v>n.a.</v>
          </cell>
          <cell r="AR61" t="str">
            <v>n.a.</v>
          </cell>
          <cell r="AS61" t="str">
            <v>n.a.</v>
          </cell>
          <cell r="AT61" t="str">
            <v>n.a.</v>
          </cell>
          <cell r="AU61">
            <v>-2135205514000</v>
          </cell>
          <cell r="AV61">
            <v>-2040786660000</v>
          </cell>
          <cell r="AW61">
            <v>-2130829166000</v>
          </cell>
          <cell r="AX61">
            <v>-1942143610000</v>
          </cell>
          <cell r="AY61">
            <v>0</v>
          </cell>
          <cell r="AZ61">
            <v>0</v>
          </cell>
          <cell r="BA61">
            <v>0</v>
          </cell>
          <cell r="BB61">
            <v>0</v>
          </cell>
          <cell r="BC61">
            <v>-394590822000</v>
          </cell>
          <cell r="BD61">
            <v>-310007864000</v>
          </cell>
          <cell r="BE61">
            <v>-433114919000</v>
          </cell>
          <cell r="BF61">
            <v>-329112849000</v>
          </cell>
          <cell r="BG61">
            <v>285345696000</v>
          </cell>
          <cell r="BH61">
            <v>262208688000</v>
          </cell>
          <cell r="BI61">
            <v>338248885000</v>
          </cell>
          <cell r="BJ61">
            <v>255229005000</v>
          </cell>
          <cell r="BK61">
            <v>-51314475000</v>
          </cell>
          <cell r="BL61">
            <v>-51358382000</v>
          </cell>
          <cell r="BM61">
            <v>-43495062000</v>
          </cell>
          <cell r="BN61">
            <v>-34913589000</v>
          </cell>
          <cell r="BO61">
            <v>-50092508000</v>
          </cell>
          <cell r="BP61">
            <v>-50136415000</v>
          </cell>
          <cell r="BQ61">
            <v>-42277244000</v>
          </cell>
          <cell r="BR61">
            <v>-33707682000</v>
          </cell>
          <cell r="BS61">
            <v>-1221967000</v>
          </cell>
          <cell r="BT61">
            <v>-1221967000</v>
          </cell>
          <cell r="BU61">
            <v>-1217818000</v>
          </cell>
          <cell r="BV61">
            <v>-1205907000</v>
          </cell>
          <cell r="BW61">
            <v>213199805000</v>
          </cell>
          <cell r="BX61">
            <v>167366172000</v>
          </cell>
          <cell r="BY61">
            <v>230108370000</v>
          </cell>
          <cell r="BZ61">
            <v>178796055000</v>
          </cell>
          <cell r="CA61">
            <v>761512315000</v>
          </cell>
          <cell r="CB61">
            <v>698240683000</v>
          </cell>
          <cell r="CC61">
            <v>557214993000</v>
          </cell>
          <cell r="CD61">
            <v>513373391000</v>
          </cell>
          <cell r="CE61">
            <v>278488217000</v>
          </cell>
          <cell r="CF61">
            <v>310691409000</v>
          </cell>
          <cell r="CG61">
            <v>278307688000</v>
          </cell>
          <cell r="CH61">
            <v>181498808000</v>
          </cell>
          <cell r="CI61">
            <v>184971780000</v>
          </cell>
          <cell r="CJ61">
            <v>139518743000</v>
          </cell>
          <cell r="CK61">
            <v>173711384000</v>
          </cell>
          <cell r="CL61">
            <v>147583809000</v>
          </cell>
          <cell r="CM61">
            <v>100329749000</v>
          </cell>
          <cell r="CN61">
            <v>99342829000</v>
          </cell>
          <cell r="CO61">
            <v>68462806000</v>
          </cell>
          <cell r="CP61">
            <v>41115656000</v>
          </cell>
          <cell r="CQ61">
            <v>193849654000</v>
          </cell>
          <cell r="CR61">
            <v>140952449000</v>
          </cell>
          <cell r="CS61">
            <v>13994257000</v>
          </cell>
          <cell r="CT61">
            <v>127820581000</v>
          </cell>
          <cell r="CU61" t="str">
            <v>n.a.</v>
          </cell>
          <cell r="CV61" t="str">
            <v>n.a.</v>
          </cell>
          <cell r="CW61" t="str">
            <v>n.a.</v>
          </cell>
          <cell r="CX61" t="str">
            <v>n.a.</v>
          </cell>
          <cell r="CY61">
            <v>14853786000</v>
          </cell>
          <cell r="CZ61">
            <v>11906249000</v>
          </cell>
          <cell r="DA61">
            <v>11573307000</v>
          </cell>
          <cell r="DB61">
            <v>7147391000</v>
          </cell>
          <cell r="DC61">
            <v>1232208050000</v>
          </cell>
          <cell r="DD61">
            <v>1167643782000</v>
          </cell>
          <cell r="DE61">
            <v>1017668766000</v>
          </cell>
          <cell r="DF61">
            <v>896698904000</v>
          </cell>
          <cell r="DG61">
            <v>2815142032000</v>
          </cell>
          <cell r="DH61">
            <v>-2135205514000</v>
          </cell>
          <cell r="DI61">
            <v>-394590822000</v>
          </cell>
          <cell r="DJ61">
            <v>-51314475000</v>
          </cell>
          <cell r="DK61">
            <v>234031221000</v>
          </cell>
          <cell r="DL61">
            <v>8.3133006555173306E-2</v>
          </cell>
          <cell r="DM61">
            <v>9.0670737576481406E-2</v>
          </cell>
          <cell r="DN61">
            <v>0</v>
          </cell>
          <cell r="DO61">
            <v>294589813000</v>
          </cell>
          <cell r="DP61">
            <v>13380017500</v>
          </cell>
          <cell r="DR61">
            <v>2613003212000</v>
          </cell>
          <cell r="DS61">
            <v>-2040786660000</v>
          </cell>
          <cell r="DT61">
            <v>-310007864000</v>
          </cell>
          <cell r="DU61">
            <v>-51358382000</v>
          </cell>
          <cell r="DV61">
            <v>210850306000</v>
          </cell>
          <cell r="DW61">
            <v>8.0692708310379196E-2</v>
          </cell>
          <cell r="DX61">
            <v>8.7775555616524906E-2</v>
          </cell>
          <cell r="DY61">
            <v>0</v>
          </cell>
          <cell r="DZ61">
            <v>294499548500</v>
          </cell>
          <cell r="EA61">
            <v>11739778000</v>
          </cell>
          <cell r="EC61">
            <v>2902192970000</v>
          </cell>
          <cell r="ED61">
            <v>-2130829166000</v>
          </cell>
          <cell r="EE61">
            <v>-433114919000</v>
          </cell>
          <cell r="EF61">
            <v>-43495062000</v>
          </cell>
          <cell r="EG61">
            <v>294753823000</v>
          </cell>
          <cell r="EH61">
            <v>0.10156244813727899</v>
          </cell>
          <cell r="EI61">
            <v>0.113043414009922</v>
          </cell>
          <cell r="EJ61">
            <v>0</v>
          </cell>
          <cell r="EK61">
            <v>229903248000</v>
          </cell>
          <cell r="EL61">
            <v>9360349000</v>
          </cell>
          <cell r="EN61">
            <v>2776779404666.6699</v>
          </cell>
          <cell r="EO61">
            <v>-2102273780000</v>
          </cell>
          <cell r="EP61">
            <v>-379237868333.33301</v>
          </cell>
          <cell r="EQ61">
            <v>-48722639666.666702</v>
          </cell>
          <cell r="ER61">
            <v>246545116666.66699</v>
          </cell>
          <cell r="ES61">
            <v>8.8788153733898298E-2</v>
          </cell>
          <cell r="ET61">
            <v>9.7439639418350404E-2</v>
          </cell>
        </row>
        <row r="62">
          <cell r="B62" t="str">
            <v>KEYA COSMETICS LTD</v>
          </cell>
          <cell r="C62" t="str">
            <v>exclude</v>
          </cell>
          <cell r="D62" t="str">
            <v>Independence(A+, A, A-, U)</v>
          </cell>
          <cell r="H62" t="str">
            <v/>
          </cell>
          <cell r="J62" t="str">
            <v>exclude</v>
          </cell>
          <cell r="K62" t="str">
            <v>Independence(A+, A, A-, U)</v>
          </cell>
          <cell r="M62" t="str">
            <v>KEYA COSMETICS LTD</v>
          </cell>
          <cell r="N62" t="str">
            <v>This company is an entity based in Bangladesh that is engaged in the production and distribution of perfumes, cosmetics and toilet preparations. The registered business office of the company is located in Dhaka, Bangladesh.The company is principally involved in producing and dealing perfumes, colognes, body lotions, facial creams and other related cosmetic products. It also offers a wide range of other products, such as hair coloring products, shampoos, combs, nail coloring products, hair blowers, relaxers and texturizers, shapers and scissors, shaving creams and equipment, lotions, gels, wigs and other related products. These are offered to distributors, retailers and to the general public.The company has its active operations within the country.</v>
          </cell>
          <cell r="O62" t="str">
            <v>Manufacturing</v>
          </cell>
          <cell r="P62" t="str">
            <v>www.keyagroupbd.com</v>
          </cell>
          <cell r="R62" t="str">
            <v>Bangladesh</v>
          </cell>
          <cell r="S62" t="str">
            <v>KEYACOSMET</v>
          </cell>
          <cell r="T62" t="str">
            <v>B+</v>
          </cell>
          <cell r="U62" t="str">
            <v>2844</v>
          </cell>
          <cell r="V62" t="str">
            <v>Engaged in the production and distribution of perfumes, cosmetics and toilet preparations</v>
          </cell>
          <cell r="W62" t="str">
            <v>The Company is engaged in the production of several kinds and sizes of soap, shaving cream, toothpaste, coconut oil and other cosmetics items since its incorporation.</v>
          </cell>
          <cell r="Z62" t="str">
            <v>BD30186FE</v>
          </cell>
          <cell r="AA62" t="str">
            <v>n.a.</v>
          </cell>
          <cell r="AB62" t="str">
            <v>n.a.</v>
          </cell>
          <cell r="AC62">
            <v>9014045000</v>
          </cell>
          <cell r="AD62">
            <v>10411160000</v>
          </cell>
          <cell r="AE62" t="str">
            <v>n.a.</v>
          </cell>
          <cell r="AF62" t="str">
            <v>n.a.</v>
          </cell>
          <cell r="AG62">
            <v>9340379000</v>
          </cell>
          <cell r="AH62">
            <v>10703997000</v>
          </cell>
          <cell r="AI62" t="str">
            <v>n.a.</v>
          </cell>
          <cell r="AJ62" t="str">
            <v>n.a.</v>
          </cell>
          <cell r="AK62">
            <v>-326334000</v>
          </cell>
          <cell r="AL62">
            <v>-292837000</v>
          </cell>
          <cell r="AM62" t="str">
            <v>n.a.</v>
          </cell>
          <cell r="AN62" t="str">
            <v>n.a.</v>
          </cell>
          <cell r="AO62">
            <v>9014045000</v>
          </cell>
          <cell r="AP62">
            <v>10411160000</v>
          </cell>
          <cell r="AQ62" t="str">
            <v>n.a.</v>
          </cell>
          <cell r="AR62" t="str">
            <v>n.a.</v>
          </cell>
          <cell r="AS62" t="str">
            <v>n.a.</v>
          </cell>
          <cell r="AT62" t="str">
            <v>n.a.</v>
          </cell>
          <cell r="AU62" t="str">
            <v>n.a.</v>
          </cell>
          <cell r="AV62" t="str">
            <v>n.a.</v>
          </cell>
          <cell r="AW62">
            <v>-6872010000</v>
          </cell>
          <cell r="AX62">
            <v>-7426192000</v>
          </cell>
          <cell r="AY62" t="str">
            <v>n.a.</v>
          </cell>
          <cell r="AZ62" t="str">
            <v>n.a.</v>
          </cell>
          <cell r="BA62">
            <v>-3713000</v>
          </cell>
          <cell r="BB62">
            <v>-3256000</v>
          </cell>
          <cell r="BC62" t="str">
            <v>n.a.</v>
          </cell>
          <cell r="BD62" t="str">
            <v>n.a.</v>
          </cell>
          <cell r="BE62">
            <v>-287350000</v>
          </cell>
          <cell r="BF62">
            <v>-7437945000</v>
          </cell>
          <cell r="BG62" t="str">
            <v>n.a.</v>
          </cell>
          <cell r="BH62" t="str">
            <v>n.a.</v>
          </cell>
          <cell r="BI62">
            <v>1850972000</v>
          </cell>
          <cell r="BJ62">
            <v>-4456233000</v>
          </cell>
          <cell r="BK62" t="str">
            <v>n.a.</v>
          </cell>
          <cell r="BL62" t="str">
            <v>n.a.</v>
          </cell>
          <cell r="BM62">
            <v>-327956000</v>
          </cell>
          <cell r="BN62">
            <v>-361314000</v>
          </cell>
          <cell r="BO62" t="str">
            <v>n.a.</v>
          </cell>
          <cell r="BP62" t="str">
            <v>n.a.</v>
          </cell>
          <cell r="BQ62">
            <v>-327956000</v>
          </cell>
          <cell r="BR62">
            <v>-361314000</v>
          </cell>
          <cell r="BS62" t="str">
            <v>n.a.</v>
          </cell>
          <cell r="BT62" t="str">
            <v>n.a.</v>
          </cell>
          <cell r="BU62">
            <v>0</v>
          </cell>
          <cell r="BV62">
            <v>0</v>
          </cell>
          <cell r="BW62" t="str">
            <v>n.a.</v>
          </cell>
          <cell r="BX62" t="str">
            <v>n.a.</v>
          </cell>
          <cell r="BY62">
            <v>236379000</v>
          </cell>
          <cell r="BZ62">
            <v>-12968355000</v>
          </cell>
          <cell r="CA62" t="str">
            <v>n.a.</v>
          </cell>
          <cell r="CB62" t="str">
            <v>n.a.</v>
          </cell>
          <cell r="CC62">
            <v>22659598000</v>
          </cell>
          <cell r="CD62">
            <v>21221771000</v>
          </cell>
          <cell r="CE62" t="str">
            <v>n.a.</v>
          </cell>
          <cell r="CF62" t="str">
            <v>n.a.</v>
          </cell>
          <cell r="CG62">
            <v>9707078000</v>
          </cell>
          <cell r="CH62">
            <v>8376797000</v>
          </cell>
          <cell r="CI62" t="str">
            <v>n.a.</v>
          </cell>
          <cell r="CJ62" t="str">
            <v>n.a.</v>
          </cell>
          <cell r="CK62">
            <v>10951306000</v>
          </cell>
          <cell r="CL62">
            <v>9998303000</v>
          </cell>
          <cell r="CM62" t="str">
            <v>n.a.</v>
          </cell>
          <cell r="CN62" t="str">
            <v>n.a.</v>
          </cell>
          <cell r="CO62">
            <v>1011858000</v>
          </cell>
          <cell r="CP62">
            <v>1851450000</v>
          </cell>
          <cell r="CQ62" t="str">
            <v>n.a.</v>
          </cell>
          <cell r="CR62" t="str">
            <v>n.a.</v>
          </cell>
          <cell r="CS62">
            <v>44742000</v>
          </cell>
          <cell r="CT62">
            <v>116216000</v>
          </cell>
          <cell r="CU62" t="str">
            <v>n.a.</v>
          </cell>
          <cell r="CV62" t="str">
            <v>n.a.</v>
          </cell>
          <cell r="CW62">
            <v>8000</v>
          </cell>
          <cell r="CX62">
            <v>9000</v>
          </cell>
          <cell r="CY62" t="str">
            <v>n.a.</v>
          </cell>
          <cell r="CZ62" t="str">
            <v>n.a.</v>
          </cell>
          <cell r="DA62">
            <v>205889000</v>
          </cell>
          <cell r="DB62">
            <v>200327000</v>
          </cell>
          <cell r="DC62" t="str">
            <v>n.a.</v>
          </cell>
          <cell r="DD62" t="str">
            <v>n.a.</v>
          </cell>
          <cell r="DE62">
            <v>27221794000</v>
          </cell>
          <cell r="DF62">
            <v>26085862000</v>
          </cell>
          <cell r="DG62" t="str">
            <v>无数据</v>
          </cell>
          <cell r="DH62" t="str">
            <v>n.a.</v>
          </cell>
          <cell r="DI62" t="str">
            <v>n.a.</v>
          </cell>
          <cell r="DJ62" t="str">
            <v>n.a.</v>
          </cell>
          <cell r="DK62" t="str">
            <v>无数据</v>
          </cell>
          <cell r="DL62" t="e">
            <v>#VALUE!</v>
          </cell>
          <cell r="DM62" t="e">
            <v>#VALUE!</v>
          </cell>
          <cell r="DN62" t="str">
            <v>n.a.</v>
          </cell>
          <cell r="DO62" t="e">
            <v>#VALUE!</v>
          </cell>
          <cell r="DP62" t="e">
            <v>#VALUE!</v>
          </cell>
          <cell r="DR62" t="str">
            <v>无数据</v>
          </cell>
          <cell r="DS62" t="str">
            <v>n.a.</v>
          </cell>
          <cell r="DT62" t="str">
            <v>n.a.</v>
          </cell>
          <cell r="DU62" t="str">
            <v>n.a.</v>
          </cell>
          <cell r="DV62" t="str">
            <v>无数据</v>
          </cell>
          <cell r="DW62" t="e">
            <v>#VALUE!</v>
          </cell>
          <cell r="DX62" t="e">
            <v>#VALUE!</v>
          </cell>
          <cell r="DY62" t="str">
            <v>n.a.</v>
          </cell>
          <cell r="DZ62" t="e">
            <v>#VALUE!</v>
          </cell>
          <cell r="EA62" t="e">
            <v>#VALUE!</v>
          </cell>
          <cell r="EC62">
            <v>9014045000</v>
          </cell>
          <cell r="ED62">
            <v>-6872010000</v>
          </cell>
          <cell r="EE62">
            <v>-291063000</v>
          </cell>
          <cell r="EF62">
            <v>-327956000</v>
          </cell>
          <cell r="EG62">
            <v>1523016000</v>
          </cell>
          <cell r="EH62">
            <v>0.16896032802143801</v>
          </cell>
          <cell r="EI62">
            <v>0.203311988246208</v>
          </cell>
          <cell r="EJ62">
            <v>-3713000</v>
          </cell>
          <cell r="EK62">
            <v>9041937500</v>
          </cell>
          <cell r="EL62">
            <v>203108000</v>
          </cell>
          <cell r="EN62" t="e">
            <v>#VALUE!</v>
          </cell>
          <cell r="EO62" t="e">
            <v>#VALUE!</v>
          </cell>
          <cell r="EP62" t="e">
            <v>#VALUE!</v>
          </cell>
          <cell r="EQ62" t="e">
            <v>#VALUE!</v>
          </cell>
          <cell r="ER62" t="e">
            <v>#VALUE!</v>
          </cell>
          <cell r="ES62" t="e">
            <v>#VALUE!</v>
          </cell>
          <cell r="ET62" t="e">
            <v>#VALUE!</v>
          </cell>
        </row>
        <row r="63">
          <cell r="B63" t="str">
            <v>ITSHANBUL CO.,LTD.</v>
          </cell>
          <cell r="C63" t="str">
            <v>exclude</v>
          </cell>
          <cell r="D63" t="str">
            <v>Independence(A+, A, A-, U)</v>
          </cell>
          <cell r="H63" t="str">
            <v/>
          </cell>
          <cell r="J63" t="str">
            <v>exclude</v>
          </cell>
          <cell r="K63" t="str">
            <v>Independence(A+, A, A-, U)</v>
          </cell>
          <cell r="M63" t="str">
            <v>ITSHANBUL CO.,LTD.</v>
          </cell>
          <cell r="N63" t="str">
            <v>The company is engaged in the wholesale distribution of drugs and druggists' sundries. It was incorporated in February of the year 2006. The registered head office of the company is located in the city of Seoul, Republic of Korea. The company is primarily involved in the merchant wholesale distribution of biological and medical products; botanical drugs and herbs; and pharmaceutical products intended for internal and external consumption in such forms as ampoules, tablets, capsules, vials, ointments, powders, solutions, and suspensions. It principally conducts its business operations within the country.</v>
          </cell>
          <cell r="O63" t="str">
            <v>Wholesale</v>
          </cell>
          <cell r="P63" t="str">
            <v>www.itshanbul.com</v>
          </cell>
          <cell r="R63" t="str">
            <v>Republic of Korea</v>
          </cell>
          <cell r="S63" t="str">
            <v>226320</v>
          </cell>
          <cell r="T63" t="str">
            <v>B+</v>
          </cell>
          <cell r="U63" t="str">
            <v>2844</v>
          </cell>
          <cell r="V63" t="str">
            <v>Engaged in the wholesale distribution of drugs and druggists' sundries</v>
          </cell>
          <cell r="W63" t="str">
            <v>- The company was established for the purpose of manufacturing and selling cosmetics and changed it''s company name after the merge with It''s Skin Co., Ltd. in May, 2017- The company was established for the purpose of manufacturing and selling cosmetics and changed it''s company name after the merge with It''s Skin Co., Ltd. in May, 2017- Subsidiaries include Neopam, ItzSkinChina and Hanbok Cosmetics (Australia) Co., Ltd., a subsidiary in China. In January 2018, Company established New Korea Korea and acquired Anne in July.</v>
          </cell>
          <cell r="X63" t="str">
            <v>IT'S SKIN CO.,LTD.</v>
          </cell>
          <cell r="Z63" t="str">
            <v>KR1101113394048</v>
          </cell>
          <cell r="AA63">
            <v>130714133000</v>
          </cell>
          <cell r="AB63">
            <v>140177794000</v>
          </cell>
          <cell r="AC63">
            <v>146378359000</v>
          </cell>
          <cell r="AD63">
            <v>202551773000</v>
          </cell>
          <cell r="AE63">
            <v>130714133000</v>
          </cell>
          <cell r="AF63">
            <v>140177794000</v>
          </cell>
          <cell r="AG63">
            <v>146378359000</v>
          </cell>
          <cell r="AH63">
            <v>202551773000</v>
          </cell>
          <cell r="AI63" t="str">
            <v>n.a.</v>
          </cell>
          <cell r="AJ63" t="str">
            <v>n.a.</v>
          </cell>
          <cell r="AK63" t="str">
            <v>n.a.</v>
          </cell>
          <cell r="AL63" t="str">
            <v>n.a.</v>
          </cell>
          <cell r="AM63">
            <v>130714133000</v>
          </cell>
          <cell r="AN63">
            <v>140177794000</v>
          </cell>
          <cell r="AO63">
            <v>146378359000</v>
          </cell>
          <cell r="AP63">
            <v>202551773000</v>
          </cell>
          <cell r="AQ63" t="str">
            <v>n.a.</v>
          </cell>
          <cell r="AR63" t="str">
            <v>n.a.</v>
          </cell>
          <cell r="AS63" t="str">
            <v>n.a.</v>
          </cell>
          <cell r="AT63" t="str">
            <v>n.a.</v>
          </cell>
          <cell r="AU63">
            <v>-57350313000</v>
          </cell>
          <cell r="AV63">
            <v>-63898305000</v>
          </cell>
          <cell r="AW63">
            <v>-67339277000</v>
          </cell>
          <cell r="AX63">
            <v>-89397296000</v>
          </cell>
          <cell r="AY63">
            <v>-5142305000</v>
          </cell>
          <cell r="AZ63">
            <v>-6061078000</v>
          </cell>
          <cell r="BA63">
            <v>-6522901000</v>
          </cell>
          <cell r="BB63">
            <v>-6670450000</v>
          </cell>
          <cell r="BC63">
            <v>-59861128000</v>
          </cell>
          <cell r="BD63">
            <v>-65137445000</v>
          </cell>
          <cell r="BE63">
            <v>-64642634000</v>
          </cell>
          <cell r="BF63">
            <v>-88890070000</v>
          </cell>
          <cell r="BG63">
            <v>8360387000</v>
          </cell>
          <cell r="BH63">
            <v>5080966000</v>
          </cell>
          <cell r="BI63">
            <v>7873547000</v>
          </cell>
          <cell r="BJ63">
            <v>17593957000</v>
          </cell>
          <cell r="BK63">
            <v>-3551506000</v>
          </cell>
          <cell r="BL63">
            <v>-4326211000</v>
          </cell>
          <cell r="BM63">
            <v>-4118284000</v>
          </cell>
          <cell r="BN63">
            <v>-4600733000</v>
          </cell>
          <cell r="BO63">
            <v>-2383160000</v>
          </cell>
          <cell r="BP63">
            <v>-3083930000</v>
          </cell>
          <cell r="BQ63">
            <v>-2862755000</v>
          </cell>
          <cell r="BR63">
            <v>-4086014000</v>
          </cell>
          <cell r="BS63">
            <v>-1168346000</v>
          </cell>
          <cell r="BT63">
            <v>-1242281000</v>
          </cell>
          <cell r="BU63">
            <v>-1255529000</v>
          </cell>
          <cell r="BV63">
            <v>-514719000</v>
          </cell>
          <cell r="BW63">
            <v>-6824962000</v>
          </cell>
          <cell r="BX63">
            <v>-17436984000</v>
          </cell>
          <cell r="BY63">
            <v>-14215275000</v>
          </cell>
          <cell r="BZ63">
            <v>-4718772000</v>
          </cell>
          <cell r="CA63">
            <v>340773072000</v>
          </cell>
          <cell r="CB63">
            <v>358263961000</v>
          </cell>
          <cell r="CC63">
            <v>368726765000</v>
          </cell>
          <cell r="CD63">
            <v>391093532000</v>
          </cell>
          <cell r="CE63">
            <v>22352688000</v>
          </cell>
          <cell r="CF63">
            <v>24414538000</v>
          </cell>
          <cell r="CG63">
            <v>30717783000</v>
          </cell>
          <cell r="CH63">
            <v>34319967000</v>
          </cell>
          <cell r="CI63">
            <v>10262768000</v>
          </cell>
          <cell r="CJ63">
            <v>12236968000</v>
          </cell>
          <cell r="CK63">
            <v>15903028000</v>
          </cell>
          <cell r="CL63">
            <v>20066810000</v>
          </cell>
          <cell r="CM63">
            <v>268893899000</v>
          </cell>
          <cell r="CN63">
            <v>290325197000</v>
          </cell>
          <cell r="CO63">
            <v>266295688000</v>
          </cell>
          <cell r="CP63">
            <v>308273017000</v>
          </cell>
          <cell r="CQ63">
            <v>35025917000</v>
          </cell>
          <cell r="CR63">
            <v>28453939000</v>
          </cell>
          <cell r="CS63">
            <v>52514155000</v>
          </cell>
          <cell r="CT63">
            <v>22754923000</v>
          </cell>
          <cell r="CU63">
            <v>8380061000</v>
          </cell>
          <cell r="CV63">
            <v>9298022000</v>
          </cell>
          <cell r="CW63">
            <v>3164944000</v>
          </cell>
          <cell r="CX63">
            <v>3633460000</v>
          </cell>
          <cell r="CY63">
            <v>13508805000</v>
          </cell>
          <cell r="CZ63">
            <v>14450037000</v>
          </cell>
          <cell r="DA63">
            <v>14583738000</v>
          </cell>
          <cell r="DB63">
            <v>17188000000</v>
          </cell>
          <cell r="DC63">
            <v>486153356000</v>
          </cell>
          <cell r="DD63">
            <v>494667178000</v>
          </cell>
          <cell r="DE63">
            <v>508119345000</v>
          </cell>
          <cell r="DF63">
            <v>539412881000</v>
          </cell>
          <cell r="DG63">
            <v>130714133000</v>
          </cell>
          <cell r="DH63">
            <v>-57350313000</v>
          </cell>
          <cell r="DI63">
            <v>-65003433000</v>
          </cell>
          <cell r="DJ63">
            <v>-3551506000</v>
          </cell>
          <cell r="DK63">
            <v>4808881000</v>
          </cell>
          <cell r="DL63">
            <v>3.6789296533068797E-2</v>
          </cell>
          <cell r="DM63">
            <v>3.81944432310099E-2</v>
          </cell>
          <cell r="DN63">
            <v>-5142305000</v>
          </cell>
          <cell r="DO63">
            <v>23383613000</v>
          </cell>
          <cell r="DP63">
            <v>13979421000</v>
          </cell>
          <cell r="DR63">
            <v>140177794000</v>
          </cell>
          <cell r="DS63">
            <v>-63898305000</v>
          </cell>
          <cell r="DT63">
            <v>-71198523000</v>
          </cell>
          <cell r="DU63">
            <v>-4326211000</v>
          </cell>
          <cell r="DV63">
            <v>754755000</v>
          </cell>
          <cell r="DW63">
            <v>5.3842693515350898E-3</v>
          </cell>
          <cell r="DX63">
            <v>5.4134166448631203E-3</v>
          </cell>
          <cell r="DY63">
            <v>-6061078000</v>
          </cell>
          <cell r="DZ63">
            <v>27566160500</v>
          </cell>
          <cell r="EA63">
            <v>14516887500</v>
          </cell>
          <cell r="EC63">
            <v>146378359000</v>
          </cell>
          <cell r="ED63">
            <v>-67339277000</v>
          </cell>
          <cell r="EE63">
            <v>-71165535000</v>
          </cell>
          <cell r="EF63">
            <v>-4118284000</v>
          </cell>
          <cell r="EG63">
            <v>3755263000</v>
          </cell>
          <cell r="EH63">
            <v>2.56544958261214E-2</v>
          </cell>
          <cell r="EI63">
            <v>2.6329978140426799E-2</v>
          </cell>
          <cell r="EJ63">
            <v>-6522901000</v>
          </cell>
          <cell r="EK63">
            <v>32518875000</v>
          </cell>
          <cell r="EL63">
            <v>15885869000</v>
          </cell>
          <cell r="EN63">
            <v>139090095333.33301</v>
          </cell>
          <cell r="EO63">
            <v>-62862631666.666702</v>
          </cell>
          <cell r="EP63">
            <v>-69122497000</v>
          </cell>
          <cell r="EQ63">
            <v>-3998667000</v>
          </cell>
          <cell r="ER63">
            <v>3106299666.6666899</v>
          </cell>
          <cell r="ES63">
            <v>2.2333004080717301E-2</v>
          </cell>
          <cell r="ET63">
            <v>2.2843160476863501E-2</v>
          </cell>
        </row>
        <row r="64">
          <cell r="B64" t="str">
            <v>C&amp;C INTERNATIONAL CO., LTD.</v>
          </cell>
          <cell r="C64" t="str">
            <v>exclude</v>
          </cell>
          <cell r="D64" t="str">
            <v>Independence(A+, A, A-, U)</v>
          </cell>
          <cell r="H64" t="str">
            <v/>
          </cell>
          <cell r="J64" t="str">
            <v>exclude</v>
          </cell>
          <cell r="K64" t="str">
            <v>Independence(A+, A, A-, U)</v>
          </cell>
          <cell r="M64" t="str">
            <v>C&amp;C INTERNATIONAL CO., LTD.</v>
          </cell>
          <cell r="N64" t="str">
            <v>This company, with registered head office located in Hwaseong-Si, Republic of Korea, is engaged in the manufacture of cosmetics. It offers innovative products, reasonable price, and the highest quality service with constant research and development. Through its effort, it aims to be a great company in the color cosmetic industry. It makes every effort to improve quality of the products and technical development in order to make a world's best color cosmetics for point make up. The company was established in 1997. It has exported to Southeast Asian nations such as Thailand, Taiwan, Malaysia and Japan. Currently, the company also exports to major prestige and mass brands in Europe, the United States and the United Kingdom.</v>
          </cell>
          <cell r="O64" t="str">
            <v>Manufacturing</v>
          </cell>
          <cell r="P64" t="str">
            <v>www.cnccosmetic.com</v>
          </cell>
          <cell r="R64" t="str">
            <v>Republic of Korea</v>
          </cell>
          <cell r="S64" t="str">
            <v>352480</v>
          </cell>
          <cell r="T64" t="str">
            <v>B+</v>
          </cell>
          <cell r="U64" t="str">
            <v>2844</v>
          </cell>
          <cell r="V64" t="str">
            <v>Engaged in the manufacture of cosmetics</v>
          </cell>
          <cell r="W64" t="str">
            <v>Engaged in the manufacture of cosmetics [source: Bureau van Dijk]</v>
          </cell>
          <cell r="X64" t="str">
            <v>C&amp;C INTERNATIONAL CORPORATION</v>
          </cell>
          <cell r="Z64" t="str">
            <v>KR1358110238402</v>
          </cell>
          <cell r="AA64">
            <v>130605728000</v>
          </cell>
          <cell r="AB64">
            <v>91293592000</v>
          </cell>
          <cell r="AC64">
            <v>89611804000</v>
          </cell>
          <cell r="AD64">
            <v>81598178000</v>
          </cell>
          <cell r="AE64">
            <v>130605728000</v>
          </cell>
          <cell r="AF64">
            <v>91293592000</v>
          </cell>
          <cell r="AG64">
            <v>89611804000</v>
          </cell>
          <cell r="AH64">
            <v>81598178000</v>
          </cell>
          <cell r="AI64" t="str">
            <v>n.a.</v>
          </cell>
          <cell r="AJ64" t="str">
            <v>n.a.</v>
          </cell>
          <cell r="AK64" t="str">
            <v>n.a.</v>
          </cell>
          <cell r="AL64" t="str">
            <v>n.a.</v>
          </cell>
          <cell r="AM64">
            <v>130605728000</v>
          </cell>
          <cell r="AN64">
            <v>91293592000</v>
          </cell>
          <cell r="AO64">
            <v>89611804000</v>
          </cell>
          <cell r="AP64">
            <v>81598178000</v>
          </cell>
          <cell r="AQ64" t="str">
            <v>n.a.</v>
          </cell>
          <cell r="AR64" t="str">
            <v>n.a.</v>
          </cell>
          <cell r="AS64" t="str">
            <v>n.a.</v>
          </cell>
          <cell r="AT64" t="str">
            <v>n.a.</v>
          </cell>
          <cell r="AU64">
            <v>-102681793000</v>
          </cell>
          <cell r="AV64">
            <v>-81120827000</v>
          </cell>
          <cell r="AW64">
            <v>-69105994000</v>
          </cell>
          <cell r="AX64">
            <v>-65452781000</v>
          </cell>
          <cell r="AY64" t="str">
            <v>n.a.</v>
          </cell>
          <cell r="AZ64" t="str">
            <v>n.a.</v>
          </cell>
          <cell r="BA64" t="str">
            <v>n.a.</v>
          </cell>
          <cell r="BB64" t="str">
            <v>n.a.</v>
          </cell>
          <cell r="BC64">
            <v>-9503631000</v>
          </cell>
          <cell r="BD64">
            <v>-7123020000</v>
          </cell>
          <cell r="BE64">
            <v>-5312719000</v>
          </cell>
          <cell r="BF64">
            <v>-5580604000</v>
          </cell>
          <cell r="BG64">
            <v>18420304000</v>
          </cell>
          <cell r="BH64">
            <v>3049745000</v>
          </cell>
          <cell r="BI64">
            <v>15193091000</v>
          </cell>
          <cell r="BJ64">
            <v>10564793000</v>
          </cell>
          <cell r="BK64">
            <v>-967807000</v>
          </cell>
          <cell r="BL64">
            <v>-797516000</v>
          </cell>
          <cell r="BM64">
            <v>-831549000</v>
          </cell>
          <cell r="BN64">
            <v>-810985000</v>
          </cell>
          <cell r="BO64">
            <v>-815376000</v>
          </cell>
          <cell r="BP64">
            <v>-649454000</v>
          </cell>
          <cell r="BQ64">
            <v>-696737000</v>
          </cell>
          <cell r="BR64">
            <v>-704981000</v>
          </cell>
          <cell r="BS64">
            <v>-152431000</v>
          </cell>
          <cell r="BT64">
            <v>-148062000</v>
          </cell>
          <cell r="BU64">
            <v>-134812000</v>
          </cell>
          <cell r="BV64">
            <v>-106004000</v>
          </cell>
          <cell r="BW64">
            <v>16459826000</v>
          </cell>
          <cell r="BX64">
            <v>-5910401000</v>
          </cell>
          <cell r="BY64">
            <v>9744697000</v>
          </cell>
          <cell r="BZ64">
            <v>6636899000</v>
          </cell>
          <cell r="CA64">
            <v>101889959000</v>
          </cell>
          <cell r="CB64">
            <v>81647455000</v>
          </cell>
          <cell r="CC64">
            <v>49032895000</v>
          </cell>
          <cell r="CD64">
            <v>52043975000</v>
          </cell>
          <cell r="CE64">
            <v>18537068000</v>
          </cell>
          <cell r="CF64">
            <v>10753612000</v>
          </cell>
          <cell r="CG64">
            <v>8859026000</v>
          </cell>
          <cell r="CH64">
            <v>6687246000</v>
          </cell>
          <cell r="CI64">
            <v>21033457000</v>
          </cell>
          <cell r="CJ64">
            <v>11250573000</v>
          </cell>
          <cell r="CK64">
            <v>8461746000</v>
          </cell>
          <cell r="CL64">
            <v>11304249000</v>
          </cell>
          <cell r="CM64">
            <v>1444821000</v>
          </cell>
          <cell r="CN64">
            <v>43126454000</v>
          </cell>
          <cell r="CO64">
            <v>2114852000</v>
          </cell>
          <cell r="CP64">
            <v>6381821000</v>
          </cell>
          <cell r="CQ64">
            <v>58770351000</v>
          </cell>
          <cell r="CR64">
            <v>16099639000</v>
          </cell>
          <cell r="CS64">
            <v>29594584000</v>
          </cell>
          <cell r="CT64">
            <v>27652047000</v>
          </cell>
          <cell r="CU64">
            <v>3764387000</v>
          </cell>
          <cell r="CV64" t="str">
            <v>n.a.</v>
          </cell>
          <cell r="CW64">
            <v>7079029000</v>
          </cell>
          <cell r="CX64">
            <v>20666387000</v>
          </cell>
          <cell r="CY64">
            <v>2084695000</v>
          </cell>
          <cell r="CZ64">
            <v>989882000</v>
          </cell>
          <cell r="DA64">
            <v>29697448000</v>
          </cell>
          <cell r="DB64">
            <v>5751900000</v>
          </cell>
          <cell r="DC64">
            <v>178950669000</v>
          </cell>
          <cell r="DD64">
            <v>159731802000</v>
          </cell>
          <cell r="DE64">
            <v>120118631000</v>
          </cell>
          <cell r="DF64">
            <v>98495935000</v>
          </cell>
          <cell r="DG64">
            <v>130605728000</v>
          </cell>
          <cell r="DH64">
            <v>-102681793000</v>
          </cell>
          <cell r="DI64">
            <v>-9503631000</v>
          </cell>
          <cell r="DJ64">
            <v>-967807000</v>
          </cell>
          <cell r="DK64">
            <v>17452497000</v>
          </cell>
          <cell r="DL64">
            <v>0.13362734749275301</v>
          </cell>
          <cell r="DM64">
            <v>0.15423772565539901</v>
          </cell>
          <cell r="DN64" t="str">
            <v>n.a.</v>
          </cell>
          <cell r="DO64">
            <v>14645340000</v>
          </cell>
          <cell r="DP64">
            <v>1537288500</v>
          </cell>
          <cell r="DR64">
            <v>91293592000</v>
          </cell>
          <cell r="DS64">
            <v>-81120827000</v>
          </cell>
          <cell r="DT64">
            <v>-7123020000</v>
          </cell>
          <cell r="DU64">
            <v>-797516000</v>
          </cell>
          <cell r="DV64">
            <v>2252229000</v>
          </cell>
          <cell r="DW64">
            <v>2.4670176193746399E-2</v>
          </cell>
          <cell r="DX64">
            <v>2.5294188275172699E-2</v>
          </cell>
          <cell r="DY64" t="str">
            <v>n.a.</v>
          </cell>
          <cell r="DZ64">
            <v>9806319000</v>
          </cell>
          <cell r="EA64">
            <v>15343665000</v>
          </cell>
          <cell r="EC64">
            <v>89611804000</v>
          </cell>
          <cell r="ED64">
            <v>-69105994000</v>
          </cell>
          <cell r="EE64">
            <v>-5312719000</v>
          </cell>
          <cell r="EF64">
            <v>-831549000</v>
          </cell>
          <cell r="EG64">
            <v>14361542000</v>
          </cell>
          <cell r="EH64">
            <v>0.16026395361932499</v>
          </cell>
          <cell r="EI64">
            <v>0.19085039198933301</v>
          </cell>
          <cell r="EJ64" t="str">
            <v>n.a.</v>
          </cell>
          <cell r="EK64">
            <v>7773136000</v>
          </cell>
          <cell r="EL64">
            <v>17724674000</v>
          </cell>
          <cell r="EN64">
            <v>103837041333.33299</v>
          </cell>
          <cell r="EO64">
            <v>-84302871333.333298</v>
          </cell>
          <cell r="EP64">
            <v>-7313123333.3333302</v>
          </cell>
          <cell r="EQ64">
            <v>-865624000</v>
          </cell>
          <cell r="ER64">
            <v>11355422666.6667</v>
          </cell>
          <cell r="ES64">
            <v>0.109358110755621</v>
          </cell>
          <cell r="ET64">
            <v>0.122785725751571</v>
          </cell>
        </row>
        <row r="65">
          <cell r="B65" t="str">
            <v>TONYMOLY CO.,LTD.</v>
          </cell>
          <cell r="C65" t="str">
            <v>exclude</v>
          </cell>
          <cell r="D65" t="str">
            <v>Independence(A+, A, A-, U)</v>
          </cell>
          <cell r="H65" t="str">
            <v/>
          </cell>
          <cell r="J65" t="str">
            <v>exclude</v>
          </cell>
          <cell r="K65" t="str">
            <v>Independence(A+, A, A-, U)</v>
          </cell>
          <cell r="M65" t="str">
            <v>TONYMOLY CO.,LTD.</v>
          </cell>
          <cell r="N65" t="str">
            <v>The company is engaged manufacturing soaps, cleaning compounds, and toilet preparations. It was incorporated in 2006 and has its registered head office strategically located in Seoul, Republic of Korea. The company specializes in manufacturing and packaging prestige crystal lipstick, fact shine finish luminous, intense repair sunscreen snail, honey-non-skin solutions dual mask, and pore tightening spot plough Australia. The company has a state-of-the-art plant and facilities capable of producing soap and cleaning compounds, as well as employs staff and trained repair persons with specialized technical skills in manufacturing. Its products and other care items are distributed from fixed point-of-sale locations in Seoul.</v>
          </cell>
          <cell r="O65" t="str">
            <v>Manufacturing</v>
          </cell>
          <cell r="P65" t="str">
            <v>www.tonystreet.com</v>
          </cell>
          <cell r="R65" t="str">
            <v>Republic of Korea</v>
          </cell>
          <cell r="S65" t="str">
            <v>214420</v>
          </cell>
          <cell r="T65" t="str">
            <v>B</v>
          </cell>
          <cell r="U65" t="str">
            <v>2844</v>
          </cell>
          <cell r="V65" t="str">
            <v>Engaged manufacturing soaps, cleaning compounds, and toilet preparations</v>
          </cell>
          <cell r="W65" t="str">
            <v>- Established in July 2006 for the purpose of manufacturing and selling cosmetics and franchising, and has a number of brand shops and listed on the securities market in July 2015.- The products are produced by outsourcing production method and are mainly produced by Korea Kolmar Co., Cosmax Co., Ltd. and Kosemeca Korea Co., Ltd., which are the three largest domestic cosmetics manufacturers in Korea.- In order to develop cosmetics OEM / ODM business for domestic and overseas cosmetics maker Megacos acquired, the production plant was completed in Hwaseong Bio Valley, Gyeonggi Province in May 2017, and a factory is being established in China.</v>
          </cell>
          <cell r="Z65" t="str">
            <v>KR1101113500249</v>
          </cell>
          <cell r="AA65">
            <v>126745016000</v>
          </cell>
          <cell r="AB65">
            <v>114648138000</v>
          </cell>
          <cell r="AC65">
            <v>113458576000</v>
          </cell>
          <cell r="AD65">
            <v>172026783000</v>
          </cell>
          <cell r="AE65">
            <v>126745016000</v>
          </cell>
          <cell r="AF65">
            <v>114648138000</v>
          </cell>
          <cell r="AG65">
            <v>113458576000</v>
          </cell>
          <cell r="AH65">
            <v>172026783000</v>
          </cell>
          <cell r="AI65" t="str">
            <v>n.a.</v>
          </cell>
          <cell r="AJ65" t="str">
            <v>n.a.</v>
          </cell>
          <cell r="AK65" t="str">
            <v>n.a.</v>
          </cell>
          <cell r="AL65" t="str">
            <v>n.a.</v>
          </cell>
          <cell r="AM65">
            <v>126745016000</v>
          </cell>
          <cell r="AN65">
            <v>114648138000</v>
          </cell>
          <cell r="AO65">
            <v>113458576000</v>
          </cell>
          <cell r="AP65">
            <v>172026783000</v>
          </cell>
          <cell r="AQ65" t="str">
            <v>n.a.</v>
          </cell>
          <cell r="AR65" t="str">
            <v>n.a.</v>
          </cell>
          <cell r="AS65" t="str">
            <v>n.a.</v>
          </cell>
          <cell r="AT65" t="str">
            <v>n.a.</v>
          </cell>
          <cell r="AU65">
            <v>-65987090000</v>
          </cell>
          <cell r="AV65">
            <v>-59168932000</v>
          </cell>
          <cell r="AW65">
            <v>-57343829000</v>
          </cell>
          <cell r="AX65">
            <v>-71433495000</v>
          </cell>
          <cell r="AY65" t="str">
            <v>n.a.</v>
          </cell>
          <cell r="AZ65" t="str">
            <v>n.a.</v>
          </cell>
          <cell r="BA65" t="str">
            <v>n.a.</v>
          </cell>
          <cell r="BB65" t="str">
            <v>n.a.</v>
          </cell>
          <cell r="BC65">
            <v>-62759548000</v>
          </cell>
          <cell r="BD65">
            <v>-61918470000</v>
          </cell>
          <cell r="BE65">
            <v>-73736693000</v>
          </cell>
          <cell r="BF65">
            <v>-91056663000</v>
          </cell>
          <cell r="BG65">
            <v>-2001622000</v>
          </cell>
          <cell r="BH65">
            <v>-6439264000</v>
          </cell>
          <cell r="BI65">
            <v>-17621946000</v>
          </cell>
          <cell r="BJ65">
            <v>9536625000</v>
          </cell>
          <cell r="BK65">
            <v>-5256629000</v>
          </cell>
          <cell r="BL65">
            <v>-7090294000</v>
          </cell>
          <cell r="BM65">
            <v>-7909031000</v>
          </cell>
          <cell r="BN65">
            <v>-9811618000</v>
          </cell>
          <cell r="BO65">
            <v>-5256629000</v>
          </cell>
          <cell r="BP65">
            <v>-7090294000</v>
          </cell>
          <cell r="BQ65">
            <v>-7909031000</v>
          </cell>
          <cell r="BR65">
            <v>-9811618000</v>
          </cell>
          <cell r="BS65" t="str">
            <v>n.a.</v>
          </cell>
          <cell r="BT65" t="str">
            <v>n.a.</v>
          </cell>
          <cell r="BU65" t="str">
            <v>n.a.</v>
          </cell>
          <cell r="BV65" t="str">
            <v>n.a.</v>
          </cell>
          <cell r="BW65">
            <v>-81591000</v>
          </cell>
          <cell r="BX65">
            <v>-6943734000</v>
          </cell>
          <cell r="BY65">
            <v>-37856927000</v>
          </cell>
          <cell r="BZ65">
            <v>-5434933000</v>
          </cell>
          <cell r="CA65">
            <v>70019473000</v>
          </cell>
          <cell r="CB65">
            <v>65609634000</v>
          </cell>
          <cell r="CC65">
            <v>78043937000</v>
          </cell>
          <cell r="CD65">
            <v>120845338000</v>
          </cell>
          <cell r="CE65">
            <v>18171861000</v>
          </cell>
          <cell r="CF65">
            <v>18014861000</v>
          </cell>
          <cell r="CG65">
            <v>21001092000</v>
          </cell>
          <cell r="CH65">
            <v>25075322000</v>
          </cell>
          <cell r="CI65">
            <v>15363993000</v>
          </cell>
          <cell r="CJ65">
            <v>14601018000</v>
          </cell>
          <cell r="CK65">
            <v>14819326000</v>
          </cell>
          <cell r="CL65">
            <v>28821191000</v>
          </cell>
          <cell r="CM65">
            <v>19967048000</v>
          </cell>
          <cell r="CN65">
            <v>11927776000</v>
          </cell>
          <cell r="CO65">
            <v>11621845000</v>
          </cell>
          <cell r="CP65">
            <v>7898700000</v>
          </cell>
          <cell r="CQ65">
            <v>14208486000</v>
          </cell>
          <cell r="CR65">
            <v>18557496000</v>
          </cell>
          <cell r="CS65">
            <v>25526292000</v>
          </cell>
          <cell r="CT65">
            <v>54011877000</v>
          </cell>
          <cell r="CU65">
            <v>1693584000</v>
          </cell>
          <cell r="CV65">
            <v>5032165000</v>
          </cell>
          <cell r="CW65">
            <v>8497356000</v>
          </cell>
          <cell r="CX65" t="str">
            <v>n.a.</v>
          </cell>
          <cell r="CY65">
            <v>586244000</v>
          </cell>
          <cell r="CZ65">
            <v>13403099000</v>
          </cell>
          <cell r="DA65">
            <v>13031554000</v>
          </cell>
          <cell r="DB65">
            <v>18616375000</v>
          </cell>
          <cell r="DC65">
            <v>199062054000</v>
          </cell>
          <cell r="DD65">
            <v>202095813000</v>
          </cell>
          <cell r="DE65">
            <v>194228001000</v>
          </cell>
          <cell r="DF65">
            <v>240877330000</v>
          </cell>
          <cell r="DG65">
            <v>126745016000</v>
          </cell>
          <cell r="DH65">
            <v>-65987090000</v>
          </cell>
          <cell r="DI65">
            <v>-62759548000</v>
          </cell>
          <cell r="DJ65">
            <v>-5256629000</v>
          </cell>
          <cell r="DK65">
            <v>-7258251000</v>
          </cell>
          <cell r="DL65">
            <v>-5.7266559499270599E-2</v>
          </cell>
          <cell r="DM65">
            <v>-5.4164731670310703E-2</v>
          </cell>
          <cell r="DN65" t="str">
            <v>n.a.</v>
          </cell>
          <cell r="DO65">
            <v>18093361000</v>
          </cell>
          <cell r="DP65">
            <v>6994671500</v>
          </cell>
          <cell r="DR65">
            <v>114648138000</v>
          </cell>
          <cell r="DS65">
            <v>-59168932000</v>
          </cell>
          <cell r="DT65">
            <v>-61918470000</v>
          </cell>
          <cell r="DU65">
            <v>-7090294000</v>
          </cell>
          <cell r="DV65">
            <v>-13529558000</v>
          </cell>
          <cell r="DW65">
            <v>-0.118009400204999</v>
          </cell>
          <cell r="DX65">
            <v>-0.105553137731544</v>
          </cell>
          <cell r="DY65" t="str">
            <v>n.a.</v>
          </cell>
          <cell r="DZ65">
            <v>19507976500</v>
          </cell>
          <cell r="EA65">
            <v>13217326500</v>
          </cell>
          <cell r="EC65">
            <v>113458576000</v>
          </cell>
          <cell r="ED65">
            <v>-57343829000</v>
          </cell>
          <cell r="EE65">
            <v>-73736693000</v>
          </cell>
          <cell r="EF65">
            <v>-7909031000</v>
          </cell>
          <cell r="EG65">
            <v>-25530977000</v>
          </cell>
          <cell r="EH65">
            <v>-0.225024655694603</v>
          </cell>
          <cell r="EI65">
            <v>-0.183689899340852</v>
          </cell>
          <cell r="EJ65" t="str">
            <v>n.a.</v>
          </cell>
          <cell r="EK65">
            <v>23038207000</v>
          </cell>
          <cell r="EL65">
            <v>15823964500</v>
          </cell>
          <cell r="EN65">
            <v>118283910000</v>
          </cell>
          <cell r="EO65">
            <v>-60833283666.666702</v>
          </cell>
          <cell r="EP65">
            <v>-66138237000</v>
          </cell>
          <cell r="EQ65">
            <v>-6751984666.6666698</v>
          </cell>
          <cell r="ER65">
            <v>-15439595333.3333</v>
          </cell>
          <cell r="ES65">
            <v>-0.130529970926167</v>
          </cell>
          <cell r="ET65">
            <v>-0.115459098195541</v>
          </cell>
        </row>
        <row r="66">
          <cell r="B66" t="str">
            <v>LIUZHOU LIANGMIANZHEN CO.,LTD.</v>
          </cell>
          <cell r="C66" t="str">
            <v>exclude</v>
          </cell>
          <cell r="D66" t="str">
            <v>Independence(A+, A, A-, U)</v>
          </cell>
          <cell r="H66" t="str">
            <v/>
          </cell>
          <cell r="J66" t="str">
            <v>exclude</v>
          </cell>
          <cell r="K66" t="str">
            <v>Independence(A+, A, A-, U)</v>
          </cell>
          <cell r="M66" t="str">
            <v>LIUZHOU LIANGMIANZHEN CO.,LTD.</v>
          </cell>
          <cell r="N66" t="str">
            <v>This company is engaged in the manufacture and sale of oral hygiene products, disposable sanitary napkin and sale of medicine and metal products. It was incorporated in 1994 and is based in Liuzhou City, China.The company offers a wide range of products including cleansing tissues, disposable diapers, facial tissues, sanitary naplins, table naplins, toilet paper, paper towels, tampons, among others. These products are distributed in the local and international marketplaces.</v>
          </cell>
          <cell r="O66" t="str">
            <v>Manufacturing; Wholesale</v>
          </cell>
          <cell r="P66" t="str">
            <v>www.lmz.com.cn</v>
          </cell>
          <cell r="R66" t="str">
            <v>China</v>
          </cell>
          <cell r="S66" t="str">
            <v>600249</v>
          </cell>
          <cell r="T66" t="str">
            <v>B+</v>
          </cell>
          <cell r="U66" t="str">
            <v>2844</v>
          </cell>
          <cell r="V66" t="str">
            <v>Engaged in the manufacture and sale of oral hygiene products, disposable sanitary napkin and sale of medicine and metal products</v>
          </cell>
          <cell r="W66" t="str">
            <v>The Company mainly engaged in the  daily chemical industry, which divides business into five parts of daily, paper, medicine, fine chemical and real estate, implements the operation mode of 'related diversified development, professional management and integrated operation', and is committed to developing 'big consumption and big health' industry.</v>
          </cell>
          <cell r="Z66" t="str">
            <v>CN31584PC</v>
          </cell>
          <cell r="AA66">
            <v>666099000</v>
          </cell>
          <cell r="AB66">
            <v>714837000</v>
          </cell>
          <cell r="AC66">
            <v>681507000</v>
          </cell>
          <cell r="AD66">
            <v>1179840000</v>
          </cell>
          <cell r="AE66">
            <v>660767000</v>
          </cell>
          <cell r="AF66">
            <v>709124000</v>
          </cell>
          <cell r="AG66">
            <v>679100000</v>
          </cell>
          <cell r="AH66">
            <v>1163922000</v>
          </cell>
          <cell r="AI66">
            <v>-7371000</v>
          </cell>
          <cell r="AJ66">
            <v>-8320000</v>
          </cell>
          <cell r="AK66">
            <v>-7435000</v>
          </cell>
          <cell r="AL66">
            <v>-12004000</v>
          </cell>
          <cell r="AM66">
            <v>653396000</v>
          </cell>
          <cell r="AN66">
            <v>700804000</v>
          </cell>
          <cell r="AO66">
            <v>671665000</v>
          </cell>
          <cell r="AP66">
            <v>1151918000</v>
          </cell>
          <cell r="AQ66">
            <v>12703000</v>
          </cell>
          <cell r="AR66">
            <v>14033000</v>
          </cell>
          <cell r="AS66">
            <v>9842000</v>
          </cell>
          <cell r="AT66">
            <v>27922000</v>
          </cell>
          <cell r="AU66">
            <v>-525357000</v>
          </cell>
          <cell r="AV66">
            <v>-537677000</v>
          </cell>
          <cell r="AW66">
            <v>-504904000</v>
          </cell>
          <cell r="AX66">
            <v>-878700000</v>
          </cell>
          <cell r="AY66" t="str">
            <v>n.a.</v>
          </cell>
          <cell r="AZ66" t="str">
            <v>n.a.</v>
          </cell>
          <cell r="BA66" t="str">
            <v>n.a.</v>
          </cell>
          <cell r="BB66" t="str">
            <v>n.a.</v>
          </cell>
          <cell r="BC66">
            <v>-164817000</v>
          </cell>
          <cell r="BD66">
            <v>-169323000</v>
          </cell>
          <cell r="BE66">
            <v>-158918000</v>
          </cell>
          <cell r="BF66">
            <v>-309433000</v>
          </cell>
          <cell r="BG66">
            <v>-24075000</v>
          </cell>
          <cell r="BH66">
            <v>7837000</v>
          </cell>
          <cell r="BI66">
            <v>17685000</v>
          </cell>
          <cell r="BJ66">
            <v>-8293000</v>
          </cell>
          <cell r="BK66">
            <v>-29547000</v>
          </cell>
          <cell r="BL66">
            <v>-30517000</v>
          </cell>
          <cell r="BM66">
            <v>-29601000</v>
          </cell>
          <cell r="BN66">
            <v>-83170000</v>
          </cell>
          <cell r="BO66">
            <v>-26846000</v>
          </cell>
          <cell r="BP66">
            <v>-27135000</v>
          </cell>
          <cell r="BQ66">
            <v>-26981000</v>
          </cell>
          <cell r="BR66">
            <v>-75534000</v>
          </cell>
          <cell r="BS66">
            <v>-2701000</v>
          </cell>
          <cell r="BT66">
            <v>-3382000</v>
          </cell>
          <cell r="BU66">
            <v>-2620000</v>
          </cell>
          <cell r="BV66">
            <v>-7636000</v>
          </cell>
          <cell r="BW66">
            <v>-38586000</v>
          </cell>
          <cell r="BX66">
            <v>8658000</v>
          </cell>
          <cell r="BY66">
            <v>58049000</v>
          </cell>
          <cell r="BZ66">
            <v>-53805000</v>
          </cell>
          <cell r="CA66">
            <v>1745756000</v>
          </cell>
          <cell r="CB66">
            <v>1782639000</v>
          </cell>
          <cell r="CC66">
            <v>1811722000</v>
          </cell>
          <cell r="CD66">
            <v>1924847000</v>
          </cell>
          <cell r="CE66">
            <v>190584000</v>
          </cell>
          <cell r="CF66">
            <v>186226000</v>
          </cell>
          <cell r="CG66">
            <v>148433000</v>
          </cell>
          <cell r="CH66">
            <v>175614000</v>
          </cell>
          <cell r="CI66">
            <v>94402000</v>
          </cell>
          <cell r="CJ66">
            <v>64240000</v>
          </cell>
          <cell r="CK66">
            <v>68153000</v>
          </cell>
          <cell r="CL66">
            <v>72570000</v>
          </cell>
          <cell r="CM66">
            <v>28615000</v>
          </cell>
          <cell r="CN66">
            <v>36688000</v>
          </cell>
          <cell r="CO66">
            <v>659591000</v>
          </cell>
          <cell r="CP66">
            <v>682059000</v>
          </cell>
          <cell r="CQ66">
            <v>1408382000</v>
          </cell>
          <cell r="CR66">
            <v>1467941000</v>
          </cell>
          <cell r="CS66">
            <v>916586000</v>
          </cell>
          <cell r="CT66">
            <v>977292000</v>
          </cell>
          <cell r="CU66">
            <v>198662000</v>
          </cell>
          <cell r="CV66">
            <v>242425000</v>
          </cell>
          <cell r="CW66">
            <v>298973000</v>
          </cell>
          <cell r="CX66">
            <v>253265000</v>
          </cell>
          <cell r="CY66">
            <v>23910000</v>
          </cell>
          <cell r="CZ66">
            <v>3550000</v>
          </cell>
          <cell r="DA66">
            <v>9598000</v>
          </cell>
          <cell r="DB66">
            <v>1173000</v>
          </cell>
          <cell r="DC66">
            <v>2476174000</v>
          </cell>
          <cell r="DD66">
            <v>2524702000</v>
          </cell>
          <cell r="DE66">
            <v>2557291000</v>
          </cell>
          <cell r="DF66">
            <v>2693598000</v>
          </cell>
          <cell r="DG66">
            <v>653396000</v>
          </cell>
          <cell r="DH66">
            <v>-525357000</v>
          </cell>
          <cell r="DI66">
            <v>-164817000</v>
          </cell>
          <cell r="DJ66">
            <v>-29547000</v>
          </cell>
          <cell r="DK66">
            <v>-66325000</v>
          </cell>
          <cell r="DL66">
            <v>-0.10150812064965201</v>
          </cell>
          <cell r="DM66">
            <v>-9.2153765139547095E-2</v>
          </cell>
          <cell r="DN66" t="str">
            <v>n.a.</v>
          </cell>
          <cell r="DO66">
            <v>188405000</v>
          </cell>
          <cell r="DP66">
            <v>13730000</v>
          </cell>
          <cell r="DR66">
            <v>700804000</v>
          </cell>
          <cell r="DS66">
            <v>-537677000</v>
          </cell>
          <cell r="DT66">
            <v>-169323000</v>
          </cell>
          <cell r="DU66">
            <v>-30517000</v>
          </cell>
          <cell r="DV66">
            <v>-36713000</v>
          </cell>
          <cell r="DW66">
            <v>-5.2386972677096598E-2</v>
          </cell>
          <cell r="DX66">
            <v>-4.9779191530500297E-2</v>
          </cell>
          <cell r="DY66" t="str">
            <v>n.a.</v>
          </cell>
          <cell r="DZ66">
            <v>167329500</v>
          </cell>
          <cell r="EA66">
            <v>6574000</v>
          </cell>
          <cell r="EC66">
            <v>671665000</v>
          </cell>
          <cell r="ED66">
            <v>-504904000</v>
          </cell>
          <cell r="EE66">
            <v>-158918000</v>
          </cell>
          <cell r="EF66">
            <v>-29601000</v>
          </cell>
          <cell r="EG66">
            <v>-21758000</v>
          </cell>
          <cell r="EH66">
            <v>-3.2394125047456701E-2</v>
          </cell>
          <cell r="EI66">
            <v>-3.13776727913554E-2</v>
          </cell>
          <cell r="EJ66" t="str">
            <v>n.a.</v>
          </cell>
          <cell r="EK66">
            <v>162023500</v>
          </cell>
          <cell r="EL66">
            <v>5385500</v>
          </cell>
          <cell r="EN66">
            <v>675288333.33333302</v>
          </cell>
          <cell r="EO66">
            <v>-522646000</v>
          </cell>
          <cell r="EP66">
            <v>-164352666.66666701</v>
          </cell>
          <cell r="EQ66">
            <v>-29888333.333333299</v>
          </cell>
          <cell r="ER66">
            <v>-41598666.666666597</v>
          </cell>
          <cell r="ES66">
            <v>-6.1601340661889999E-2</v>
          </cell>
          <cell r="ET66">
            <v>-5.8026811291970203E-2</v>
          </cell>
        </row>
        <row r="67">
          <cell r="B67" t="str">
            <v>HABALABORATORIES,INC.</v>
          </cell>
          <cell r="C67" t="str">
            <v>exclude</v>
          </cell>
          <cell r="D67" t="str">
            <v>Independence(A+, A, A-, U)</v>
          </cell>
          <cell r="H67" t="str">
            <v/>
          </cell>
          <cell r="J67" t="e">
            <v>#N/A</v>
          </cell>
          <cell r="K67" t="e">
            <v>#N/A</v>
          </cell>
          <cell r="M67" t="str">
            <v>HABALABORATORIES,INC.</v>
          </cell>
          <cell r="N67" t="str">
            <v>The company is engaged in the manufacture and sale of cosmetics, as well as dietary supplements. Its registered head office is located in Tokyo, Japan. It was established in May of 1983. The company manufactures cosmetics through a subsidiary and purchases dietary supplements from other manufacturers. For the domestic market, its five subsidiaries, each covering a specific sales region, are in charge of marketing and sales activities of its products. The company offers its products by wholesale distribution to department stores and through mail order services to general customers. It also handles wholesale distribution to retailers and wholesalers, as well as the sale of products at its own retail stores. The company has a nationwide sales network, as well as an overseas sales network in the United States through its United States subsidiary. It also has business operations located in Hong Kong, Singapore, Taiwan, Mongolia, and Korea.</v>
          </cell>
          <cell r="O67" t="str">
            <v>Manufacturing; Retail</v>
          </cell>
          <cell r="P67" t="str">
            <v>www.haba.co.jp</v>
          </cell>
          <cell r="R67" t="str">
            <v>Japan</v>
          </cell>
          <cell r="S67" t="str">
            <v>4925</v>
          </cell>
          <cell r="T67" t="str">
            <v>B+</v>
          </cell>
          <cell r="U67" t="str">
            <v>2844</v>
          </cell>
          <cell r="V67" t="str">
            <v>Engaged in the manufacture and sale of cosmetics, as well as dietary supplements</v>
          </cell>
          <cell r="W67" t="str">
            <v>The Company is principally engaged in the manufacture and sale of cosmetics, as well as the sale of dietary supplements.</v>
          </cell>
          <cell r="Z67" t="str">
            <v>JP5010001066200</v>
          </cell>
          <cell r="AA67">
            <v>12038052000</v>
          </cell>
          <cell r="AB67">
            <v>12908861000</v>
          </cell>
          <cell r="AC67">
            <v>14307709000</v>
          </cell>
          <cell r="AD67">
            <v>18369640000</v>
          </cell>
          <cell r="AE67">
            <v>12038052000</v>
          </cell>
          <cell r="AF67">
            <v>12908861000</v>
          </cell>
          <cell r="AG67">
            <v>14307709000</v>
          </cell>
          <cell r="AH67">
            <v>18369640000</v>
          </cell>
          <cell r="AI67" t="str">
            <v>n.a.</v>
          </cell>
          <cell r="AJ67" t="str">
            <v>n.a.</v>
          </cell>
          <cell r="AK67" t="str">
            <v>n.a.</v>
          </cell>
          <cell r="AL67" t="str">
            <v>n.a.</v>
          </cell>
          <cell r="AM67">
            <v>12038052000</v>
          </cell>
          <cell r="AN67">
            <v>12908861000</v>
          </cell>
          <cell r="AO67">
            <v>14307709000</v>
          </cell>
          <cell r="AP67">
            <v>18369640000</v>
          </cell>
          <cell r="AQ67" t="str">
            <v>n.a.</v>
          </cell>
          <cell r="AR67" t="str">
            <v>n.a.</v>
          </cell>
          <cell r="AS67" t="str">
            <v>n.a.</v>
          </cell>
          <cell r="AT67" t="str">
            <v>n.a.</v>
          </cell>
          <cell r="AU67">
            <v>-3661349000</v>
          </cell>
          <cell r="AV67">
            <v>-3867959000</v>
          </cell>
          <cell r="AW67">
            <v>-3947321000</v>
          </cell>
          <cell r="AX67">
            <v>-4540500000</v>
          </cell>
          <cell r="AY67">
            <v>-176400000</v>
          </cell>
          <cell r="AZ67">
            <v>-152565000</v>
          </cell>
          <cell r="BA67">
            <v>-148949000</v>
          </cell>
          <cell r="BB67">
            <v>-150214000</v>
          </cell>
          <cell r="BC67">
            <v>-8250290000</v>
          </cell>
          <cell r="BD67">
            <v>-8496989000</v>
          </cell>
          <cell r="BE67">
            <v>-9315252000</v>
          </cell>
          <cell r="BF67">
            <v>-11050846000</v>
          </cell>
          <cell r="BG67">
            <v>-49987000</v>
          </cell>
          <cell r="BH67">
            <v>391348000</v>
          </cell>
          <cell r="BI67">
            <v>896187000</v>
          </cell>
          <cell r="BJ67">
            <v>2628080000</v>
          </cell>
          <cell r="BK67">
            <v>-559656000</v>
          </cell>
          <cell r="BL67">
            <v>-708078000</v>
          </cell>
          <cell r="BM67">
            <v>-669212000</v>
          </cell>
          <cell r="BN67">
            <v>-630206000</v>
          </cell>
          <cell r="BO67">
            <v>-559656000</v>
          </cell>
          <cell r="BP67">
            <v>-708078000</v>
          </cell>
          <cell r="BQ67">
            <v>-669212000</v>
          </cell>
          <cell r="BR67">
            <v>-630206000</v>
          </cell>
          <cell r="BS67">
            <v>0</v>
          </cell>
          <cell r="BT67">
            <v>0</v>
          </cell>
          <cell r="BU67">
            <v>0</v>
          </cell>
          <cell r="BV67">
            <v>0</v>
          </cell>
          <cell r="BW67">
            <v>-707865000</v>
          </cell>
          <cell r="BX67">
            <v>-269030000</v>
          </cell>
          <cell r="BY67">
            <v>216419000</v>
          </cell>
          <cell r="BZ67">
            <v>1313475000</v>
          </cell>
          <cell r="CA67">
            <v>9343724000</v>
          </cell>
          <cell r="CB67">
            <v>10071917000</v>
          </cell>
          <cell r="CC67">
            <v>11313571000</v>
          </cell>
          <cell r="CD67">
            <v>11148276000</v>
          </cell>
          <cell r="CE67">
            <v>3368237000</v>
          </cell>
          <cell r="CF67">
            <v>3151317000</v>
          </cell>
          <cell r="CG67">
            <v>4034421000</v>
          </cell>
          <cell r="CH67">
            <v>4258360000</v>
          </cell>
          <cell r="CI67">
            <v>975251000</v>
          </cell>
          <cell r="CJ67">
            <v>1125858000</v>
          </cell>
          <cell r="CK67">
            <v>1200390000</v>
          </cell>
          <cell r="CL67">
            <v>1422694000</v>
          </cell>
          <cell r="CM67">
            <v>182394000</v>
          </cell>
          <cell r="CN67">
            <v>143453000</v>
          </cell>
          <cell r="CO67">
            <v>415134000</v>
          </cell>
          <cell r="CP67">
            <v>238875000</v>
          </cell>
          <cell r="CQ67">
            <v>4817842000</v>
          </cell>
          <cell r="CR67">
            <v>5651289000</v>
          </cell>
          <cell r="CS67">
            <v>5663626000</v>
          </cell>
          <cell r="CT67">
            <v>5228347000</v>
          </cell>
          <cell r="CU67" t="str">
            <v>n.a.</v>
          </cell>
          <cell r="CV67" t="str">
            <v>n.a.</v>
          </cell>
          <cell r="CW67" t="str">
            <v>n.a.</v>
          </cell>
          <cell r="CX67" t="str">
            <v>n.a.</v>
          </cell>
          <cell r="CY67">
            <v>1338474000</v>
          </cell>
          <cell r="CZ67">
            <v>1222773000</v>
          </cell>
          <cell r="DA67">
            <v>1241088000</v>
          </cell>
          <cell r="DB67">
            <v>1422840000</v>
          </cell>
          <cell r="DC67">
            <v>14655217000</v>
          </cell>
          <cell r="DD67">
            <v>15685434000</v>
          </cell>
          <cell r="DE67">
            <v>17441060000</v>
          </cell>
          <cell r="DF67">
            <v>17091438000</v>
          </cell>
          <cell r="DG67">
            <v>12038052000</v>
          </cell>
          <cell r="DH67">
            <v>-3661349000</v>
          </cell>
          <cell r="DI67">
            <v>-8426690000</v>
          </cell>
          <cell r="DJ67">
            <v>-559656000</v>
          </cell>
          <cell r="DK67">
            <v>-609643000</v>
          </cell>
          <cell r="DL67">
            <v>-5.0642994398096997E-2</v>
          </cell>
          <cell r="DM67">
            <v>-4.8201905564610799E-2</v>
          </cell>
          <cell r="DN67">
            <v>-176400000</v>
          </cell>
          <cell r="DO67">
            <v>3259777000</v>
          </cell>
          <cell r="DP67">
            <v>1280623500</v>
          </cell>
          <cell r="DR67">
            <v>12908861000</v>
          </cell>
          <cell r="DS67">
            <v>-3867959000</v>
          </cell>
          <cell r="DT67">
            <v>-8649554000</v>
          </cell>
          <cell r="DU67">
            <v>-708078000</v>
          </cell>
          <cell r="DV67">
            <v>-316730000</v>
          </cell>
          <cell r="DW67">
            <v>-2.45358595154135E-2</v>
          </cell>
          <cell r="DX67">
            <v>-2.3948268171910099E-2</v>
          </cell>
          <cell r="DY67">
            <v>-152565000</v>
          </cell>
          <cell r="DZ67">
            <v>3592869000</v>
          </cell>
          <cell r="EA67">
            <v>1231930500</v>
          </cell>
          <cell r="EC67">
            <v>14307709000</v>
          </cell>
          <cell r="ED67">
            <v>-3947321000</v>
          </cell>
          <cell r="EE67">
            <v>-9464201000</v>
          </cell>
          <cell r="EF67">
            <v>-669212000</v>
          </cell>
          <cell r="EG67">
            <v>226975000</v>
          </cell>
          <cell r="EH67">
            <v>1.5863825578225001E-2</v>
          </cell>
          <cell r="EI67">
            <v>1.6119543199949699E-2</v>
          </cell>
          <cell r="EJ67">
            <v>-148949000</v>
          </cell>
          <cell r="EK67">
            <v>4146390500</v>
          </cell>
          <cell r="EL67">
            <v>1331964000</v>
          </cell>
          <cell r="EN67">
            <v>13084874000</v>
          </cell>
          <cell r="EO67">
            <v>-3825543000</v>
          </cell>
          <cell r="EP67">
            <v>-8846815000</v>
          </cell>
          <cell r="EQ67">
            <v>-645648666.66666698</v>
          </cell>
          <cell r="ER67">
            <v>-233132666.66666701</v>
          </cell>
          <cell r="ES67">
            <v>-1.7816959236035899E-2</v>
          </cell>
          <cell r="ET67">
            <v>-1.7505072080356399E-2</v>
          </cell>
        </row>
        <row r="68">
          <cell r="B68" t="str">
            <v>SANITAR CO., LTD.</v>
          </cell>
          <cell r="C68" t="str">
            <v>exclude</v>
          </cell>
          <cell r="D68" t="str">
            <v>Lev SDA/SDP</v>
          </cell>
          <cell r="H68" t="str">
            <v/>
          </cell>
          <cell r="J68" t="str">
            <v>exclude</v>
          </cell>
          <cell r="K68" t="str">
            <v>lev SDA/SDP</v>
          </cell>
          <cell r="M68" t="str">
            <v>SANITAR CO., LTD.</v>
          </cell>
          <cell r="N68" t="str">
            <v>The company is primarily engaged in the manufacture and sale of bathroom accessories. It was founded in 1985, and is based in New Taipei, Taiwan. The company's products include lavatories such as wash basins, counter basins, artifcial flagstone counters, ceramic boards, art basin suite, unity basin suite, art basins, counter basin suite, customized cabinets, and wall-hung and mirror cabinets; toilet products such as water closets, wall-hung urinals, electronic bidets, easten toilets, urinals, and decorative toilets, as well as mop tups and aid cleaning sets; and faucets comprising well-chosen mixer, shower mixer, bathtub mixer, shower handle, wallrod glider, shower panel, and one-touch faucets. It also produces accessories such as toilet brush holders, soap dish holders, counter basin holders, nursery platforms, laundry ropes, clothes hooks, shower curtain sets, ash trays, hand wash containers, paper towel containers, mirrors, soap dishes, tumbler holders, ashtray holders, robe hooks, towel rings, toilet paper holders, shelves, towel bars, handrails, seat covers, hand spray for bidets, drains, flush valves, P-pipes, shower heads, high pressure tubes, waste pipe adaptors, water tank fittings, exhaust fans, soap dispensers, and air flushes. Its products are marketed and sold throughout Taiwan and internationally in cooperation with its local and foreign business partners and affiliates.</v>
          </cell>
          <cell r="O68" t="str">
            <v>Manufacturing</v>
          </cell>
          <cell r="P68" t="str">
            <v>www.caesar.com.tw</v>
          </cell>
          <cell r="R68" t="str">
            <v>Taiwan, China</v>
          </cell>
          <cell r="S68" t="str">
            <v>1817</v>
          </cell>
          <cell r="T68" t="str">
            <v>A+</v>
          </cell>
          <cell r="U68" t="str">
            <v>2842</v>
          </cell>
          <cell r="V68" t="str">
            <v>Engaged in the manufacture and sale of bathroom accessories</v>
          </cell>
          <cell r="W68" t="str">
            <v>The Company is a Taiwan-based company principally engages in sales of various kinds of sanitary equipment and peripheral products. The Company's main products include bathtubs, toilets, water supply apparatus, cabinets, basins and peripheral products. The Company also provides installation and maintenance services for sanitary equipment. The Company distributes its products in domestic market and to overseas markets, such as Vietnam.</v>
          </cell>
          <cell r="Z68" t="str">
            <v>TW22746550</v>
          </cell>
          <cell r="AA68">
            <v>2671748000</v>
          </cell>
          <cell r="AB68">
            <v>2374831000</v>
          </cell>
          <cell r="AC68">
            <v>2308784000</v>
          </cell>
          <cell r="AD68">
            <v>2337212000</v>
          </cell>
          <cell r="AE68">
            <v>2726929000</v>
          </cell>
          <cell r="AF68">
            <v>2425496000</v>
          </cell>
          <cell r="AG68">
            <v>2362156000</v>
          </cell>
          <cell r="AH68">
            <v>2402040000</v>
          </cell>
          <cell r="AI68">
            <v>-57323000</v>
          </cell>
          <cell r="AJ68">
            <v>-52858000</v>
          </cell>
          <cell r="AK68">
            <v>-55635000</v>
          </cell>
          <cell r="AL68">
            <v>-67114000</v>
          </cell>
          <cell r="AM68">
            <v>2669606000</v>
          </cell>
          <cell r="AN68">
            <v>2372638000</v>
          </cell>
          <cell r="AO68">
            <v>2306521000</v>
          </cell>
          <cell r="AP68">
            <v>2334926000</v>
          </cell>
          <cell r="AQ68">
            <v>2142000</v>
          </cell>
          <cell r="AR68">
            <v>2193000</v>
          </cell>
          <cell r="AS68">
            <v>2263000</v>
          </cell>
          <cell r="AT68">
            <v>2286000</v>
          </cell>
          <cell r="AU68">
            <v>-1634361000</v>
          </cell>
          <cell r="AV68">
            <v>-1465674000</v>
          </cell>
          <cell r="AW68">
            <v>-1462560000</v>
          </cell>
          <cell r="AX68">
            <v>-1544983000</v>
          </cell>
          <cell r="AY68">
            <v>-28607000</v>
          </cell>
          <cell r="AZ68">
            <v>-22831000</v>
          </cell>
          <cell r="BA68">
            <v>-17706000</v>
          </cell>
          <cell r="BB68">
            <v>-17223000</v>
          </cell>
          <cell r="BC68">
            <v>-518694000</v>
          </cell>
          <cell r="BD68">
            <v>-483138000</v>
          </cell>
          <cell r="BE68">
            <v>-424456000</v>
          </cell>
          <cell r="BF68">
            <v>-436097000</v>
          </cell>
          <cell r="BG68">
            <v>490086000</v>
          </cell>
          <cell r="BH68">
            <v>403188000</v>
          </cell>
          <cell r="BI68">
            <v>404062000</v>
          </cell>
          <cell r="BJ68">
            <v>338909000</v>
          </cell>
          <cell r="BK68">
            <v>-115901000</v>
          </cell>
          <cell r="BL68">
            <v>-109413000</v>
          </cell>
          <cell r="BM68">
            <v>-109793000</v>
          </cell>
          <cell r="BN68">
            <v>-88260000</v>
          </cell>
          <cell r="BO68">
            <v>-111416000</v>
          </cell>
          <cell r="BP68">
            <v>-106749000</v>
          </cell>
          <cell r="BQ68">
            <v>-107789000</v>
          </cell>
          <cell r="BR68">
            <v>-86579000</v>
          </cell>
          <cell r="BS68">
            <v>-4485000</v>
          </cell>
          <cell r="BT68">
            <v>-2664000</v>
          </cell>
          <cell r="BU68">
            <v>-2004000</v>
          </cell>
          <cell r="BV68">
            <v>-1681000</v>
          </cell>
          <cell r="BW68">
            <v>290827000</v>
          </cell>
          <cell r="BX68">
            <v>221368000</v>
          </cell>
          <cell r="BY68">
            <v>220092000</v>
          </cell>
          <cell r="BZ68">
            <v>179851000</v>
          </cell>
          <cell r="CA68">
            <v>1480412000</v>
          </cell>
          <cell r="CB68">
            <v>1444360000</v>
          </cell>
          <cell r="CC68">
            <v>1173183000</v>
          </cell>
          <cell r="CD68">
            <v>1075425000</v>
          </cell>
          <cell r="CE68">
            <v>774437000</v>
          </cell>
          <cell r="CF68">
            <v>740245000</v>
          </cell>
          <cell r="CG68">
            <v>652151000</v>
          </cell>
          <cell r="CH68">
            <v>512549000</v>
          </cell>
          <cell r="CI68">
            <v>304918000</v>
          </cell>
          <cell r="CJ68">
            <v>279161000</v>
          </cell>
          <cell r="CK68">
            <v>226984000</v>
          </cell>
          <cell r="CL68">
            <v>226806000</v>
          </cell>
          <cell r="CM68">
            <v>38507000</v>
          </cell>
          <cell r="CN68">
            <v>40373000</v>
          </cell>
          <cell r="CO68">
            <v>32777000</v>
          </cell>
          <cell r="CP68">
            <v>35308000</v>
          </cell>
          <cell r="CQ68">
            <v>317391000</v>
          </cell>
          <cell r="CR68">
            <v>332895000</v>
          </cell>
          <cell r="CS68">
            <v>221015000</v>
          </cell>
          <cell r="CT68">
            <v>285454000</v>
          </cell>
          <cell r="CU68">
            <v>72045000</v>
          </cell>
          <cell r="CV68">
            <v>64709000</v>
          </cell>
          <cell r="CW68">
            <v>56199000</v>
          </cell>
          <cell r="CX68">
            <v>46888000</v>
          </cell>
          <cell r="CY68">
            <v>99000</v>
          </cell>
          <cell r="CZ68">
            <v>452000</v>
          </cell>
          <cell r="DA68">
            <v>7590000</v>
          </cell>
          <cell r="DB68">
            <v>13780000</v>
          </cell>
          <cell r="DC68">
            <v>2727235000</v>
          </cell>
          <cell r="DD68">
            <v>2728848000</v>
          </cell>
          <cell r="DE68">
            <v>2549013000</v>
          </cell>
          <cell r="DF68">
            <v>2528005000</v>
          </cell>
          <cell r="DG68">
            <v>2669606000</v>
          </cell>
          <cell r="DH68">
            <v>-1634361000</v>
          </cell>
          <cell r="DI68">
            <v>-547301000</v>
          </cell>
          <cell r="DJ68">
            <v>-115901000</v>
          </cell>
          <cell r="DK68">
            <v>372043000</v>
          </cell>
          <cell r="DL68">
            <v>0.139362512670409</v>
          </cell>
          <cell r="DM68">
            <v>0.161929400847768</v>
          </cell>
          <cell r="DN68">
            <v>-28607000</v>
          </cell>
          <cell r="DO68">
            <v>757341000</v>
          </cell>
          <cell r="DP68">
            <v>275500</v>
          </cell>
          <cell r="DR68">
            <v>2372638000</v>
          </cell>
          <cell r="DS68">
            <v>-1465674000</v>
          </cell>
          <cell r="DT68">
            <v>-505969000</v>
          </cell>
          <cell r="DU68">
            <v>-109413000</v>
          </cell>
          <cell r="DV68">
            <v>291582000</v>
          </cell>
          <cell r="DW68">
            <v>0.122893589329683</v>
          </cell>
          <cell r="DX68">
            <v>0.140112519797641</v>
          </cell>
          <cell r="DY68">
            <v>-22831000</v>
          </cell>
          <cell r="DZ68">
            <v>696198000</v>
          </cell>
          <cell r="EA68">
            <v>4021000</v>
          </cell>
          <cell r="EC68">
            <v>2306521000</v>
          </cell>
          <cell r="ED68">
            <v>-1462560000</v>
          </cell>
          <cell r="EE68">
            <v>-442162000</v>
          </cell>
          <cell r="EF68">
            <v>-109793000</v>
          </cell>
          <cell r="EG68">
            <v>292006000</v>
          </cell>
          <cell r="EH68">
            <v>0.12660019137046699</v>
          </cell>
          <cell r="EI68">
            <v>0.14495101798696</v>
          </cell>
          <cell r="EJ68">
            <v>-17706000</v>
          </cell>
          <cell r="EK68">
            <v>582350000</v>
          </cell>
          <cell r="EL68">
            <v>10685000</v>
          </cell>
          <cell r="EN68">
            <v>2449588333.3333302</v>
          </cell>
          <cell r="EO68">
            <v>-1520865000</v>
          </cell>
          <cell r="EP68">
            <v>-498477333.33333302</v>
          </cell>
          <cell r="EQ68">
            <v>-111702333.333333</v>
          </cell>
          <cell r="ER68">
            <v>318543666.66666698</v>
          </cell>
          <cell r="ES68">
            <v>0.13003967333286601</v>
          </cell>
          <cell r="ET68">
            <v>0.14947770530071799</v>
          </cell>
        </row>
        <row r="69">
          <cell r="B69" t="str">
            <v>NIPPON SHIKIZAI INC</v>
          </cell>
          <cell r="C69" t="str">
            <v>include before</v>
          </cell>
          <cell r="H69">
            <v>-3.36818498493128E-2</v>
          </cell>
          <cell r="J69" t="str">
            <v>Include before</v>
          </cell>
          <cell r="K69">
            <v>0</v>
          </cell>
          <cell r="M69" t="str">
            <v>NIPPON SHIKIZAI INC</v>
          </cell>
          <cell r="N69" t="str">
            <v>The company is engaged in the research, development and production of makeup cosmetics, basic cosmetics and quasi drugs. It was established in March of 1957 and has its registered corporate headquarters located in Minato-ku, Japan. Some of the company's cosmetic products are foundation, eye shadow, rouge, lipsticks, lip creams, moisturizers, and sunscreen lotions. Its pharmaceutical products include econazole, medicinal toothpastes, mouthwashes, ear washes, and feminine hygiene products. The company's main customers are the cosmetics and pharmaceutical industry. Its production facilities are located in Japan and France.</v>
          </cell>
          <cell r="O69" t="str">
            <v>Manufacturing</v>
          </cell>
          <cell r="P69" t="str">
            <v>www.shikizai.com</v>
          </cell>
          <cell r="R69" t="str">
            <v>Japan</v>
          </cell>
          <cell r="S69" t="str">
            <v>4920</v>
          </cell>
          <cell r="T69" t="str">
            <v>A+</v>
          </cell>
          <cell r="U69" t="str">
            <v>2844</v>
          </cell>
          <cell r="V69" t="str">
            <v>Engaged in the research, development and production of makeup cosmetics, basic cosmetics and quasi drugs</v>
          </cell>
          <cell r="W69" t="str">
            <v>The Company is a Japan-based company primarily engaged in the research, development and manufacture of cosmetics and medical products.</v>
          </cell>
          <cell r="Z69" t="str">
            <v>JP1010401022715</v>
          </cell>
          <cell r="AA69">
            <v>11760414000</v>
          </cell>
          <cell r="AB69">
            <v>8702029000</v>
          </cell>
          <cell r="AC69">
            <v>9143569000</v>
          </cell>
          <cell r="AD69">
            <v>12207752000</v>
          </cell>
          <cell r="AE69">
            <v>11760414000</v>
          </cell>
          <cell r="AF69">
            <v>8702029000</v>
          </cell>
          <cell r="AG69">
            <v>9143569000</v>
          </cell>
          <cell r="AH69">
            <v>12207752000</v>
          </cell>
          <cell r="AI69" t="str">
            <v>n.a.</v>
          </cell>
          <cell r="AJ69" t="str">
            <v>n.a.</v>
          </cell>
          <cell r="AK69" t="str">
            <v>n.a.</v>
          </cell>
          <cell r="AL69" t="str">
            <v>n.a.</v>
          </cell>
          <cell r="AM69">
            <v>11760414000</v>
          </cell>
          <cell r="AN69">
            <v>8702029000</v>
          </cell>
          <cell r="AO69">
            <v>9143569000</v>
          </cell>
          <cell r="AP69">
            <v>12207752000</v>
          </cell>
          <cell r="AQ69" t="str">
            <v>n.a.</v>
          </cell>
          <cell r="AR69" t="str">
            <v>n.a.</v>
          </cell>
          <cell r="AS69" t="str">
            <v>n.a.</v>
          </cell>
          <cell r="AT69" t="str">
            <v>n.a.</v>
          </cell>
          <cell r="AU69">
            <v>-9559423000</v>
          </cell>
          <cell r="AV69">
            <v>-7112535000</v>
          </cell>
          <cell r="AW69">
            <v>-7928277000</v>
          </cell>
          <cell r="AX69">
            <v>-9883933000</v>
          </cell>
          <cell r="AY69">
            <v>-646810000</v>
          </cell>
          <cell r="AZ69">
            <v>-610493000</v>
          </cell>
          <cell r="BA69">
            <v>-643860000</v>
          </cell>
          <cell r="BB69">
            <v>-726436000</v>
          </cell>
          <cell r="BC69">
            <v>-578447000</v>
          </cell>
          <cell r="BD69">
            <v>-461660000</v>
          </cell>
          <cell r="BE69">
            <v>-590430000</v>
          </cell>
          <cell r="BF69">
            <v>-535646000</v>
          </cell>
          <cell r="BG69">
            <v>975734000</v>
          </cell>
          <cell r="BH69">
            <v>517341000</v>
          </cell>
          <cell r="BI69">
            <v>-18998000</v>
          </cell>
          <cell r="BJ69">
            <v>1061737000</v>
          </cell>
          <cell r="BK69">
            <v>-813923000</v>
          </cell>
          <cell r="BL69">
            <v>-785250000</v>
          </cell>
          <cell r="BM69">
            <v>-906847000</v>
          </cell>
          <cell r="BN69">
            <v>-612085000</v>
          </cell>
          <cell r="BO69">
            <v>-796845000</v>
          </cell>
          <cell r="BP69">
            <v>-785250000</v>
          </cell>
          <cell r="BQ69">
            <v>-906847000</v>
          </cell>
          <cell r="BR69">
            <v>-612085000</v>
          </cell>
          <cell r="BS69">
            <v>-17078000</v>
          </cell>
          <cell r="BT69">
            <v>0</v>
          </cell>
          <cell r="BU69">
            <v>0</v>
          </cell>
          <cell r="BV69">
            <v>0</v>
          </cell>
          <cell r="BW69">
            <v>246295000</v>
          </cell>
          <cell r="BX69">
            <v>-122031000</v>
          </cell>
          <cell r="BY69">
            <v>-848670000</v>
          </cell>
          <cell r="BZ69">
            <v>283585000</v>
          </cell>
          <cell r="CA69">
            <v>6160163000</v>
          </cell>
          <cell r="CB69">
            <v>5011114000</v>
          </cell>
          <cell r="CC69">
            <v>4719378000</v>
          </cell>
          <cell r="CD69">
            <v>5731107000</v>
          </cell>
          <cell r="CE69">
            <v>2423405000</v>
          </cell>
          <cell r="CF69">
            <v>1705713000</v>
          </cell>
          <cell r="CG69">
            <v>1864004000</v>
          </cell>
          <cell r="CH69">
            <v>2099545000</v>
          </cell>
          <cell r="CI69">
            <v>2179133000</v>
          </cell>
          <cell r="CJ69">
            <v>1832400000</v>
          </cell>
          <cell r="CK69">
            <v>1629072000</v>
          </cell>
          <cell r="CL69">
            <v>2411023000</v>
          </cell>
          <cell r="CM69">
            <v>226060000</v>
          </cell>
          <cell r="CN69">
            <v>149919000</v>
          </cell>
          <cell r="CO69">
            <v>147720000</v>
          </cell>
          <cell r="CP69">
            <v>385193000</v>
          </cell>
          <cell r="CQ69">
            <v>1331565000</v>
          </cell>
          <cell r="CR69">
            <v>1323082000</v>
          </cell>
          <cell r="CS69">
            <v>1078582000</v>
          </cell>
          <cell r="CT69">
            <v>835346000</v>
          </cell>
          <cell r="CU69" t="str">
            <v>n.a.</v>
          </cell>
          <cell r="CV69" t="str">
            <v>n.a.</v>
          </cell>
          <cell r="CW69" t="str">
            <v>n.a.</v>
          </cell>
          <cell r="CX69" t="str">
            <v>n.a.</v>
          </cell>
          <cell r="CY69">
            <v>1430060000</v>
          </cell>
          <cell r="CZ69">
            <v>1167322000</v>
          </cell>
          <cell r="DA69">
            <v>1174808000</v>
          </cell>
          <cell r="DB69">
            <v>1313741000</v>
          </cell>
          <cell r="DC69">
            <v>16049019000</v>
          </cell>
          <cell r="DD69">
            <v>15353800000</v>
          </cell>
          <cell r="DE69">
            <v>15550749000</v>
          </cell>
          <cell r="DF69">
            <v>15524388000</v>
          </cell>
          <cell r="DG69">
            <v>11760414000</v>
          </cell>
          <cell r="DH69">
            <v>-9559423000</v>
          </cell>
          <cell r="DI69">
            <v>-1225257000</v>
          </cell>
          <cell r="DJ69">
            <v>-813923000</v>
          </cell>
          <cell r="DK69">
            <v>161811000</v>
          </cell>
          <cell r="DL69">
            <v>1.37589544041562E-2</v>
          </cell>
          <cell r="DM69">
            <v>1.3950904259762999E-2</v>
          </cell>
          <cell r="DN69">
            <v>-646810000</v>
          </cell>
          <cell r="DO69">
            <v>2064559000</v>
          </cell>
          <cell r="DP69">
            <v>1298691000</v>
          </cell>
          <cell r="DR69">
            <v>8702029000</v>
          </cell>
          <cell r="DS69">
            <v>-7112535000</v>
          </cell>
          <cell r="DT69">
            <v>-1072153000</v>
          </cell>
          <cell r="DU69">
            <v>-785250000</v>
          </cell>
          <cell r="DV69">
            <v>-267909000</v>
          </cell>
          <cell r="DW69">
            <v>-3.0786957846267799E-2</v>
          </cell>
          <cell r="DX69">
            <v>-2.9867430521816299E-2</v>
          </cell>
          <cell r="DY69">
            <v>-610493000</v>
          </cell>
          <cell r="DZ69">
            <v>1784858500</v>
          </cell>
          <cell r="EA69">
            <v>1171065000</v>
          </cell>
          <cell r="EC69">
            <v>9143569000</v>
          </cell>
          <cell r="ED69">
            <v>-7928277000</v>
          </cell>
          <cell r="EE69">
            <v>-1234290000</v>
          </cell>
          <cell r="EF69">
            <v>-906847000</v>
          </cell>
          <cell r="EG69">
            <v>-925845000</v>
          </cell>
          <cell r="EH69">
            <v>-0.10125641311396</v>
          </cell>
          <cell r="EI69">
            <v>-9.19462642016705E-2</v>
          </cell>
          <cell r="EJ69">
            <v>-643860000</v>
          </cell>
          <cell r="EK69">
            <v>1981774500</v>
          </cell>
          <cell r="EL69">
            <v>1244274500</v>
          </cell>
          <cell r="EN69">
            <v>9868670666.6666698</v>
          </cell>
          <cell r="EO69">
            <v>-8200078333.3333302</v>
          </cell>
          <cell r="EP69">
            <v>-1177233333.3333299</v>
          </cell>
          <cell r="EQ69">
            <v>-835340000</v>
          </cell>
          <cell r="ER69">
            <v>-343981000</v>
          </cell>
          <cell r="ES69">
            <v>-3.4855859681472798E-2</v>
          </cell>
          <cell r="ET69">
            <v>-3.36818498493128E-2</v>
          </cell>
        </row>
        <row r="70">
          <cell r="B70" t="str">
            <v>KCI CO.,LTD.</v>
          </cell>
          <cell r="C70" t="str">
            <v>exclude</v>
          </cell>
          <cell r="D70" t="str">
            <v>Independence(A+, A, A-, U)</v>
          </cell>
          <cell r="H70" t="str">
            <v/>
          </cell>
          <cell r="J70" t="str">
            <v>exclude</v>
          </cell>
          <cell r="K70" t="str">
            <v>Independence(A+, A, A-, U)</v>
          </cell>
          <cell r="M70" t="str">
            <v>KCI CO.,LTD.</v>
          </cell>
          <cell r="N70" t="str">
            <v>This company, based in the Republic of Korea, is engaged in the research, development, production, and distribution of a range of household chemicals. It was established in 1985 and has its registered head office based in Seosan-si.The company provides various polyquaternium products, cationic guar polymers, cationic surfactants, hydrogels, polyglycerines, PGL esters, fatty acid esters, methyl glucoside derivatives, preservatives, emulsion polymers, and resins.</v>
          </cell>
          <cell r="O70" t="str">
            <v>Manufacturing; Wholesale</v>
          </cell>
          <cell r="P70" t="str">
            <v>www.kciltd.com</v>
          </cell>
          <cell r="R70" t="str">
            <v>Republic of Korea</v>
          </cell>
          <cell r="S70" t="str">
            <v>036670</v>
          </cell>
          <cell r="T70" t="str">
            <v>D</v>
          </cell>
          <cell r="U70" t="str">
            <v>2843</v>
          </cell>
          <cell r="V70" t="str">
            <v>Engaged in the research, development, production, and distribution of a range of household chemicals</v>
          </cell>
          <cell r="W70" t="str">
            <v>- Established in July 1991 to manufacture and sell polymers and surfactants used as premium additives for shampoo and conditioner. It was listed on the KOSDAQ market in January 2001.- Company supply hair care ingredients to multinational companies around the world such as L''Oreal, Unilever and P &amp; G, and LG H &amp; H and AMOREPACIFIC have secured sales networks in the domestic market.- While enjoying a unique position in the domestic market, the company is strengthening its position in the domestic and overseas markets, including the growth of the global hair care market and the introduction of niche markets.</v>
          </cell>
          <cell r="X70" t="str">
            <v>KEONCHANG CO.,LTD.</v>
          </cell>
          <cell r="Z70" t="str">
            <v>KR1244110011884</v>
          </cell>
          <cell r="AA70">
            <v>109605027000</v>
          </cell>
          <cell r="AB70">
            <v>81501153000</v>
          </cell>
          <cell r="AC70">
            <v>73251257000</v>
          </cell>
          <cell r="AD70">
            <v>69641355000</v>
          </cell>
          <cell r="AE70">
            <v>109605027000</v>
          </cell>
          <cell r="AF70">
            <v>81501153000</v>
          </cell>
          <cell r="AG70">
            <v>73251257000</v>
          </cell>
          <cell r="AH70">
            <v>69641355000</v>
          </cell>
          <cell r="AI70" t="str">
            <v>n.a.</v>
          </cell>
          <cell r="AJ70" t="str">
            <v>n.a.</v>
          </cell>
          <cell r="AK70" t="str">
            <v>n.a.</v>
          </cell>
          <cell r="AL70" t="str">
            <v>n.a.</v>
          </cell>
          <cell r="AM70">
            <v>109605027000</v>
          </cell>
          <cell r="AN70">
            <v>81501153000</v>
          </cell>
          <cell r="AO70">
            <v>73251257000</v>
          </cell>
          <cell r="AP70">
            <v>69641355000</v>
          </cell>
          <cell r="AQ70" t="str">
            <v>n.a.</v>
          </cell>
          <cell r="AR70" t="str">
            <v>n.a.</v>
          </cell>
          <cell r="AS70" t="str">
            <v>n.a.</v>
          </cell>
          <cell r="AT70" t="str">
            <v>n.a.</v>
          </cell>
          <cell r="AU70">
            <v>-70717519000</v>
          </cell>
          <cell r="AV70">
            <v>-54512434000</v>
          </cell>
          <cell r="AW70">
            <v>-49439031000</v>
          </cell>
          <cell r="AX70">
            <v>-46069810000</v>
          </cell>
          <cell r="AY70">
            <v>-12567000</v>
          </cell>
          <cell r="AZ70">
            <v>-1870255000</v>
          </cell>
          <cell r="BA70">
            <v>-1338761000</v>
          </cell>
          <cell r="BB70">
            <v>-1009424000</v>
          </cell>
          <cell r="BC70">
            <v>-16295434000</v>
          </cell>
          <cell r="BD70">
            <v>-12409926000</v>
          </cell>
          <cell r="BE70">
            <v>-8148742000</v>
          </cell>
          <cell r="BF70">
            <v>-7873610000</v>
          </cell>
          <cell r="BG70">
            <v>22579507000</v>
          </cell>
          <cell r="BH70">
            <v>12708538000</v>
          </cell>
          <cell r="BI70">
            <v>14324723000</v>
          </cell>
          <cell r="BJ70">
            <v>14688511000</v>
          </cell>
          <cell r="BK70">
            <v>-702225000</v>
          </cell>
          <cell r="BL70">
            <v>-265385000</v>
          </cell>
          <cell r="BM70">
            <v>-233007000</v>
          </cell>
          <cell r="BN70">
            <v>-192932000</v>
          </cell>
          <cell r="BO70">
            <v>-453696000</v>
          </cell>
          <cell r="BP70">
            <v>-250017000</v>
          </cell>
          <cell r="BQ70">
            <v>-218294000</v>
          </cell>
          <cell r="BR70">
            <v>-175682000</v>
          </cell>
          <cell r="BS70">
            <v>-248529000</v>
          </cell>
          <cell r="BT70">
            <v>-15368000</v>
          </cell>
          <cell r="BU70">
            <v>-14713000</v>
          </cell>
          <cell r="BV70">
            <v>-17250000</v>
          </cell>
          <cell r="BW70">
            <v>17816310000</v>
          </cell>
          <cell r="BX70">
            <v>10155282000</v>
          </cell>
          <cell r="BY70">
            <v>10615160000</v>
          </cell>
          <cell r="BZ70">
            <v>11414879000</v>
          </cell>
          <cell r="CA70">
            <v>74376525000</v>
          </cell>
          <cell r="CB70">
            <v>51965284000</v>
          </cell>
          <cell r="CC70">
            <v>42420316000</v>
          </cell>
          <cell r="CD70">
            <v>42315219000</v>
          </cell>
          <cell r="CE70">
            <v>38182382000</v>
          </cell>
          <cell r="CF70">
            <v>25682481000</v>
          </cell>
          <cell r="CG70">
            <v>20355484000</v>
          </cell>
          <cell r="CH70">
            <v>17440142000</v>
          </cell>
          <cell r="CI70">
            <v>17950591000</v>
          </cell>
          <cell r="CJ70">
            <v>17181381000</v>
          </cell>
          <cell r="CK70">
            <v>11306299000</v>
          </cell>
          <cell r="CL70">
            <v>12563335000</v>
          </cell>
          <cell r="CM70">
            <v>4581095000</v>
          </cell>
          <cell r="CN70">
            <v>10064000</v>
          </cell>
          <cell r="CO70" t="str">
            <v>n.a.</v>
          </cell>
          <cell r="CP70" t="str">
            <v>n.a.</v>
          </cell>
          <cell r="CQ70">
            <v>13284830000</v>
          </cell>
          <cell r="CR70">
            <v>8282470000</v>
          </cell>
          <cell r="CS70">
            <v>10093391000</v>
          </cell>
          <cell r="CT70">
            <v>11781850000</v>
          </cell>
          <cell r="CU70" t="str">
            <v>n.a.</v>
          </cell>
          <cell r="CV70">
            <v>2010030000</v>
          </cell>
          <cell r="CW70">
            <v>1103579000</v>
          </cell>
          <cell r="CX70">
            <v>2000000000</v>
          </cell>
          <cell r="CY70">
            <v>5383678000</v>
          </cell>
          <cell r="CZ70">
            <v>8258805000</v>
          </cell>
          <cell r="DA70">
            <v>4565496000</v>
          </cell>
          <cell r="DB70">
            <v>907943000</v>
          </cell>
          <cell r="DC70">
            <v>123130036000</v>
          </cell>
          <cell r="DD70">
            <v>97368840000</v>
          </cell>
          <cell r="DE70">
            <v>84521835000</v>
          </cell>
          <cell r="DF70">
            <v>79319622000</v>
          </cell>
          <cell r="DG70">
            <v>109605027000</v>
          </cell>
          <cell r="DH70">
            <v>-70717519000</v>
          </cell>
          <cell r="DI70">
            <v>-16308001000</v>
          </cell>
          <cell r="DJ70">
            <v>-702225000</v>
          </cell>
          <cell r="DK70">
            <v>21877282000</v>
          </cell>
          <cell r="DL70">
            <v>0.199601082165693</v>
          </cell>
          <cell r="DM70">
            <v>0.249377001540391</v>
          </cell>
          <cell r="DN70">
            <v>-12567000</v>
          </cell>
          <cell r="DO70">
            <v>31932431500</v>
          </cell>
          <cell r="DP70">
            <v>6821241500</v>
          </cell>
          <cell r="DR70">
            <v>81501153000</v>
          </cell>
          <cell r="DS70">
            <v>-54512434000</v>
          </cell>
          <cell r="DT70">
            <v>-14280181000</v>
          </cell>
          <cell r="DU70">
            <v>-265385000</v>
          </cell>
          <cell r="DV70">
            <v>12443153000</v>
          </cell>
          <cell r="DW70">
            <v>0.152674564002794</v>
          </cell>
          <cell r="DX70">
            <v>0.18018409163311999</v>
          </cell>
          <cell r="DY70">
            <v>-1870255000</v>
          </cell>
          <cell r="DZ70">
            <v>23018982500</v>
          </cell>
          <cell r="EA70">
            <v>6412150500</v>
          </cell>
          <cell r="EC70">
            <v>73251257000</v>
          </cell>
          <cell r="ED70">
            <v>-49439031000</v>
          </cell>
          <cell r="EE70">
            <v>-9487503000</v>
          </cell>
          <cell r="EF70">
            <v>-233007000</v>
          </cell>
          <cell r="EG70">
            <v>14091716000</v>
          </cell>
          <cell r="EH70">
            <v>0.19237507419156</v>
          </cell>
          <cell r="EI70">
            <v>0.23819853504272501</v>
          </cell>
          <cell r="EJ70">
            <v>-1338761000</v>
          </cell>
          <cell r="EK70">
            <v>18897813000</v>
          </cell>
          <cell r="EL70">
            <v>2736719500</v>
          </cell>
          <cell r="EN70">
            <v>88119145666.666702</v>
          </cell>
          <cell r="EO70">
            <v>-58222994666.666702</v>
          </cell>
          <cell r="EP70">
            <v>-13358561666.6667</v>
          </cell>
          <cell r="EQ70">
            <v>-400205666.66666698</v>
          </cell>
          <cell r="ER70">
            <v>16137383666.6667</v>
          </cell>
          <cell r="ES70">
            <v>0.183131413095067</v>
          </cell>
          <cell r="ET70">
            <v>0.224187116545809</v>
          </cell>
        </row>
        <row r="71">
          <cell r="B71" t="str">
            <v>HANKOOK COSMETICS MANUFACTURING CO.,LTD.</v>
          </cell>
          <cell r="C71" t="str">
            <v>include before</v>
          </cell>
          <cell r="H71">
            <v>5.8908016475508803E-3</v>
          </cell>
          <cell r="J71" t="str">
            <v>include before</v>
          </cell>
          <cell r="K71">
            <v>0</v>
          </cell>
          <cell r="M71" t="str">
            <v>HANKOOK COSMETICS MANUFACTURING CO.,LTD.</v>
          </cell>
          <cell r="N71" t="str">
            <v>This company is primarily engaged in the manufacture of perfumes, cosmetics and other toilet preparations. The company, established in 1962, was formerly known as Hankook Cosmetics Co., Ltd. The registered head office of the company is located in Seoul, Republic of Korea. The company is listed on the Korea Stock Exchange under the ticker symbol 003350.The company provides base, cleansing, whitening and makeup products for the skin, as well as body lotions and perfumes. The company markets its products under the brand names, A3F, caLLI, Temptation, OSSION, SANSIM, CONTINUE HM, IDEM, GALENIC, ANNICK GOUTAL, XIAN, Beautri, CHESS THE CLASSIC and other brands. Its cosmetic products are exported to the United States, China and Japan. The company's domestic factory is located in Chungcheongbuk Province.</v>
          </cell>
          <cell r="O71" t="str">
            <v>Manufacturing</v>
          </cell>
          <cell r="P71" t="str">
            <v>www.hkcosm.com</v>
          </cell>
          <cell r="R71" t="str">
            <v>Republic of Korea</v>
          </cell>
          <cell r="S71" t="str">
            <v>003350</v>
          </cell>
          <cell r="T71" t="str">
            <v>A-</v>
          </cell>
          <cell r="U71" t="str">
            <v>2844</v>
          </cell>
          <cell r="V71" t="str">
            <v>Primarily engaged in the manufacture of perfumes, cosmetics and other toilet preparations</v>
          </cell>
          <cell r="W71" t="str">
            <v>manufacturer wih CGMP and ISO 22716 certifications as well as qualified production and quality management system. It secured product technology through its own research centre.- Along with expanding cosmetics OEM and ODM market, the company is strengthening its business as an OEM/ODM specialized company thgouh high level of technology and stable market network.</v>
          </cell>
          <cell r="X71" t="str">
            <v>HANKOOK COSMETICS CO.,LTD.</v>
          </cell>
          <cell r="Y71" t="str">
            <v>A3F, caLLI, Temptation, OSSION, SANSIM, CONTINUE HM, IDEM, GALENIC, ANNICK GOUTAL, XIAN, Beautri, CHESS THE CLASSIC</v>
          </cell>
          <cell r="Z71" t="str">
            <v>KR1101110037427</v>
          </cell>
          <cell r="AA71">
            <v>103876969000</v>
          </cell>
          <cell r="AB71">
            <v>67809682000</v>
          </cell>
          <cell r="AC71">
            <v>61990282000</v>
          </cell>
          <cell r="AD71">
            <v>76491978000</v>
          </cell>
          <cell r="AE71">
            <v>103876969000</v>
          </cell>
          <cell r="AF71">
            <v>67809682000</v>
          </cell>
          <cell r="AG71">
            <v>61990282000</v>
          </cell>
          <cell r="AH71">
            <v>76491978000</v>
          </cell>
          <cell r="AI71" t="str">
            <v>n.a.</v>
          </cell>
          <cell r="AJ71" t="str">
            <v>n.a.</v>
          </cell>
          <cell r="AK71" t="str">
            <v>n.a.</v>
          </cell>
          <cell r="AL71" t="str">
            <v>n.a.</v>
          </cell>
          <cell r="AM71">
            <v>103876969000</v>
          </cell>
          <cell r="AN71">
            <v>67809682000</v>
          </cell>
          <cell r="AO71">
            <v>61990282000</v>
          </cell>
          <cell r="AP71">
            <v>76491978000</v>
          </cell>
          <cell r="AQ71" t="str">
            <v>n.a.</v>
          </cell>
          <cell r="AR71" t="str">
            <v>n.a.</v>
          </cell>
          <cell r="AS71" t="str">
            <v>n.a.</v>
          </cell>
          <cell r="AT71" t="str">
            <v>n.a.</v>
          </cell>
          <cell r="AU71">
            <v>-89021055000</v>
          </cell>
          <cell r="AV71">
            <v>-58501199000</v>
          </cell>
          <cell r="AW71">
            <v>-53945279000</v>
          </cell>
          <cell r="AX71">
            <v>-65114089000</v>
          </cell>
          <cell r="AY71">
            <v>-4631418000</v>
          </cell>
          <cell r="AZ71">
            <v>-4597039000</v>
          </cell>
          <cell r="BA71">
            <v>-4083497000</v>
          </cell>
          <cell r="BB71">
            <v>-4069907000</v>
          </cell>
          <cell r="BC71">
            <v>-5016430000</v>
          </cell>
          <cell r="BD71">
            <v>-4466503000</v>
          </cell>
          <cell r="BE71">
            <v>-4653736000</v>
          </cell>
          <cell r="BF71">
            <v>-4577802000</v>
          </cell>
          <cell r="BG71">
            <v>5208066000</v>
          </cell>
          <cell r="BH71">
            <v>244941000</v>
          </cell>
          <cell r="BI71">
            <v>-692230000</v>
          </cell>
          <cell r="BJ71">
            <v>2730180000</v>
          </cell>
          <cell r="BK71">
            <v>-890065000</v>
          </cell>
          <cell r="BL71">
            <v>-1016256000</v>
          </cell>
          <cell r="BM71">
            <v>-1485973000</v>
          </cell>
          <cell r="BN71">
            <v>-1421194000</v>
          </cell>
          <cell r="BO71">
            <v>-822200000</v>
          </cell>
          <cell r="BP71">
            <v>-945361000</v>
          </cell>
          <cell r="BQ71">
            <v>-1426549000</v>
          </cell>
          <cell r="BR71">
            <v>-1371361000</v>
          </cell>
          <cell r="BS71">
            <v>-67865000</v>
          </cell>
          <cell r="BT71">
            <v>-70895000</v>
          </cell>
          <cell r="BU71">
            <v>-59424000</v>
          </cell>
          <cell r="BV71">
            <v>-49833000</v>
          </cell>
          <cell r="BW71">
            <v>4033005000</v>
          </cell>
          <cell r="BX71">
            <v>-1201699000</v>
          </cell>
          <cell r="BY71">
            <v>-4021881000</v>
          </cell>
          <cell r="BZ71">
            <v>-1488200000</v>
          </cell>
          <cell r="CA71">
            <v>53031406000</v>
          </cell>
          <cell r="CB71">
            <v>46335002000</v>
          </cell>
          <cell r="CC71">
            <v>45712402000</v>
          </cell>
          <cell r="CD71">
            <v>50870623000</v>
          </cell>
          <cell r="CE71">
            <v>9087616000</v>
          </cell>
          <cell r="CF71">
            <v>7351233000</v>
          </cell>
          <cell r="CG71">
            <v>5771577000</v>
          </cell>
          <cell r="CH71">
            <v>6808132000</v>
          </cell>
          <cell r="CI71">
            <v>16414677000</v>
          </cell>
          <cell r="CJ71">
            <v>14700174000</v>
          </cell>
          <cell r="CK71">
            <v>26161624000</v>
          </cell>
          <cell r="CL71">
            <v>19125862000</v>
          </cell>
          <cell r="CM71">
            <v>5022973000</v>
          </cell>
          <cell r="CN71">
            <v>2351942000</v>
          </cell>
          <cell r="CO71">
            <v>4371000</v>
          </cell>
          <cell r="CP71">
            <v>19996000</v>
          </cell>
          <cell r="CQ71">
            <v>22355841000</v>
          </cell>
          <cell r="CR71">
            <v>21860464000</v>
          </cell>
          <cell r="CS71">
            <v>13690400000</v>
          </cell>
          <cell r="CT71">
            <v>24789511000</v>
          </cell>
          <cell r="CU71" t="str">
            <v>n.a.</v>
          </cell>
          <cell r="CV71" t="str">
            <v>n.a.</v>
          </cell>
          <cell r="CW71">
            <v>2030000000</v>
          </cell>
          <cell r="CX71">
            <v>21627455000</v>
          </cell>
          <cell r="CY71">
            <v>4597445000</v>
          </cell>
          <cell r="CZ71">
            <v>4510110000</v>
          </cell>
          <cell r="DA71">
            <v>4545512000</v>
          </cell>
          <cell r="DB71">
            <v>4505857000</v>
          </cell>
          <cell r="DC71">
            <v>82665926000</v>
          </cell>
          <cell r="DD71">
            <v>76545671000</v>
          </cell>
          <cell r="DE71">
            <v>77657828000</v>
          </cell>
          <cell r="DF71">
            <v>84182717000</v>
          </cell>
          <cell r="DG71">
            <v>103876969000</v>
          </cell>
          <cell r="DH71">
            <v>-89021055000</v>
          </cell>
          <cell r="DI71">
            <v>-9647848000</v>
          </cell>
          <cell r="DJ71">
            <v>-890065000</v>
          </cell>
          <cell r="DK71">
            <v>4318001000</v>
          </cell>
          <cell r="DL71">
            <v>4.1568415420361403E-2</v>
          </cell>
          <cell r="DM71">
            <v>4.3371291273328602E-2</v>
          </cell>
          <cell r="DN71">
            <v>-4631418000</v>
          </cell>
          <cell r="DO71">
            <v>8219424500</v>
          </cell>
          <cell r="DP71">
            <v>4553777500</v>
          </cell>
          <cell r="DR71">
            <v>67809682000</v>
          </cell>
          <cell r="DS71">
            <v>-58501199000</v>
          </cell>
          <cell r="DT71">
            <v>-9063542000</v>
          </cell>
          <cell r="DU71">
            <v>-1016256000</v>
          </cell>
          <cell r="DV71">
            <v>-771315000</v>
          </cell>
          <cell r="DW71">
            <v>-1.1374703099182801E-2</v>
          </cell>
          <cell r="DX71">
            <v>-1.1246774379789199E-2</v>
          </cell>
          <cell r="DY71">
            <v>-4597039000</v>
          </cell>
          <cell r="DZ71">
            <v>6561405000</v>
          </cell>
          <cell r="EA71">
            <v>4527811000</v>
          </cell>
          <cell r="EC71">
            <v>61990282000</v>
          </cell>
          <cell r="ED71">
            <v>-53945279000</v>
          </cell>
          <cell r="EE71">
            <v>-8737233000</v>
          </cell>
          <cell r="EF71">
            <v>-1485973000</v>
          </cell>
          <cell r="EG71">
            <v>-2178203000</v>
          </cell>
          <cell r="EH71">
            <v>-3.5137814020591199E-2</v>
          </cell>
          <cell r="EI71">
            <v>-3.39450588556049E-2</v>
          </cell>
          <cell r="EJ71">
            <v>-4083497000</v>
          </cell>
          <cell r="EK71">
            <v>6289854500</v>
          </cell>
          <cell r="EL71">
            <v>4525684500</v>
          </cell>
          <cell r="EN71">
            <v>77892311000</v>
          </cell>
          <cell r="EO71">
            <v>-67155844333.333298</v>
          </cell>
          <cell r="EP71">
            <v>-9149541000</v>
          </cell>
          <cell r="EQ71">
            <v>-1130764666.6666701</v>
          </cell>
          <cell r="ER71">
            <v>456160999.99999702</v>
          </cell>
          <cell r="ES71">
            <v>5.8563033262679504E-3</v>
          </cell>
          <cell r="ET71">
            <v>5.8908016475508803E-3</v>
          </cell>
        </row>
        <row r="72">
          <cell r="B72" t="str">
            <v>MANYO FACTORY CO., LTD.</v>
          </cell>
          <cell r="C72" t="str">
            <v>exclude</v>
          </cell>
          <cell r="D72" t="str">
            <v>Independence(A+, A, A-, U)</v>
          </cell>
          <cell r="H72" t="str">
            <v/>
          </cell>
          <cell r="J72" t="e">
            <v>#N/A</v>
          </cell>
          <cell r="K72" t="e">
            <v>#N/A</v>
          </cell>
          <cell r="M72" t="str">
            <v>MANYO FACTORY CO., LTD.</v>
          </cell>
          <cell r="N72" t="str">
            <v>This company is engaged in the wholesale of perfumes, cosmetics and other toilet preparations. It was incorporated in 2012. It conducts business from its registered head office located in Seoul, Republic of Korea. The company's business activities include the wholesale of perfumes (natural and synthetic), cosmetics, and other toilet preparations. It is also involved in blending and compounding perfume bases, as well as the manufacture and sale of shampoos and shaving products, whether from soap or synthetic detergents.</v>
          </cell>
          <cell r="O72" t="str">
            <v>Wholesale</v>
          </cell>
          <cell r="P72" t="str">
            <v>www.manyo.co.kr</v>
          </cell>
          <cell r="R72" t="str">
            <v>Republic of Korea</v>
          </cell>
          <cell r="S72" t="str">
            <v>439090</v>
          </cell>
          <cell r="T72" t="str">
            <v>D</v>
          </cell>
          <cell r="U72" t="str">
            <v>2844</v>
          </cell>
          <cell r="V72" t="str">
            <v>Engaged in the wholesale of perfumes, cosmetics and other toilet preparations</v>
          </cell>
          <cell r="W72" t="str">
            <v>Engaged in the wholesale of perfumes, cosmetics and other toilet preparations [source: Bureau van Dijk]</v>
          </cell>
          <cell r="X72" t="str">
            <v>MANYO FACTORY CO.,LTD.</v>
          </cell>
          <cell r="Z72" t="str">
            <v>KR1101114810308</v>
          </cell>
          <cell r="AA72">
            <v>101835610000</v>
          </cell>
          <cell r="AB72" t="str">
            <v>n.a.</v>
          </cell>
          <cell r="AC72" t="str">
            <v>n.a.</v>
          </cell>
          <cell r="AD72" t="str">
            <v>n.a.</v>
          </cell>
          <cell r="AE72">
            <v>101835610000</v>
          </cell>
          <cell r="AF72" t="str">
            <v>n.a.</v>
          </cell>
          <cell r="AG72" t="str">
            <v>n.a.</v>
          </cell>
          <cell r="AH72" t="str">
            <v>n.a.</v>
          </cell>
          <cell r="AI72" t="str">
            <v>n.a.</v>
          </cell>
          <cell r="AJ72" t="str">
            <v>n.a.</v>
          </cell>
          <cell r="AK72" t="str">
            <v>n.a.</v>
          </cell>
          <cell r="AL72" t="str">
            <v>n.a.</v>
          </cell>
          <cell r="AM72">
            <v>101835610000</v>
          </cell>
          <cell r="AN72" t="str">
            <v>n.a.</v>
          </cell>
          <cell r="AO72" t="str">
            <v>n.a.</v>
          </cell>
          <cell r="AP72" t="str">
            <v>n.a.</v>
          </cell>
          <cell r="AQ72" t="str">
            <v>n.a.</v>
          </cell>
          <cell r="AR72" t="str">
            <v>n.a.</v>
          </cell>
          <cell r="AS72" t="str">
            <v>n.a.</v>
          </cell>
          <cell r="AT72" t="str">
            <v>n.a.</v>
          </cell>
          <cell r="AU72">
            <v>-32249956000</v>
          </cell>
          <cell r="AV72" t="str">
            <v>n.a.</v>
          </cell>
          <cell r="AW72" t="str">
            <v>n.a.</v>
          </cell>
          <cell r="AX72" t="str">
            <v>n.a.</v>
          </cell>
          <cell r="AY72" t="str">
            <v>n.a.</v>
          </cell>
          <cell r="AZ72" t="str">
            <v>n.a.</v>
          </cell>
          <cell r="BA72" t="str">
            <v>n.a.</v>
          </cell>
          <cell r="BB72" t="str">
            <v>n.a.</v>
          </cell>
          <cell r="BC72">
            <v>-44329439000</v>
          </cell>
          <cell r="BD72" t="str">
            <v>n.a.</v>
          </cell>
          <cell r="BE72" t="str">
            <v>n.a.</v>
          </cell>
          <cell r="BF72" t="str">
            <v>n.a.</v>
          </cell>
          <cell r="BG72">
            <v>25256215000</v>
          </cell>
          <cell r="BH72" t="str">
            <v>n.a.</v>
          </cell>
          <cell r="BI72" t="str">
            <v>n.a.</v>
          </cell>
          <cell r="BJ72" t="str">
            <v>n.a.</v>
          </cell>
          <cell r="BK72">
            <v>-761460000</v>
          </cell>
          <cell r="BL72" t="str">
            <v>n.a.</v>
          </cell>
          <cell r="BM72" t="str">
            <v>n.a.</v>
          </cell>
          <cell r="BN72" t="str">
            <v>n.a.</v>
          </cell>
          <cell r="BO72">
            <v>-466007000</v>
          </cell>
          <cell r="BP72" t="str">
            <v>n.a.</v>
          </cell>
          <cell r="BQ72" t="str">
            <v>n.a.</v>
          </cell>
          <cell r="BR72" t="str">
            <v>n.a.</v>
          </cell>
          <cell r="BS72">
            <v>-295453000</v>
          </cell>
          <cell r="BT72" t="str">
            <v>n.a.</v>
          </cell>
          <cell r="BU72" t="str">
            <v>n.a.</v>
          </cell>
          <cell r="BV72" t="str">
            <v>n.a.</v>
          </cell>
          <cell r="BW72">
            <v>17297237000</v>
          </cell>
          <cell r="BX72" t="str">
            <v>n.a.</v>
          </cell>
          <cell r="BY72" t="str">
            <v>n.a.</v>
          </cell>
          <cell r="BZ72" t="str">
            <v>n.a.</v>
          </cell>
          <cell r="CA72">
            <v>58349784000</v>
          </cell>
          <cell r="CB72" t="str">
            <v>n.a.</v>
          </cell>
          <cell r="CC72" t="str">
            <v>n.a.</v>
          </cell>
          <cell r="CD72" t="str">
            <v>n.a.</v>
          </cell>
          <cell r="CE72">
            <v>14076009000</v>
          </cell>
          <cell r="CF72" t="str">
            <v>n.a.</v>
          </cell>
          <cell r="CG72" t="str">
            <v>n.a.</v>
          </cell>
          <cell r="CH72" t="str">
            <v>n.a.</v>
          </cell>
          <cell r="CI72">
            <v>4162090000</v>
          </cell>
          <cell r="CJ72" t="str">
            <v>n.a.</v>
          </cell>
          <cell r="CK72" t="str">
            <v>n.a.</v>
          </cell>
          <cell r="CL72" t="str">
            <v>n.a.</v>
          </cell>
          <cell r="CM72">
            <v>2050000000</v>
          </cell>
          <cell r="CN72" t="str">
            <v>n.a.</v>
          </cell>
          <cell r="CO72" t="str">
            <v>n.a.</v>
          </cell>
          <cell r="CP72" t="str">
            <v>n.a.</v>
          </cell>
          <cell r="CQ72">
            <v>36890453000</v>
          </cell>
          <cell r="CR72" t="str">
            <v>n.a.</v>
          </cell>
          <cell r="CS72" t="str">
            <v>n.a.</v>
          </cell>
          <cell r="CT72" t="str">
            <v>n.a.</v>
          </cell>
          <cell r="CU72" t="str">
            <v>n.a.</v>
          </cell>
          <cell r="CV72" t="str">
            <v>n.a.</v>
          </cell>
          <cell r="CW72" t="str">
            <v>n.a.</v>
          </cell>
          <cell r="CX72" t="str">
            <v>n.a.</v>
          </cell>
          <cell r="CY72">
            <v>855789000</v>
          </cell>
          <cell r="CZ72" t="str">
            <v>n.a.</v>
          </cell>
          <cell r="DA72" t="str">
            <v>n.a.</v>
          </cell>
          <cell r="DB72" t="str">
            <v>n.a.</v>
          </cell>
          <cell r="DC72">
            <v>62788424000</v>
          </cell>
          <cell r="DD72" t="str">
            <v>n.a.</v>
          </cell>
          <cell r="DE72" t="str">
            <v>n.a.</v>
          </cell>
          <cell r="DF72" t="str">
            <v>n.a.</v>
          </cell>
          <cell r="DG72">
            <v>101835610000</v>
          </cell>
          <cell r="DH72">
            <v>-32249956000</v>
          </cell>
          <cell r="DI72">
            <v>-44329439000</v>
          </cell>
          <cell r="DJ72">
            <v>-761460000</v>
          </cell>
          <cell r="DK72">
            <v>24494755000</v>
          </cell>
          <cell r="DL72">
            <v>0.24053231477672701</v>
          </cell>
          <cell r="DM72">
            <v>0.31671171724181202</v>
          </cell>
          <cell r="DN72" t="str">
            <v>n.a.</v>
          </cell>
          <cell r="DO72" t="e">
            <v>#VALUE!</v>
          </cell>
          <cell r="DP72" t="e">
            <v>#VALUE!</v>
          </cell>
          <cell r="DR72" t="str">
            <v>无数据</v>
          </cell>
          <cell r="DS72" t="str">
            <v>n.a.</v>
          </cell>
          <cell r="DT72" t="str">
            <v>n.a.</v>
          </cell>
          <cell r="DU72" t="str">
            <v>n.a.</v>
          </cell>
          <cell r="DV72" t="str">
            <v>无数据</v>
          </cell>
          <cell r="DW72" t="e">
            <v>#VALUE!</v>
          </cell>
          <cell r="DX72" t="e">
            <v>#VALUE!</v>
          </cell>
          <cell r="DY72" t="str">
            <v>n.a.</v>
          </cell>
          <cell r="DZ72" t="e">
            <v>#VALUE!</v>
          </cell>
          <cell r="EA72" t="e">
            <v>#VALUE!</v>
          </cell>
          <cell r="EC72" t="str">
            <v>无数据</v>
          </cell>
          <cell r="ED72" t="str">
            <v>n.a.</v>
          </cell>
          <cell r="EE72" t="str">
            <v>n.a.</v>
          </cell>
          <cell r="EF72" t="str">
            <v>n.a.</v>
          </cell>
          <cell r="EG72" t="str">
            <v>无数据</v>
          </cell>
          <cell r="EH72" t="e">
            <v>#VALUE!</v>
          </cell>
          <cell r="EI72" t="e">
            <v>#VALUE!</v>
          </cell>
          <cell r="EJ72" t="str">
            <v>n.a.</v>
          </cell>
          <cell r="EK72" t="e">
            <v>#VALUE!</v>
          </cell>
          <cell r="EL72" t="e">
            <v>#VALUE!</v>
          </cell>
          <cell r="EN72" t="e">
            <v>#VALUE!</v>
          </cell>
          <cell r="EO72" t="e">
            <v>#VALUE!</v>
          </cell>
          <cell r="EP72" t="e">
            <v>#VALUE!</v>
          </cell>
          <cell r="EQ72" t="e">
            <v>#VALUE!</v>
          </cell>
          <cell r="ER72" t="e">
            <v>#VALUE!</v>
          </cell>
          <cell r="ES72" t="e">
            <v>#VALUE!</v>
          </cell>
          <cell r="ET72" t="e">
            <v>#VALUE!</v>
          </cell>
        </row>
        <row r="73">
          <cell r="B73" t="str">
            <v>HYUNDAI BIOLAND CO.,LTD.</v>
          </cell>
          <cell r="C73" t="str">
            <v>exclude</v>
          </cell>
          <cell r="D73" t="str">
            <v>Independence(A+, A, A-, U)</v>
          </cell>
          <cell r="H73" t="str">
            <v/>
          </cell>
          <cell r="J73" t="str">
            <v>exclude</v>
          </cell>
          <cell r="K73" t="str">
            <v>Independence(A+, A, A-, U)</v>
          </cell>
          <cell r="M73" t="str">
            <v>HYUNDAI BIOLAND CO.,LTD.</v>
          </cell>
          <cell r="N73" t="str">
            <v>This company is engaged in the manufacture and sale of cosmetics, and medicinal and food products. Founded in 1995, the company has its registered office located in Chungcheongnam-Do, Republic of Korea. It is a leading firm in bio technology. It offers cosmetic products, medicinal and food products. Its cosmetic products include arbutin, cellplus and fructan, which are used for personal care as moisturizing, anti-inflammation and skin whitening. Its food products consists of agaricus mycelium, selcus mycelium, nutra-HA, isovone and green tea extract, among others. The company's pharmaceutical products encompass arpicot extract, arubtin, areca catechu, astrin-ag and bio glucan, among others, are widely used for anti-aging, anti-inflammatory, anti-irritation and anti-bacterial. Further, the company distributes its products in more than 18 countries including Brazil, Japan, France, United Arab of Emirates, Thailand and the United States.</v>
          </cell>
          <cell r="O73" t="str">
            <v>Manufacturing; Wholesale</v>
          </cell>
          <cell r="P73" t="str">
            <v>www.hyundaibioland.co.kr</v>
          </cell>
          <cell r="R73" t="str">
            <v>Republic of Korea</v>
          </cell>
          <cell r="S73" t="str">
            <v>052260</v>
          </cell>
          <cell r="T73" t="str">
            <v>B+</v>
          </cell>
          <cell r="U73" t="str">
            <v>2844</v>
          </cell>
          <cell r="V73" t="str">
            <v>Engaged in the manufacture and sale of cosmetics, and medicinal and food products</v>
          </cell>
          <cell r="W73" t="str">
            <v>- Established in September 1995 for the purpose of manufacturing and selling raw materials such as pharmaceuticals, cosmetics and functional foods using natural products, and listed on the KOSDAQ market in May 2001.- In January 2015, SKC is expanding into China, North and South America, and Southeast Asian markets based on SKC''s global channels as it is a core subsidiary of SK.- In line with the transfer of SK affiliates, SK Energy changed its name to SK Bioland in July 2016 and expects growth through synergies with SKC, the largest shareholder.</v>
          </cell>
          <cell r="X73" t="str">
            <v>SKBIOLAND CO.,LTD.</v>
          </cell>
          <cell r="Z73" t="str">
            <v>KR1101111192981</v>
          </cell>
          <cell r="AA73">
            <v>99153525000</v>
          </cell>
          <cell r="AB73">
            <v>102801832000</v>
          </cell>
          <cell r="AC73">
            <v>88898821000</v>
          </cell>
          <cell r="AD73">
            <v>106310862000</v>
          </cell>
          <cell r="AE73">
            <v>99153525000</v>
          </cell>
          <cell r="AF73">
            <v>102801832000</v>
          </cell>
          <cell r="AG73">
            <v>88898821000</v>
          </cell>
          <cell r="AH73">
            <v>106310862000</v>
          </cell>
          <cell r="AI73" t="str">
            <v>n.a.</v>
          </cell>
          <cell r="AJ73" t="str">
            <v>n.a.</v>
          </cell>
          <cell r="AK73" t="str">
            <v>n.a.</v>
          </cell>
          <cell r="AL73" t="str">
            <v>n.a.</v>
          </cell>
          <cell r="AM73">
            <v>99153525000</v>
          </cell>
          <cell r="AN73">
            <v>102801832000</v>
          </cell>
          <cell r="AO73">
            <v>88898821000</v>
          </cell>
          <cell r="AP73">
            <v>106310862000</v>
          </cell>
          <cell r="AQ73" t="str">
            <v>n.a.</v>
          </cell>
          <cell r="AR73" t="str">
            <v>n.a.</v>
          </cell>
          <cell r="AS73" t="str">
            <v>n.a.</v>
          </cell>
          <cell r="AT73" t="str">
            <v>n.a.</v>
          </cell>
          <cell r="AU73">
            <v>-63503600000</v>
          </cell>
          <cell r="AV73">
            <v>-65510861000</v>
          </cell>
          <cell r="AW73">
            <v>-71600573000</v>
          </cell>
          <cell r="AX73">
            <v>-67032809000</v>
          </cell>
          <cell r="AY73">
            <v>-7470070000</v>
          </cell>
          <cell r="AZ73">
            <v>-7935013000</v>
          </cell>
          <cell r="BA73">
            <v>-7235510000</v>
          </cell>
          <cell r="BB73">
            <v>-6313761000</v>
          </cell>
          <cell r="BC73">
            <v>-17865288000</v>
          </cell>
          <cell r="BD73">
            <v>-17247379000</v>
          </cell>
          <cell r="BE73">
            <v>-17799724000</v>
          </cell>
          <cell r="BF73">
            <v>-17344396000</v>
          </cell>
          <cell r="BG73">
            <v>10314567000</v>
          </cell>
          <cell r="BH73">
            <v>12108579000</v>
          </cell>
          <cell r="BI73">
            <v>-7736986000</v>
          </cell>
          <cell r="BJ73">
            <v>15619896000</v>
          </cell>
          <cell r="BK73">
            <v>-1259858000</v>
          </cell>
          <cell r="BL73">
            <v>-1451661000</v>
          </cell>
          <cell r="BM73">
            <v>-1124423000</v>
          </cell>
          <cell r="BN73">
            <v>-1159445000</v>
          </cell>
          <cell r="BO73">
            <v>-978366000</v>
          </cell>
          <cell r="BP73">
            <v>-1193325000</v>
          </cell>
          <cell r="BQ73">
            <v>-1006003000</v>
          </cell>
          <cell r="BR73">
            <v>-1087550000</v>
          </cell>
          <cell r="BS73">
            <v>-281492000</v>
          </cell>
          <cell r="BT73">
            <v>-258336000</v>
          </cell>
          <cell r="BU73">
            <v>-118420000</v>
          </cell>
          <cell r="BV73">
            <v>-71895000</v>
          </cell>
          <cell r="BW73">
            <v>4764327000</v>
          </cell>
          <cell r="BX73">
            <v>-11686160000</v>
          </cell>
          <cell r="BY73">
            <v>-13545413000</v>
          </cell>
          <cell r="BZ73">
            <v>10848889000</v>
          </cell>
          <cell r="CA73">
            <v>71216130000</v>
          </cell>
          <cell r="CB73">
            <v>63973522000</v>
          </cell>
          <cell r="CC73">
            <v>57162930000</v>
          </cell>
          <cell r="CD73">
            <v>72750759000</v>
          </cell>
          <cell r="CE73">
            <v>34325819000</v>
          </cell>
          <cell r="CF73">
            <v>30131464000</v>
          </cell>
          <cell r="CG73">
            <v>29079788000</v>
          </cell>
          <cell r="CH73">
            <v>40112270000</v>
          </cell>
          <cell r="CI73">
            <v>12248436000</v>
          </cell>
          <cell r="CJ73">
            <v>14350604000</v>
          </cell>
          <cell r="CK73">
            <v>12643388000</v>
          </cell>
          <cell r="CL73">
            <v>15289988000</v>
          </cell>
          <cell r="CM73">
            <v>994510000</v>
          </cell>
          <cell r="CN73">
            <v>2766629000</v>
          </cell>
          <cell r="CO73">
            <v>2719167000</v>
          </cell>
          <cell r="CP73">
            <v>58280000</v>
          </cell>
          <cell r="CQ73">
            <v>22573651000</v>
          </cell>
          <cell r="CR73">
            <v>14742096000</v>
          </cell>
          <cell r="CS73">
            <v>10380837000</v>
          </cell>
          <cell r="CT73">
            <v>14314123000</v>
          </cell>
          <cell r="CU73">
            <v>14926364000</v>
          </cell>
          <cell r="CV73" t="str">
            <v>n.a.</v>
          </cell>
          <cell r="CW73" t="str">
            <v>n.a.</v>
          </cell>
          <cell r="CX73" t="str">
            <v>n.a.</v>
          </cell>
          <cell r="CY73">
            <v>2931972000</v>
          </cell>
          <cell r="CZ73">
            <v>5284560000</v>
          </cell>
          <cell r="DA73">
            <v>6701308000</v>
          </cell>
          <cell r="DB73">
            <v>33077079000</v>
          </cell>
          <cell r="DC73">
            <v>176097326000</v>
          </cell>
          <cell r="DD73">
            <v>172744144000</v>
          </cell>
          <cell r="DE73">
            <v>187657605000</v>
          </cell>
          <cell r="DF73">
            <v>209051968000</v>
          </cell>
          <cell r="DG73">
            <v>99153525000</v>
          </cell>
          <cell r="DH73">
            <v>-63503600000</v>
          </cell>
          <cell r="DI73">
            <v>-25335358000</v>
          </cell>
          <cell r="DJ73">
            <v>-1259858000</v>
          </cell>
          <cell r="DK73">
            <v>9054709000</v>
          </cell>
          <cell r="DL73">
            <v>9.1320091746612098E-2</v>
          </cell>
          <cell r="DM73">
            <v>0.10049753594986199</v>
          </cell>
          <cell r="DN73">
            <v>-7470070000</v>
          </cell>
          <cell r="DO73">
            <v>32228641500</v>
          </cell>
          <cell r="DP73">
            <v>4108266000</v>
          </cell>
          <cell r="DR73">
            <v>102801832000</v>
          </cell>
          <cell r="DS73">
            <v>-65510861000</v>
          </cell>
          <cell r="DT73">
            <v>-25182392000</v>
          </cell>
          <cell r="DU73">
            <v>-1451661000</v>
          </cell>
          <cell r="DV73">
            <v>10656918000</v>
          </cell>
          <cell r="DW73">
            <v>0.103664670100432</v>
          </cell>
          <cell r="DX73">
            <v>0.115653892736825</v>
          </cell>
          <cell r="DY73">
            <v>-7935013000</v>
          </cell>
          <cell r="DZ73">
            <v>29605626000</v>
          </cell>
          <cell r="EA73">
            <v>5992934000</v>
          </cell>
          <cell r="EC73">
            <v>88898821000</v>
          </cell>
          <cell r="ED73">
            <v>-71600573000</v>
          </cell>
          <cell r="EE73">
            <v>-25035234000</v>
          </cell>
          <cell r="EF73">
            <v>-1124423000</v>
          </cell>
          <cell r="EG73">
            <v>-8861409000</v>
          </cell>
          <cell r="EH73">
            <v>-9.9679713412622203E-2</v>
          </cell>
          <cell r="EI73">
            <v>-9.0644314155152894E-2</v>
          </cell>
          <cell r="EJ73">
            <v>-7235510000</v>
          </cell>
          <cell r="EK73">
            <v>34596029000</v>
          </cell>
          <cell r="EL73">
            <v>19889193500</v>
          </cell>
          <cell r="EN73">
            <v>96951392666.666702</v>
          </cell>
          <cell r="EO73">
            <v>-66871678000</v>
          </cell>
          <cell r="EP73">
            <v>-25184328000</v>
          </cell>
          <cell r="EQ73">
            <v>-1278647333.3333299</v>
          </cell>
          <cell r="ER73">
            <v>3616739333.3333402</v>
          </cell>
          <cell r="ES73">
            <v>3.7304666120353998E-2</v>
          </cell>
          <cell r="ET73">
            <v>3.8750230532454001E-2</v>
          </cell>
        </row>
        <row r="74">
          <cell r="B74" t="str">
            <v>SD BIOTECHNOLOGIES CO., LTD.</v>
          </cell>
          <cell r="C74" t="str">
            <v>exclude</v>
          </cell>
          <cell r="D74" t="str">
            <v>Independence(A+, A, A-, U)</v>
          </cell>
          <cell r="H74" t="str">
            <v/>
          </cell>
          <cell r="J74" t="e">
            <v>#N/A</v>
          </cell>
          <cell r="K74" t="e">
            <v>#N/A</v>
          </cell>
          <cell r="M74" t="str">
            <v>SD BIOTECHNOLOGIES CO., LTD.</v>
          </cell>
          <cell r="N74" t="str">
            <v>This company is engaged in the manufacture of cosmeceutical products. It was established in 2008. The company is headquartered in Seoul, Korea.It is a leading beauty and health company specialized in cosmeceutical products closely related to dermatology. The company's main cosmetic brand SNP is a leader in K-beauty Wave. It represents high quality products made under its original concept with premium ingredients. The company also offers its products under the Seoul Café brand name.With the purpose to develop consumer-need-oriented dermatology, it established ‘Central Dermatology Research Center’in September 2015. The institute focuses on producing cosmetic products backed by adequate scientific research. Its dermatology center in this R&amp;D facility is committed to ‘continuous research and production of certified products, combing the latest dermatological technology with clean and pure natural ingredients’.The company also operates in China and the United States.</v>
          </cell>
          <cell r="O74" t="str">
            <v>Manufacturing</v>
          </cell>
          <cell r="P74" t="str">
            <v>www.sdbiotech.co.kr</v>
          </cell>
          <cell r="R74" t="str">
            <v>Republic of Korea</v>
          </cell>
          <cell r="S74" t="str">
            <v>217480</v>
          </cell>
          <cell r="T74" t="str">
            <v>B</v>
          </cell>
          <cell r="U74" t="str">
            <v>2844</v>
          </cell>
          <cell r="V74" t="str">
            <v>Engaged in the manufacture of cosmeceutical products</v>
          </cell>
          <cell r="W74" t="str">
            <v>- Cosmetics manufacturing and sales company that mainly produces basic skin care products and mask packs including trouble care products and listed on the Kosdaq market in March 2017.- The representative product is sea bird''s nose mask pack, and it manufactures products through OEM Korea Co., Ltd. Kosupakku. It has overseas manufacturing and sales corporations in USA, China and Vietnam.- Establishment of SDI Life Sciences, making it into a global cosmetics company by entering the hair care business and entering into the cosmetics and health functional food market with the addition of Cellevue, Soleek, and Alpha B &amp; H subsidiaries.</v>
          </cell>
          <cell r="Z74" t="str">
            <v>KR1101113971466</v>
          </cell>
          <cell r="AA74">
            <v>92860030000</v>
          </cell>
          <cell r="AB74">
            <v>124680967000</v>
          </cell>
          <cell r="AC74">
            <v>140725431000</v>
          </cell>
          <cell r="AD74">
            <v>156259210000</v>
          </cell>
          <cell r="AE74">
            <v>92860030000</v>
          </cell>
          <cell r="AF74">
            <v>124680967000</v>
          </cell>
          <cell r="AG74">
            <v>140725431000</v>
          </cell>
          <cell r="AH74">
            <v>156259210000</v>
          </cell>
          <cell r="AI74" t="str">
            <v>n.a.</v>
          </cell>
          <cell r="AJ74" t="str">
            <v>n.a.</v>
          </cell>
          <cell r="AK74" t="str">
            <v>n.a.</v>
          </cell>
          <cell r="AL74" t="str">
            <v>n.a.</v>
          </cell>
          <cell r="AM74">
            <v>92860030000</v>
          </cell>
          <cell r="AN74">
            <v>124680967000</v>
          </cell>
          <cell r="AO74">
            <v>140725431000</v>
          </cell>
          <cell r="AP74">
            <v>156259210000</v>
          </cell>
          <cell r="AQ74" t="str">
            <v>n.a.</v>
          </cell>
          <cell r="AR74" t="str">
            <v>n.a.</v>
          </cell>
          <cell r="AS74" t="str">
            <v>n.a.</v>
          </cell>
          <cell r="AT74" t="str">
            <v>n.a.</v>
          </cell>
          <cell r="AU74">
            <v>-72236710000</v>
          </cell>
          <cell r="AV74">
            <v>-88479520000</v>
          </cell>
          <cell r="AW74">
            <v>-89165115000</v>
          </cell>
          <cell r="AX74">
            <v>-105545064000</v>
          </cell>
          <cell r="AY74">
            <v>-3205721000</v>
          </cell>
          <cell r="AZ74">
            <v>-5314485000</v>
          </cell>
          <cell r="BA74">
            <v>-3350036000</v>
          </cell>
          <cell r="BB74">
            <v>-3413833000</v>
          </cell>
          <cell r="BC74">
            <v>-54912273000</v>
          </cell>
          <cell r="BD74">
            <v>-63389387000</v>
          </cell>
          <cell r="BE74">
            <v>-49620204000</v>
          </cell>
          <cell r="BF74">
            <v>-62300869000</v>
          </cell>
          <cell r="BG74">
            <v>-37494674000</v>
          </cell>
          <cell r="BH74">
            <v>-32502425000</v>
          </cell>
          <cell r="BI74">
            <v>-1409924000</v>
          </cell>
          <cell r="BJ74">
            <v>-15000556000</v>
          </cell>
          <cell r="BK74">
            <v>-3533879000</v>
          </cell>
          <cell r="BL74">
            <v>-2320028000</v>
          </cell>
          <cell r="BM74">
            <v>-2302281000</v>
          </cell>
          <cell r="BN74">
            <v>-1407292000</v>
          </cell>
          <cell r="BO74">
            <v>-3203969000</v>
          </cell>
          <cell r="BP74">
            <v>-2001524000</v>
          </cell>
          <cell r="BQ74">
            <v>-2014653000</v>
          </cell>
          <cell r="BR74">
            <v>-1155468000</v>
          </cell>
          <cell r="BS74">
            <v>-329910000</v>
          </cell>
          <cell r="BT74">
            <v>-318504000</v>
          </cell>
          <cell r="BU74">
            <v>-287628000</v>
          </cell>
          <cell r="BV74">
            <v>-251824000</v>
          </cell>
          <cell r="BW74">
            <v>-72749372000</v>
          </cell>
          <cell r="BX74">
            <v>-43566666000</v>
          </cell>
          <cell r="BY74">
            <v>-8667797000</v>
          </cell>
          <cell r="BZ74">
            <v>-18444691000</v>
          </cell>
          <cell r="CA74">
            <v>44050828000</v>
          </cell>
          <cell r="CB74">
            <v>80415433000</v>
          </cell>
          <cell r="CC74">
            <v>86228818000</v>
          </cell>
          <cell r="CD74">
            <v>77337789000</v>
          </cell>
          <cell r="CE74">
            <v>16699866000</v>
          </cell>
          <cell r="CF74">
            <v>25336229000</v>
          </cell>
          <cell r="CG74">
            <v>39588893000</v>
          </cell>
          <cell r="CH74">
            <v>32988736000</v>
          </cell>
          <cell r="CI74">
            <v>7863595000</v>
          </cell>
          <cell r="CJ74">
            <v>13964156000</v>
          </cell>
          <cell r="CK74">
            <v>14999449000</v>
          </cell>
          <cell r="CL74">
            <v>18358201000</v>
          </cell>
          <cell r="CM74">
            <v>5992825000</v>
          </cell>
          <cell r="CN74">
            <v>21463960000</v>
          </cell>
          <cell r="CO74">
            <v>13100237000</v>
          </cell>
          <cell r="CP74">
            <v>8713145000</v>
          </cell>
          <cell r="CQ74">
            <v>7959941000</v>
          </cell>
          <cell r="CR74">
            <v>15121031000</v>
          </cell>
          <cell r="CS74">
            <v>12642464000</v>
          </cell>
          <cell r="CT74">
            <v>10119311000</v>
          </cell>
          <cell r="CU74" t="str">
            <v>n.a.</v>
          </cell>
          <cell r="CV74" t="str">
            <v>n.a.</v>
          </cell>
          <cell r="CW74" t="str">
            <v>n.a.</v>
          </cell>
          <cell r="CX74" t="str">
            <v>n.a.</v>
          </cell>
          <cell r="CY74">
            <v>1984571000</v>
          </cell>
          <cell r="CZ74">
            <v>16994586000</v>
          </cell>
          <cell r="DA74">
            <v>1522130000</v>
          </cell>
          <cell r="DB74">
            <v>1190347000</v>
          </cell>
          <cell r="DC74">
            <v>96439310000</v>
          </cell>
          <cell r="DD74">
            <v>146466675000</v>
          </cell>
          <cell r="DE74">
            <v>146262464000</v>
          </cell>
          <cell r="DF74">
            <v>137235392000</v>
          </cell>
          <cell r="DG74">
            <v>92860030000</v>
          </cell>
          <cell r="DH74">
            <v>-72236710000</v>
          </cell>
          <cell r="DI74">
            <v>-58117994000</v>
          </cell>
          <cell r="DJ74">
            <v>-3533879000</v>
          </cell>
          <cell r="DK74">
            <v>-41028553000</v>
          </cell>
          <cell r="DL74">
            <v>-0.44183221780135101</v>
          </cell>
          <cell r="DM74">
            <v>-0.30643802541401199</v>
          </cell>
          <cell r="DN74">
            <v>-3205721000</v>
          </cell>
          <cell r="DO74">
            <v>21018047500</v>
          </cell>
          <cell r="DP74">
            <v>9489578500</v>
          </cell>
          <cell r="DR74">
            <v>124680967000</v>
          </cell>
          <cell r="DS74">
            <v>-88479520000</v>
          </cell>
          <cell r="DT74">
            <v>-68703872000</v>
          </cell>
          <cell r="DU74">
            <v>-2320028000</v>
          </cell>
          <cell r="DV74">
            <v>-34822453000</v>
          </cell>
          <cell r="DW74">
            <v>-0.27929245207089198</v>
          </cell>
          <cell r="DX74">
            <v>-0.218317908167737</v>
          </cell>
          <cell r="DY74">
            <v>-5314485000</v>
          </cell>
          <cell r="DZ74">
            <v>32462561000</v>
          </cell>
          <cell r="EA74">
            <v>9258358000</v>
          </cell>
          <cell r="EC74">
            <v>140725431000</v>
          </cell>
          <cell r="ED74">
            <v>-89165115000</v>
          </cell>
          <cell r="EE74">
            <v>-52970240000</v>
          </cell>
          <cell r="EF74">
            <v>-2302281000</v>
          </cell>
          <cell r="EG74">
            <v>-3712205000</v>
          </cell>
          <cell r="EH74">
            <v>-2.63790629285761E-2</v>
          </cell>
          <cell r="EI74">
            <v>-2.5701092200096701E-2</v>
          </cell>
          <cell r="EJ74">
            <v>-3350036000</v>
          </cell>
          <cell r="EK74">
            <v>36288814500</v>
          </cell>
          <cell r="EL74">
            <v>1356238500</v>
          </cell>
          <cell r="EN74">
            <v>119422142666.66701</v>
          </cell>
          <cell r="EO74">
            <v>-83293781666.666702</v>
          </cell>
          <cell r="EP74">
            <v>-59930702000</v>
          </cell>
          <cell r="EQ74">
            <v>-2718729333.3333302</v>
          </cell>
          <cell r="ER74">
            <v>-26521070333.333302</v>
          </cell>
          <cell r="ES74">
            <v>-0.222078332720586</v>
          </cell>
          <cell r="ET74">
            <v>-0.18172184775275099</v>
          </cell>
        </row>
        <row r="75">
          <cell r="B75" t="str">
            <v>I FAMILY SC CO.,LTD.</v>
          </cell>
          <cell r="C75" t="str">
            <v>exclude</v>
          </cell>
          <cell r="D75" t="str">
            <v>Independence(A+, A, A-, U)</v>
          </cell>
          <cell r="H75" t="str">
            <v/>
          </cell>
          <cell r="J75" t="str">
            <v>exclude</v>
          </cell>
          <cell r="K75" t="str">
            <v>Independence(A+, A, A-, U)</v>
          </cell>
          <cell r="M75" t="str">
            <v>I FAMILY SC CO.,LTD.</v>
          </cell>
          <cell r="N75" t="str">
            <v>This company is engaged in the provision of computer programming, data processing, and other computer related services. It was incorporated in 2000. The registered head office of the company is located in Seoul, Republic of Korea. The company specialises in the provision of a wide variety of specialised hosting activities, such as web hosting, application service provisioning, general time-share mainframe facilities, and streaming services or application hosting. It is also active in the provision of professional and technical computer-related services and advice. In addition, the company assists in the collection and documentation of users' requirements; and development of logical and physical specifications.</v>
          </cell>
          <cell r="O75" t="str">
            <v>Services</v>
          </cell>
          <cell r="P75" t="str">
            <v>www.ifamily.co.kr</v>
          </cell>
          <cell r="R75" t="str">
            <v>Republic of Korea</v>
          </cell>
          <cell r="S75" t="str">
            <v>114840</v>
          </cell>
          <cell r="T75" t="str">
            <v>B-</v>
          </cell>
          <cell r="U75" t="str">
            <v>2844</v>
          </cell>
          <cell r="V75" t="str">
            <v>Engaged in the provision of computer programming, data processing, and other computer related services</v>
          </cell>
          <cell r="W75" t="str">
            <v>Engaged in the provision of computer programming, data processing, and other computer related services [source: Bureau van Dijk]</v>
          </cell>
          <cell r="X75" t="str">
            <v>I WEDDING NETWORKS CO.,LTD.</v>
          </cell>
          <cell r="Z75" t="str">
            <v>KR1101111892333</v>
          </cell>
          <cell r="AA75">
            <v>85335169000</v>
          </cell>
          <cell r="AB75">
            <v>71618220000</v>
          </cell>
          <cell r="AC75">
            <v>79218233000</v>
          </cell>
          <cell r="AD75">
            <v>39452949000</v>
          </cell>
          <cell r="AE75">
            <v>85335169000</v>
          </cell>
          <cell r="AF75">
            <v>71618220000</v>
          </cell>
          <cell r="AG75">
            <v>79218233000</v>
          </cell>
          <cell r="AH75">
            <v>39452949000</v>
          </cell>
          <cell r="AI75" t="str">
            <v>n.a.</v>
          </cell>
          <cell r="AJ75" t="str">
            <v>n.a.</v>
          </cell>
          <cell r="AK75" t="str">
            <v>n.a.</v>
          </cell>
          <cell r="AL75" t="str">
            <v>n.a.</v>
          </cell>
          <cell r="AM75">
            <v>85335169000</v>
          </cell>
          <cell r="AN75">
            <v>71618220000</v>
          </cell>
          <cell r="AO75">
            <v>79218233000</v>
          </cell>
          <cell r="AP75">
            <v>39452949000</v>
          </cell>
          <cell r="AQ75" t="str">
            <v>n.a.</v>
          </cell>
          <cell r="AR75" t="str">
            <v>n.a.</v>
          </cell>
          <cell r="AS75" t="str">
            <v>n.a.</v>
          </cell>
          <cell r="AT75" t="str">
            <v>n.a.</v>
          </cell>
          <cell r="AU75">
            <v>-52330840000</v>
          </cell>
          <cell r="AV75">
            <v>-42653969000</v>
          </cell>
          <cell r="AW75">
            <v>-45977831000</v>
          </cell>
          <cell r="AX75">
            <v>-17822443000</v>
          </cell>
          <cell r="AY75">
            <v>-864579000</v>
          </cell>
          <cell r="AZ75">
            <v>-814421000</v>
          </cell>
          <cell r="BA75">
            <v>-709948000</v>
          </cell>
          <cell r="BB75">
            <v>-619005000</v>
          </cell>
          <cell r="BC75">
            <v>-22013089000</v>
          </cell>
          <cell r="BD75">
            <v>-21765791000</v>
          </cell>
          <cell r="BE75">
            <v>-20138359000</v>
          </cell>
          <cell r="BF75">
            <v>-16907068000</v>
          </cell>
          <cell r="BG75">
            <v>10126661000</v>
          </cell>
          <cell r="BH75">
            <v>6384039000</v>
          </cell>
          <cell r="BI75">
            <v>12392095000</v>
          </cell>
          <cell r="BJ75">
            <v>4104433000</v>
          </cell>
          <cell r="BK75">
            <v>-618260000</v>
          </cell>
          <cell r="BL75">
            <v>-784652000</v>
          </cell>
          <cell r="BM75">
            <v>-763903000</v>
          </cell>
          <cell r="BN75">
            <v>-65500000</v>
          </cell>
          <cell r="BO75">
            <v>-606700000</v>
          </cell>
          <cell r="BP75">
            <v>-777277000</v>
          </cell>
          <cell r="BQ75">
            <v>-758487000</v>
          </cell>
          <cell r="BR75">
            <v>-52669000</v>
          </cell>
          <cell r="BS75">
            <v>-11560000</v>
          </cell>
          <cell r="BT75">
            <v>-7375000</v>
          </cell>
          <cell r="BU75">
            <v>-5416000</v>
          </cell>
          <cell r="BV75">
            <v>-12831000</v>
          </cell>
          <cell r="BW75">
            <v>7639365000</v>
          </cell>
          <cell r="BX75">
            <v>3644727000</v>
          </cell>
          <cell r="BY75">
            <v>8747100000</v>
          </cell>
          <cell r="BZ75">
            <v>4110117000</v>
          </cell>
          <cell r="CA75">
            <v>48152686000</v>
          </cell>
          <cell r="CB75">
            <v>49256711000</v>
          </cell>
          <cell r="CC75">
            <v>26735496000</v>
          </cell>
          <cell r="CD75">
            <v>13998892000</v>
          </cell>
          <cell r="CE75">
            <v>14667881000</v>
          </cell>
          <cell r="CF75">
            <v>12321827000</v>
          </cell>
          <cell r="CG75">
            <v>11116623000</v>
          </cell>
          <cell r="CH75">
            <v>3992728000</v>
          </cell>
          <cell r="CI75">
            <v>5241917000</v>
          </cell>
          <cell r="CJ75">
            <v>5686789000</v>
          </cell>
          <cell r="CK75">
            <v>3206354000</v>
          </cell>
          <cell r="CL75">
            <v>3063524000</v>
          </cell>
          <cell r="CM75">
            <v>15905116000</v>
          </cell>
          <cell r="CN75">
            <v>10015596000</v>
          </cell>
          <cell r="CO75" t="str">
            <v>n.a.</v>
          </cell>
          <cell r="CP75" t="str">
            <v>n.a.</v>
          </cell>
          <cell r="CQ75">
            <v>11822055000</v>
          </cell>
          <cell r="CR75">
            <v>21003898000</v>
          </cell>
          <cell r="CS75">
            <v>11866045000</v>
          </cell>
          <cell r="CT75">
            <v>6758357000</v>
          </cell>
          <cell r="CU75" t="str">
            <v>n.a.</v>
          </cell>
          <cell r="CV75" t="str">
            <v>n.a.</v>
          </cell>
          <cell r="CW75">
            <v>502570000</v>
          </cell>
          <cell r="CX75">
            <v>736819000</v>
          </cell>
          <cell r="CY75">
            <v>1600886000</v>
          </cell>
          <cell r="CZ75">
            <v>1010753000</v>
          </cell>
          <cell r="DA75">
            <v>875421000</v>
          </cell>
          <cell r="DB75">
            <v>773204000</v>
          </cell>
          <cell r="DC75">
            <v>72333626000</v>
          </cell>
          <cell r="DD75">
            <v>52974588000</v>
          </cell>
          <cell r="DE75">
            <v>30201839000</v>
          </cell>
          <cell r="DF75">
            <v>15177684000</v>
          </cell>
          <cell r="DG75">
            <v>85335169000</v>
          </cell>
          <cell r="DH75">
            <v>-52330840000</v>
          </cell>
          <cell r="DI75">
            <v>-22877668000</v>
          </cell>
          <cell r="DJ75">
            <v>-618260000</v>
          </cell>
          <cell r="DK75">
            <v>9508401000</v>
          </cell>
          <cell r="DL75">
            <v>0.111424177293186</v>
          </cell>
          <cell r="DM75">
            <v>0.12539636398586801</v>
          </cell>
          <cell r="DN75">
            <v>-864579000</v>
          </cell>
          <cell r="DO75">
            <v>13494854000</v>
          </cell>
          <cell r="DP75">
            <v>1305819500</v>
          </cell>
          <cell r="DR75">
            <v>71618220000</v>
          </cell>
          <cell r="DS75">
            <v>-42653969000</v>
          </cell>
          <cell r="DT75">
            <v>-22580212000</v>
          </cell>
          <cell r="DU75">
            <v>-784652000</v>
          </cell>
          <cell r="DV75">
            <v>5599387000</v>
          </cell>
          <cell r="DW75">
            <v>7.8183833666907704E-2</v>
          </cell>
          <cell r="DX75">
            <v>8.4814995139341501E-2</v>
          </cell>
          <cell r="DY75">
            <v>-814421000</v>
          </cell>
          <cell r="DZ75">
            <v>11719225000</v>
          </cell>
          <cell r="EA75">
            <v>943087000</v>
          </cell>
          <cell r="EC75">
            <v>79218233000</v>
          </cell>
          <cell r="ED75">
            <v>-45977831000</v>
          </cell>
          <cell r="EE75">
            <v>-20848307000</v>
          </cell>
          <cell r="EF75">
            <v>-763903000</v>
          </cell>
          <cell r="EG75">
            <v>11628192000</v>
          </cell>
          <cell r="EH75">
            <v>0.14678681358621101</v>
          </cell>
          <cell r="EI75">
            <v>0.17204001991950299</v>
          </cell>
          <cell r="EJ75">
            <v>-709948000</v>
          </cell>
          <cell r="EK75">
            <v>7554675500</v>
          </cell>
          <cell r="EL75">
            <v>824312500</v>
          </cell>
          <cell r="EN75">
            <v>78723874000</v>
          </cell>
          <cell r="EO75">
            <v>-46987546666.666702</v>
          </cell>
          <cell r="EP75">
            <v>-22102062333.333302</v>
          </cell>
          <cell r="EQ75">
            <v>-722271666.66666698</v>
          </cell>
          <cell r="ER75">
            <v>8911993333.3333397</v>
          </cell>
          <cell r="ES75">
            <v>0.113205726300173</v>
          </cell>
          <cell r="ET75">
            <v>0.12765725902566299</v>
          </cell>
        </row>
        <row r="76">
          <cell r="B76" t="str">
            <v>NEOPHARM CO.,LTD.</v>
          </cell>
          <cell r="C76" t="str">
            <v>exclude</v>
          </cell>
          <cell r="D76" t="str">
            <v>Independence(A+, A, A-, U)</v>
          </cell>
          <cell r="H76" t="str">
            <v/>
          </cell>
          <cell r="J76" t="str">
            <v>exclude</v>
          </cell>
          <cell r="K76" t="str">
            <v>Independence(A+, A, A-, U)</v>
          </cell>
          <cell r="M76" t="str">
            <v>NEOPHARM CO.,LTD.</v>
          </cell>
          <cell r="N76" t="str">
            <v>This company is engaged in the development and manufacture of skin care products. It was incorporated in 2000. The company is headquartered in Daejeon, South Korea.It mainly provides products under three brands: ATOPALM, including daily care, intensive care, special care and baby care products; Dr.MLE, including foam cleansers, oil cleansers, toners, emulsions, creams, facial masks, blemish base (BB) creams, sun protectors, white watering serums, anti-aging eye creams and others, and ZEROID, including creams and lotions for recovering damaged skin barriers and hypollalergenic foaming cleansers for atopy and sensitive skins. The company markets its product through online shopping malls and television home shopping channels, infant shops, hospitals, pharmacies and exports.</v>
          </cell>
          <cell r="O76" t="str">
            <v>Manufacturing</v>
          </cell>
          <cell r="P76" t="str">
            <v>www.neopharm.co.kr</v>
          </cell>
          <cell r="R76" t="str">
            <v>Republic of Korea</v>
          </cell>
          <cell r="S76" t="str">
            <v>092730</v>
          </cell>
          <cell r="T76" t="str">
            <v>B+</v>
          </cell>
          <cell r="U76" t="str">
            <v>2844</v>
          </cell>
          <cell r="V76" t="str">
            <v>Engaged in the development and manufacture of skin care products</v>
          </cell>
          <cell r="W76" t="str">
            <v>- Established in July 2000, it has been producing sensitive skin care products such as moisturizers and securing the technology of international patented skin barrier technology MLE (Multi-Lamellar Emulsion).- The ''Atopam'' brand has a unique competitiveness in the moisturizing category of skin care.- As a subsidiary, Neopharm (Huzhou) Trading Co., Ltd., a cosmetics sales subsidiary in China, is in the process of expanding overseas sales.</v>
          </cell>
          <cell r="Y76" t="str">
            <v>ATOPALM; Dr.MLE; ZEROID</v>
          </cell>
          <cell r="Z76" t="str">
            <v>KR1601110100688</v>
          </cell>
          <cell r="AA76">
            <v>85033138000</v>
          </cell>
          <cell r="AB76">
            <v>87930720000</v>
          </cell>
          <cell r="AC76">
            <v>81625348000</v>
          </cell>
          <cell r="AD76">
            <v>83240333000</v>
          </cell>
          <cell r="AE76">
            <v>85033138000</v>
          </cell>
          <cell r="AF76">
            <v>87930720000</v>
          </cell>
          <cell r="AG76">
            <v>81625348000</v>
          </cell>
          <cell r="AH76">
            <v>83240333000</v>
          </cell>
          <cell r="AI76" t="str">
            <v>n.a.</v>
          </cell>
          <cell r="AJ76" t="str">
            <v>n.a.</v>
          </cell>
          <cell r="AK76" t="str">
            <v>n.a.</v>
          </cell>
          <cell r="AL76" t="str">
            <v>n.a.</v>
          </cell>
          <cell r="AM76">
            <v>85033138000</v>
          </cell>
          <cell r="AN76">
            <v>87930720000</v>
          </cell>
          <cell r="AO76">
            <v>81625348000</v>
          </cell>
          <cell r="AP76">
            <v>83240333000</v>
          </cell>
          <cell r="AQ76" t="str">
            <v>n.a.</v>
          </cell>
          <cell r="AR76" t="str">
            <v>n.a.</v>
          </cell>
          <cell r="AS76" t="str">
            <v>n.a.</v>
          </cell>
          <cell r="AT76" t="str">
            <v>n.a.</v>
          </cell>
          <cell r="AU76">
            <v>-26653114000</v>
          </cell>
          <cell r="AV76">
            <v>-25544405000</v>
          </cell>
          <cell r="AW76">
            <v>-22983728000</v>
          </cell>
          <cell r="AX76">
            <v>-23136104000</v>
          </cell>
          <cell r="AY76">
            <v>-2853984000</v>
          </cell>
          <cell r="AZ76">
            <v>-2935148000</v>
          </cell>
          <cell r="BA76">
            <v>-2801542000</v>
          </cell>
          <cell r="BB76">
            <v>-2518107000</v>
          </cell>
          <cell r="BC76">
            <v>-32984011000</v>
          </cell>
          <cell r="BD76">
            <v>-36021761000</v>
          </cell>
          <cell r="BE76">
            <v>-32990780000</v>
          </cell>
          <cell r="BF76">
            <v>-33958410000</v>
          </cell>
          <cell r="BG76">
            <v>22542029000</v>
          </cell>
          <cell r="BH76">
            <v>23429406000</v>
          </cell>
          <cell r="BI76">
            <v>22849298000</v>
          </cell>
          <cell r="BJ76">
            <v>23627712000</v>
          </cell>
          <cell r="BK76">
            <v>-1103239000</v>
          </cell>
          <cell r="BL76">
            <v>-998560000</v>
          </cell>
          <cell r="BM76">
            <v>-947205000</v>
          </cell>
          <cell r="BN76">
            <v>-667211000</v>
          </cell>
          <cell r="BO76">
            <v>-686570000</v>
          </cell>
          <cell r="BP76">
            <v>-578357000</v>
          </cell>
          <cell r="BQ76">
            <v>-546078000</v>
          </cell>
          <cell r="BR76">
            <v>-534735000</v>
          </cell>
          <cell r="BS76">
            <v>-416669000</v>
          </cell>
          <cell r="BT76">
            <v>-420203000</v>
          </cell>
          <cell r="BU76">
            <v>-401127000</v>
          </cell>
          <cell r="BV76">
            <v>-132476000</v>
          </cell>
          <cell r="BW76">
            <v>17027040000</v>
          </cell>
          <cell r="BX76">
            <v>17713276000</v>
          </cell>
          <cell r="BY76">
            <v>18130855000</v>
          </cell>
          <cell r="BZ76">
            <v>19245382000</v>
          </cell>
          <cell r="CA76">
            <v>131270044000</v>
          </cell>
          <cell r="CB76">
            <v>121483816000</v>
          </cell>
          <cell r="CC76">
            <v>113551469000</v>
          </cell>
          <cell r="CD76">
            <v>101680178000</v>
          </cell>
          <cell r="CE76">
            <v>8749037000</v>
          </cell>
          <cell r="CF76">
            <v>7973482000</v>
          </cell>
          <cell r="CG76">
            <v>8089751000</v>
          </cell>
          <cell r="CH76">
            <v>5840464000</v>
          </cell>
          <cell r="CI76">
            <v>6593068000</v>
          </cell>
          <cell r="CJ76">
            <v>7572763000</v>
          </cell>
          <cell r="CK76">
            <v>8431865000</v>
          </cell>
          <cell r="CL76">
            <v>8944227000</v>
          </cell>
          <cell r="CM76">
            <v>103088532000</v>
          </cell>
          <cell r="CN76">
            <v>98018197000</v>
          </cell>
          <cell r="CO76">
            <v>84013688000</v>
          </cell>
          <cell r="CP76">
            <v>80011517000</v>
          </cell>
          <cell r="CQ76">
            <v>11485361000</v>
          </cell>
          <cell r="CR76">
            <v>7048975000</v>
          </cell>
          <cell r="CS76">
            <v>12180788000</v>
          </cell>
          <cell r="CT76">
            <v>5515261000</v>
          </cell>
          <cell r="CU76">
            <v>602498000</v>
          </cell>
          <cell r="CV76" t="str">
            <v>n.a.</v>
          </cell>
          <cell r="CW76">
            <v>992058000</v>
          </cell>
          <cell r="CX76" t="str">
            <v>n.a.</v>
          </cell>
          <cell r="CY76">
            <v>1351046000</v>
          </cell>
          <cell r="CZ76">
            <v>1233012000</v>
          </cell>
          <cell r="DA76">
            <v>1207010000</v>
          </cell>
          <cell r="DB76">
            <v>2402807000</v>
          </cell>
          <cell r="DC76">
            <v>155347427000</v>
          </cell>
          <cell r="DD76">
            <v>143408029000</v>
          </cell>
          <cell r="DE76">
            <v>132977764000</v>
          </cell>
          <cell r="DF76">
            <v>122741537000</v>
          </cell>
          <cell r="DG76">
            <v>85033138000</v>
          </cell>
          <cell r="DH76">
            <v>-26653114000</v>
          </cell>
          <cell r="DI76">
            <v>-35837995000</v>
          </cell>
          <cell r="DJ76">
            <v>-1103239000</v>
          </cell>
          <cell r="DK76">
            <v>21438790000</v>
          </cell>
          <cell r="DL76">
            <v>0.252122766538382</v>
          </cell>
          <cell r="DM76">
            <v>0.33711785204559402</v>
          </cell>
          <cell r="DN76">
            <v>-2853984000</v>
          </cell>
          <cell r="DO76">
            <v>8361259500</v>
          </cell>
          <cell r="DP76">
            <v>1292029000</v>
          </cell>
          <cell r="DR76">
            <v>87930720000</v>
          </cell>
          <cell r="DS76">
            <v>-25544405000</v>
          </cell>
          <cell r="DT76">
            <v>-38956909000</v>
          </cell>
          <cell r="DU76">
            <v>-998560000</v>
          </cell>
          <cell r="DV76">
            <v>22430846000</v>
          </cell>
          <cell r="DW76">
            <v>0.25509680803250601</v>
          </cell>
          <cell r="DX76">
            <v>0.34245632289307898</v>
          </cell>
          <cell r="DY76">
            <v>-2935148000</v>
          </cell>
          <cell r="DZ76">
            <v>8031616500</v>
          </cell>
          <cell r="EA76">
            <v>1220011000</v>
          </cell>
          <cell r="EC76">
            <v>81625348000</v>
          </cell>
          <cell r="ED76">
            <v>-22983728000</v>
          </cell>
          <cell r="EE76">
            <v>-35792322000</v>
          </cell>
          <cell r="EF76">
            <v>-947205000</v>
          </cell>
          <cell r="EG76">
            <v>21902093000</v>
          </cell>
          <cell r="EH76">
            <v>0.26832465081802798</v>
          </cell>
          <cell r="EI76">
            <v>0.36672637819221299</v>
          </cell>
          <cell r="EJ76">
            <v>-2801542000</v>
          </cell>
          <cell r="EK76">
            <v>6965107500</v>
          </cell>
          <cell r="EL76">
            <v>1804908500</v>
          </cell>
          <cell r="EN76">
            <v>84863068666.666702</v>
          </cell>
          <cell r="EO76">
            <v>-25060415666.666698</v>
          </cell>
          <cell r="EP76">
            <v>-36862408666.666702</v>
          </cell>
          <cell r="EQ76">
            <v>-1016334666.66667</v>
          </cell>
          <cell r="ER76">
            <v>21923909666.666698</v>
          </cell>
          <cell r="ES76">
            <v>0.25834453091463699</v>
          </cell>
          <cell r="ET76">
            <v>0.348334963717368</v>
          </cell>
        </row>
        <row r="77">
          <cell r="B77" t="str">
            <v>UNILEVER NEPAL LIMITED</v>
          </cell>
          <cell r="C77" t="str">
            <v>exclude</v>
          </cell>
          <cell r="D77" t="str">
            <v>Independence(A+, A, A-, U)</v>
          </cell>
          <cell r="H77" t="str">
            <v/>
          </cell>
          <cell r="J77" t="str">
            <v>exclude</v>
          </cell>
          <cell r="K77" t="str">
            <v>Independence(A+, A, A-, U)</v>
          </cell>
          <cell r="M77" t="str">
            <v>UNILEVER NEPAL LIMITED</v>
          </cell>
          <cell r="N77" t="str">
            <v>This company, formerly Nepal Lever Limited, is primarily engaged in the manufacture and supply of detergent, soap and other personal care products. It was incorporated in 1992. The company has a registered office located in Makawanpur, Nepal.The company is one of the largest personal care company in South Asia. It produces a wide range of detergent powder, toilet soap and toothpaste, as well as hair care and skin care products. It distributes its products under the brands Lux, Close-Up, and Pepsodent. It markets products in North America, South America, Western Europe, Eastern Europe, Eastern Asia, Southeast Asia, the Middle East, Africa and Oceania.The company is a subsidiary of Hindustan Lever Ltd. which is located in India.</v>
          </cell>
          <cell r="O77" t="str">
            <v>Manufacturing; Wholesale</v>
          </cell>
          <cell r="P77" t="str">
            <v>www.unilevernepal.com</v>
          </cell>
          <cell r="R77" t="str">
            <v>Nepal</v>
          </cell>
          <cell r="S77" t="str">
            <v>UNL</v>
          </cell>
          <cell r="T77" t="str">
            <v>D</v>
          </cell>
          <cell r="U77" t="str">
            <v>2841</v>
          </cell>
          <cell r="V77" t="str">
            <v>Primarily engaged in the manufacture and supply of detergent, soap and other personal care products</v>
          </cell>
          <cell r="W77" t="str">
            <v>The Company is engaged in manufacturing detergents, scorers, laundry soaps, soap noodles, toilet soap and personal care products.</v>
          </cell>
          <cell r="Y77" t="str">
            <v>Lux, Close-Up, and Pepsodent</v>
          </cell>
          <cell r="Z77" t="str">
            <v>NP30013FB</v>
          </cell>
          <cell r="AA77">
            <v>7525388000</v>
          </cell>
          <cell r="AB77">
            <v>5743973000</v>
          </cell>
          <cell r="AC77">
            <v>5639772000</v>
          </cell>
          <cell r="AD77">
            <v>6215263000</v>
          </cell>
          <cell r="AE77">
            <v>7790308000</v>
          </cell>
          <cell r="AF77">
            <v>6132943000</v>
          </cell>
          <cell r="AG77">
            <v>5966068000</v>
          </cell>
          <cell r="AH77">
            <v>6250829000</v>
          </cell>
          <cell r="AI77">
            <v>-456693000</v>
          </cell>
          <cell r="AJ77">
            <v>-402219000</v>
          </cell>
          <cell r="AK77">
            <v>-418846000</v>
          </cell>
          <cell r="AL77">
            <v>-496767000</v>
          </cell>
          <cell r="AM77">
            <v>7333615000</v>
          </cell>
          <cell r="AN77">
            <v>5730724000</v>
          </cell>
          <cell r="AO77">
            <v>5547222000</v>
          </cell>
          <cell r="AP77">
            <v>5754062000</v>
          </cell>
          <cell r="AQ77">
            <v>191773000</v>
          </cell>
          <cell r="AR77">
            <v>13249000</v>
          </cell>
          <cell r="AS77">
            <v>92550000</v>
          </cell>
          <cell r="AT77">
            <v>461201000</v>
          </cell>
          <cell r="AU77">
            <v>-3827369000</v>
          </cell>
          <cell r="AV77">
            <v>-2964731000</v>
          </cell>
          <cell r="AW77">
            <v>-3081037000</v>
          </cell>
          <cell r="AX77">
            <v>-3089237000</v>
          </cell>
          <cell r="AY77">
            <v>0</v>
          </cell>
          <cell r="AZ77">
            <v>0</v>
          </cell>
          <cell r="BA77">
            <v>0</v>
          </cell>
          <cell r="BB77">
            <v>0</v>
          </cell>
          <cell r="BC77">
            <v>-1683404000</v>
          </cell>
          <cell r="BD77">
            <v>-1632584000</v>
          </cell>
          <cell r="BE77">
            <v>-1602718000</v>
          </cell>
          <cell r="BF77">
            <v>-1744226000</v>
          </cell>
          <cell r="BG77">
            <v>2014615000</v>
          </cell>
          <cell r="BH77">
            <v>1146658000</v>
          </cell>
          <cell r="BI77">
            <v>956017000</v>
          </cell>
          <cell r="BJ77">
            <v>1381800000</v>
          </cell>
          <cell r="BK77">
            <v>-192171000</v>
          </cell>
          <cell r="BL77">
            <v>-117568000</v>
          </cell>
          <cell r="BM77">
            <v>-98645000</v>
          </cell>
          <cell r="BN77">
            <v>-66935000</v>
          </cell>
          <cell r="BO77">
            <v>-169272000</v>
          </cell>
          <cell r="BP77">
            <v>-94217000</v>
          </cell>
          <cell r="BQ77">
            <v>-75377000</v>
          </cell>
          <cell r="BR77">
            <v>-55677000</v>
          </cell>
          <cell r="BS77">
            <v>-22899000</v>
          </cell>
          <cell r="BT77">
            <v>-23351000</v>
          </cell>
          <cell r="BU77">
            <v>-23268000</v>
          </cell>
          <cell r="BV77">
            <v>-11258000</v>
          </cell>
          <cell r="BW77">
            <v>1541981000</v>
          </cell>
          <cell r="BX77">
            <v>860877000</v>
          </cell>
          <cell r="BY77">
            <v>358005000</v>
          </cell>
          <cell r="BZ77">
            <v>1065392000</v>
          </cell>
          <cell r="CA77">
            <v>4190078000</v>
          </cell>
          <cell r="CB77">
            <v>3672846000</v>
          </cell>
          <cell r="CC77">
            <v>2513698000</v>
          </cell>
          <cell r="CD77">
            <v>2871362000</v>
          </cell>
          <cell r="CE77">
            <v>1123329000</v>
          </cell>
          <cell r="CF77">
            <v>842543000</v>
          </cell>
          <cell r="CG77">
            <v>626121000</v>
          </cell>
          <cell r="CH77">
            <v>822422000</v>
          </cell>
          <cell r="CI77">
            <v>1003580000</v>
          </cell>
          <cell r="CJ77">
            <v>655259000</v>
          </cell>
          <cell r="CK77">
            <v>583493000</v>
          </cell>
          <cell r="CL77">
            <v>452825000</v>
          </cell>
          <cell r="CM77">
            <v>18107000</v>
          </cell>
          <cell r="CN77">
            <v>17242000</v>
          </cell>
          <cell r="CO77">
            <v>46449000</v>
          </cell>
          <cell r="CP77">
            <v>383238000</v>
          </cell>
          <cell r="CQ77">
            <v>1692569000</v>
          </cell>
          <cell r="CR77">
            <v>1733051000</v>
          </cell>
          <cell r="CS77">
            <v>1031635000</v>
          </cell>
          <cell r="CT77">
            <v>823091000</v>
          </cell>
          <cell r="CU77">
            <v>1121000000</v>
          </cell>
          <cell r="CV77">
            <v>932900000</v>
          </cell>
          <cell r="CW77">
            <v>334900000</v>
          </cell>
          <cell r="CX77">
            <v>574023000</v>
          </cell>
          <cell r="CY77">
            <v>603112000</v>
          </cell>
          <cell r="CZ77">
            <v>158171000</v>
          </cell>
          <cell r="DA77">
            <v>188028000</v>
          </cell>
          <cell r="DB77">
            <v>202442000</v>
          </cell>
          <cell r="DC77">
            <v>5804683000</v>
          </cell>
          <cell r="DD77">
            <v>4753226000</v>
          </cell>
          <cell r="DE77">
            <v>3723422000</v>
          </cell>
          <cell r="DF77">
            <v>3857187000</v>
          </cell>
          <cell r="DG77">
            <v>7333615000</v>
          </cell>
          <cell r="DH77">
            <v>-3827369000</v>
          </cell>
          <cell r="DI77">
            <v>-1683404000</v>
          </cell>
          <cell r="DJ77">
            <v>-192171000</v>
          </cell>
          <cell r="DK77">
            <v>1630671000</v>
          </cell>
          <cell r="DL77">
            <v>0.22235568679293899</v>
          </cell>
          <cell r="DM77">
            <v>0.28593494868615199</v>
          </cell>
          <cell r="DN77">
            <v>0</v>
          </cell>
          <cell r="DO77">
            <v>982936000</v>
          </cell>
          <cell r="DP77">
            <v>380641500</v>
          </cell>
          <cell r="DR77">
            <v>5730724000</v>
          </cell>
          <cell r="DS77">
            <v>-2964731000</v>
          </cell>
          <cell r="DT77">
            <v>-1632584000</v>
          </cell>
          <cell r="DU77">
            <v>-117568000</v>
          </cell>
          <cell r="DV77">
            <v>1015841000</v>
          </cell>
          <cell r="DW77">
            <v>0.17726224470067001</v>
          </cell>
          <cell r="DX77">
            <v>0.215454126857443</v>
          </cell>
          <cell r="DY77">
            <v>0</v>
          </cell>
          <cell r="DZ77">
            <v>734332000</v>
          </cell>
          <cell r="EA77">
            <v>173099500</v>
          </cell>
          <cell r="EC77">
            <v>5547222000</v>
          </cell>
          <cell r="ED77">
            <v>-3081037000</v>
          </cell>
          <cell r="EE77">
            <v>-1602718000</v>
          </cell>
          <cell r="EF77">
            <v>-98645000</v>
          </cell>
          <cell r="EG77">
            <v>764822000</v>
          </cell>
          <cell r="EH77">
            <v>0.13787477768151299</v>
          </cell>
          <cell r="EI77">
            <v>0.15992430578788899</v>
          </cell>
          <cell r="EJ77">
            <v>0</v>
          </cell>
          <cell r="EK77">
            <v>724271500</v>
          </cell>
          <cell r="EL77">
            <v>195235000</v>
          </cell>
          <cell r="EN77">
            <v>6203853666.6666698</v>
          </cell>
          <cell r="EO77">
            <v>-3291045666.6666698</v>
          </cell>
          <cell r="EP77">
            <v>-1639568666.6666701</v>
          </cell>
          <cell r="EQ77">
            <v>-136128000</v>
          </cell>
          <cell r="ER77">
            <v>1137111333.3333299</v>
          </cell>
          <cell r="ES77">
            <v>0.18329112748790899</v>
          </cell>
          <cell r="ET77">
            <v>0.224426516788203</v>
          </cell>
        </row>
        <row r="78">
          <cell r="B78" t="str">
            <v>CONG TY CO PHAN BOT GIAT NET</v>
          </cell>
          <cell r="C78" t="str">
            <v>exclude</v>
          </cell>
          <cell r="D78" t="str">
            <v>Independence(A+, A, A-, U)</v>
          </cell>
          <cell r="H78" t="str">
            <v/>
          </cell>
          <cell r="J78" t="str">
            <v>exclude</v>
          </cell>
          <cell r="K78" t="str">
            <v>Independence(A+, A, A-, U)</v>
          </cell>
          <cell r="M78" t="str">
            <v>CONG TY CO PHAN BOT GIAT NET</v>
          </cell>
          <cell r="N78" t="str">
            <v>This company is engaged in the manufacture and supply of household products. It was established in 1968. The company is headquartered in Dong Nai, Vietnam. It is listed on the Hanoi Securities Trading Center under the ticker symbol NET. The registered head office of the company is located in Dong Nai, Vietnam.It offers detergents, including washing powder, dishwater, floor cleaner and glass cleaner, as well as liquid fabric softener. It also cooperates with Unilever Vietnam Limited to manufactures and exports detergents and other cleaning products. Its products are exported to Japan, Australia, Cuba, Taiwan, Philippines, Cambodia, New Zealand, Thailand, India and Latin America.The company aims to supply consumers with products and services satisfying their demands. It strives to become a detergent manufacturer that offers the best quality and lowest production costs in Southeast Asia.</v>
          </cell>
          <cell r="O78" t="str">
            <v>Manufacturing; Wholesale</v>
          </cell>
          <cell r="P78" t="str">
            <v>www.netcovn.com.vn</v>
          </cell>
          <cell r="R78" t="str">
            <v>Vietnam</v>
          </cell>
          <cell r="S78" t="str">
            <v>NET</v>
          </cell>
          <cell r="T78" t="str">
            <v>D</v>
          </cell>
          <cell r="U78" t="str">
            <v>2841</v>
          </cell>
          <cell r="V78" t="str">
            <v>Engaged in the manufacture and supply of household products</v>
          </cell>
          <cell r="W78" t="str">
            <v>Business category: Production of purchasing detergents, cosmetics and other materials related to the cosmetics industry, purchasing the supplies and cleaning chemicals industry;  Leasing warehouses, factories, offices;  Real estate business;  Motel hotel business (activities outside the province);  Production of bottled water (not produced at the office);  Road transportation.</v>
          </cell>
          <cell r="X78" t="str">
            <v>CONG TY BOT GIAT NET</v>
          </cell>
          <cell r="Z78" t="str">
            <v>VN4703000053</v>
          </cell>
          <cell r="AA78">
            <v>1529909122000</v>
          </cell>
          <cell r="AB78">
            <v>1479644750000</v>
          </cell>
          <cell r="AC78">
            <v>1470113908000</v>
          </cell>
          <cell r="AD78">
            <v>1157310901000</v>
          </cell>
          <cell r="AE78">
            <v>1540164943000</v>
          </cell>
          <cell r="AF78">
            <v>1479644750000</v>
          </cell>
          <cell r="AG78">
            <v>1490490627000</v>
          </cell>
          <cell r="AH78">
            <v>1157310901000</v>
          </cell>
          <cell r="AI78">
            <v>-10255821000</v>
          </cell>
          <cell r="AJ78" t="str">
            <v>n.a.</v>
          </cell>
          <cell r="AK78">
            <v>-20376719000</v>
          </cell>
          <cell r="AL78" t="str">
            <v>n.a.</v>
          </cell>
          <cell r="AM78">
            <v>1529909122000</v>
          </cell>
          <cell r="AN78">
            <v>1479644750000</v>
          </cell>
          <cell r="AO78">
            <v>1470113908000</v>
          </cell>
          <cell r="AP78">
            <v>1157310901000</v>
          </cell>
          <cell r="AQ78" t="str">
            <v>n.a.</v>
          </cell>
          <cell r="AR78" t="str">
            <v>n.a.</v>
          </cell>
          <cell r="AS78" t="str">
            <v>n.a.</v>
          </cell>
          <cell r="AT78" t="str">
            <v>n.a.</v>
          </cell>
          <cell r="AU78">
            <v>-1241145948000</v>
          </cell>
          <cell r="AV78">
            <v>-1164314749000</v>
          </cell>
          <cell r="AW78">
            <v>-1108784739000</v>
          </cell>
          <cell r="AX78">
            <v>-911660825000</v>
          </cell>
          <cell r="AY78">
            <v>0</v>
          </cell>
          <cell r="AZ78">
            <v>0</v>
          </cell>
          <cell r="BA78">
            <v>0</v>
          </cell>
          <cell r="BB78">
            <v>0</v>
          </cell>
          <cell r="BC78">
            <v>-169198610000</v>
          </cell>
          <cell r="BD78">
            <v>-171021327000</v>
          </cell>
          <cell r="BE78">
            <v>-194013338000</v>
          </cell>
          <cell r="BF78">
            <v>-141599393000</v>
          </cell>
          <cell r="BG78">
            <v>119564564000</v>
          </cell>
          <cell r="BH78">
            <v>144308674000</v>
          </cell>
          <cell r="BI78">
            <v>167315831000</v>
          </cell>
          <cell r="BJ78">
            <v>104050683000</v>
          </cell>
          <cell r="BK78">
            <v>-22132237000</v>
          </cell>
          <cell r="BL78">
            <v>-21533949000</v>
          </cell>
          <cell r="BM78">
            <v>-20964660000</v>
          </cell>
          <cell r="BN78">
            <v>-21547036000</v>
          </cell>
          <cell r="BO78">
            <v>-22068737000</v>
          </cell>
          <cell r="BP78">
            <v>-21470449000</v>
          </cell>
          <cell r="BQ78">
            <v>-20964660000</v>
          </cell>
          <cell r="BR78">
            <v>-21528244000</v>
          </cell>
          <cell r="BS78">
            <v>-63500000</v>
          </cell>
          <cell r="BT78">
            <v>-63500000</v>
          </cell>
          <cell r="BU78">
            <v>0</v>
          </cell>
          <cell r="BV78">
            <v>-18792000</v>
          </cell>
          <cell r="BW78">
            <v>88155063000</v>
          </cell>
          <cell r="BX78">
            <v>113363537000</v>
          </cell>
          <cell r="BY78">
            <v>133411233000</v>
          </cell>
          <cell r="BZ78">
            <v>81123374000</v>
          </cell>
          <cell r="CA78">
            <v>481207043000</v>
          </cell>
          <cell r="CB78">
            <v>405908492000</v>
          </cell>
          <cell r="CC78">
            <v>388752612000</v>
          </cell>
          <cell r="CD78">
            <v>254792225000</v>
          </cell>
          <cell r="CE78">
            <v>204562354000</v>
          </cell>
          <cell r="CF78">
            <v>201792625000</v>
          </cell>
          <cell r="CG78">
            <v>198920247000</v>
          </cell>
          <cell r="CH78">
            <v>104650353000</v>
          </cell>
          <cell r="CI78">
            <v>70216051000</v>
          </cell>
          <cell r="CJ78">
            <v>64703359000</v>
          </cell>
          <cell r="CK78">
            <v>58608877000</v>
          </cell>
          <cell r="CL78">
            <v>47480166000</v>
          </cell>
          <cell r="CM78">
            <v>3260408000</v>
          </cell>
          <cell r="CN78">
            <v>2578191000</v>
          </cell>
          <cell r="CO78">
            <v>4032139000</v>
          </cell>
          <cell r="CP78">
            <v>2324737000</v>
          </cell>
          <cell r="CQ78">
            <v>198822689000</v>
          </cell>
          <cell r="CR78">
            <v>136385827000</v>
          </cell>
          <cell r="CS78">
            <v>124863917000</v>
          </cell>
          <cell r="CT78">
            <v>100032948000</v>
          </cell>
          <cell r="CU78">
            <v>6500000000</v>
          </cell>
          <cell r="CV78">
            <v>94975000000</v>
          </cell>
          <cell r="CW78">
            <v>85300000000</v>
          </cell>
          <cell r="CX78">
            <v>63500000000</v>
          </cell>
          <cell r="CY78">
            <v>2087374000</v>
          </cell>
          <cell r="CZ78">
            <v>2293979000</v>
          </cell>
          <cell r="DA78">
            <v>2625844000</v>
          </cell>
          <cell r="DB78">
            <v>1383295000</v>
          </cell>
          <cell r="DC78">
            <v>758946959000</v>
          </cell>
          <cell r="DD78">
            <v>704509867000</v>
          </cell>
          <cell r="DE78">
            <v>695640970000</v>
          </cell>
          <cell r="DF78">
            <v>576491142000</v>
          </cell>
          <cell r="DG78">
            <v>1529909122000</v>
          </cell>
          <cell r="DH78">
            <v>-1241145948000</v>
          </cell>
          <cell r="DI78">
            <v>-169198610000</v>
          </cell>
          <cell r="DJ78">
            <v>-22132237000</v>
          </cell>
          <cell r="DK78">
            <v>97432327000</v>
          </cell>
          <cell r="DL78">
            <v>6.3685042202134196E-2</v>
          </cell>
          <cell r="DM78">
            <v>6.8016687837515702E-2</v>
          </cell>
          <cell r="DN78">
            <v>0</v>
          </cell>
          <cell r="DO78">
            <v>203177489500</v>
          </cell>
          <cell r="DP78">
            <v>2190676500</v>
          </cell>
          <cell r="DR78">
            <v>1479644750000</v>
          </cell>
          <cell r="DS78">
            <v>-1164314749000</v>
          </cell>
          <cell r="DT78">
            <v>-171021327000</v>
          </cell>
          <cell r="DU78">
            <v>-21533949000</v>
          </cell>
          <cell r="DV78">
            <v>122774725000</v>
          </cell>
          <cell r="DW78">
            <v>8.2975812268451604E-2</v>
          </cell>
          <cell r="DX78">
            <v>9.0483777176815397E-2</v>
          </cell>
          <cell r="DY78">
            <v>0</v>
          </cell>
          <cell r="DZ78">
            <v>200356436000</v>
          </cell>
          <cell r="EA78">
            <v>2459911500</v>
          </cell>
          <cell r="EC78">
            <v>1470113908000</v>
          </cell>
          <cell r="ED78">
            <v>-1108784739000</v>
          </cell>
          <cell r="EE78">
            <v>-194013338000</v>
          </cell>
          <cell r="EF78">
            <v>-20964660000</v>
          </cell>
          <cell r="EG78">
            <v>146351171000</v>
          </cell>
          <cell r="EH78">
            <v>9.9550905683969598E-2</v>
          </cell>
          <cell r="EI78">
            <v>0.110556950206705</v>
          </cell>
          <cell r="EJ78">
            <v>0</v>
          </cell>
          <cell r="EK78">
            <v>151785300000</v>
          </cell>
          <cell r="EL78">
            <v>2004569500</v>
          </cell>
          <cell r="EN78">
            <v>1493222593333.3301</v>
          </cell>
          <cell r="EO78">
            <v>-1171415145333.3301</v>
          </cell>
          <cell r="EP78">
            <v>-178077758333.33301</v>
          </cell>
          <cell r="EQ78">
            <v>-21543615333.333302</v>
          </cell>
          <cell r="ER78">
            <v>122186074333.33299</v>
          </cell>
          <cell r="ES78">
            <v>8.1827099910520604E-2</v>
          </cell>
          <cell r="ET78">
            <v>8.9119489262366902E-2</v>
          </cell>
        </row>
        <row r="79">
          <cell r="B79" t="str">
            <v>C'BON COSMETICS CO LTD</v>
          </cell>
          <cell r="C79" t="str">
            <v>exclude</v>
          </cell>
          <cell r="D79" t="str">
            <v>Consecutive loss</v>
          </cell>
          <cell r="H79" t="str">
            <v/>
          </cell>
          <cell r="J79" t="str">
            <v>exclude</v>
          </cell>
          <cell r="K79" t="str">
            <v>Consecutive loss</v>
          </cell>
          <cell r="M79" t="str">
            <v>C'BON COSMETICS CO LTD</v>
          </cell>
          <cell r="N79" t="str">
            <v>The company is engaged in the manufacture and sale of perfumes, cosmetics and other toilet preparations. It was incorporated in the year 1966 and it conducts business from its registered head office which is located in Tokyo, Japan.The company primarily offers the following products: micronizing products, mascara, retractile eye liner, lip glow, micronized cream powder, loose powders, blushes, solar make-up, mouse make up, depilatory bands, and face bar. The company operates chemical development laboratories, and develops state-of-the-art production machineries. Serious and efficient service makes the company distinguished developers and producers for market leading brands. Its products are also distributed in China, Hong Kong, South Korea, Taiwan, and Singapore.</v>
          </cell>
          <cell r="O79" t="str">
            <v>Manufacturing</v>
          </cell>
          <cell r="P79" t="str">
            <v>www.cbon.co.jp</v>
          </cell>
          <cell r="R79" t="str">
            <v>Japan</v>
          </cell>
          <cell r="S79" t="str">
            <v>4926</v>
          </cell>
          <cell r="T79" t="str">
            <v>A+</v>
          </cell>
          <cell r="U79" t="str">
            <v>2844</v>
          </cell>
          <cell r="V79" t="str">
            <v>Engaged in the manufacture and sale of perfumes, cosmetics and other toilet preparations</v>
          </cell>
          <cell r="W79" t="str">
            <v>The Company is a company mainly engaged in the manufacture and sale of cosmetics and quasi drugs with a focus on skin care products.</v>
          </cell>
          <cell r="Z79" t="str">
            <v>JP4010401012787</v>
          </cell>
          <cell r="AA79">
            <v>8525428000</v>
          </cell>
          <cell r="AB79">
            <v>9153473000</v>
          </cell>
          <cell r="AC79">
            <v>9101930000</v>
          </cell>
          <cell r="AD79">
            <v>11101799000</v>
          </cell>
          <cell r="AE79">
            <v>8525428000</v>
          </cell>
          <cell r="AF79">
            <v>9153473000</v>
          </cell>
          <cell r="AG79">
            <v>9101930000</v>
          </cell>
          <cell r="AH79">
            <v>11101799000</v>
          </cell>
          <cell r="AI79" t="str">
            <v>n.a.</v>
          </cell>
          <cell r="AJ79" t="str">
            <v>n.a.</v>
          </cell>
          <cell r="AK79" t="str">
            <v>n.a.</v>
          </cell>
          <cell r="AL79" t="str">
            <v>n.a.</v>
          </cell>
          <cell r="AM79">
            <v>8525428000</v>
          </cell>
          <cell r="AN79">
            <v>9153473000</v>
          </cell>
          <cell r="AO79">
            <v>9101930000</v>
          </cell>
          <cell r="AP79">
            <v>11101799000</v>
          </cell>
          <cell r="AQ79" t="str">
            <v>n.a.</v>
          </cell>
          <cell r="AR79" t="str">
            <v>n.a.</v>
          </cell>
          <cell r="AS79" t="str">
            <v>n.a.</v>
          </cell>
          <cell r="AT79" t="str">
            <v>n.a.</v>
          </cell>
          <cell r="AU79">
            <v>-1914542000</v>
          </cell>
          <cell r="AV79">
            <v>-1825327000</v>
          </cell>
          <cell r="AW79">
            <v>-1957085000</v>
          </cell>
          <cell r="AX79">
            <v>-2219117000</v>
          </cell>
          <cell r="AY79">
            <v>-160882000</v>
          </cell>
          <cell r="AZ79">
            <v>-170011000</v>
          </cell>
          <cell r="BA79">
            <v>-187046000</v>
          </cell>
          <cell r="BB79">
            <v>-230497000</v>
          </cell>
          <cell r="BC79">
            <v>-6323618000</v>
          </cell>
          <cell r="BD79">
            <v>-6740081000</v>
          </cell>
          <cell r="BE79">
            <v>-7637776000</v>
          </cell>
          <cell r="BF79">
            <v>-8667057000</v>
          </cell>
          <cell r="BG79">
            <v>126386000</v>
          </cell>
          <cell r="BH79">
            <v>418054000</v>
          </cell>
          <cell r="BI79">
            <v>-679977000</v>
          </cell>
          <cell r="BJ79">
            <v>-14872000</v>
          </cell>
          <cell r="BK79">
            <v>-324933000</v>
          </cell>
          <cell r="BL79">
            <v>-512863000</v>
          </cell>
          <cell r="BM79">
            <v>-286862000</v>
          </cell>
          <cell r="BN79">
            <v>-647879000</v>
          </cell>
          <cell r="BO79">
            <v>-324933000</v>
          </cell>
          <cell r="BP79">
            <v>-512863000</v>
          </cell>
          <cell r="BQ79">
            <v>-286862000</v>
          </cell>
          <cell r="BR79">
            <v>-589879000</v>
          </cell>
          <cell r="BS79">
            <v>0</v>
          </cell>
          <cell r="BT79">
            <v>0</v>
          </cell>
          <cell r="BU79">
            <v>0</v>
          </cell>
          <cell r="BV79">
            <v>-58000000</v>
          </cell>
          <cell r="BW79">
            <v>-421768000</v>
          </cell>
          <cell r="BX79">
            <v>44872000</v>
          </cell>
          <cell r="BY79">
            <v>-621872000</v>
          </cell>
          <cell r="BZ79">
            <v>-1070075000</v>
          </cell>
          <cell r="CA79">
            <v>5967985000</v>
          </cell>
          <cell r="CB79">
            <v>4852086000</v>
          </cell>
          <cell r="CC79">
            <v>4401315000</v>
          </cell>
          <cell r="CD79">
            <v>4915566000</v>
          </cell>
          <cell r="CE79">
            <v>964276000</v>
          </cell>
          <cell r="CF79">
            <v>870659000</v>
          </cell>
          <cell r="CG79">
            <v>944509000</v>
          </cell>
          <cell r="CH79">
            <v>882334000</v>
          </cell>
          <cell r="CI79">
            <v>836587000</v>
          </cell>
          <cell r="CJ79">
            <v>756929000</v>
          </cell>
          <cell r="CK79">
            <v>898212000</v>
          </cell>
          <cell r="CL79">
            <v>685411000</v>
          </cell>
          <cell r="CM79">
            <v>185088000</v>
          </cell>
          <cell r="CN79">
            <v>424751000</v>
          </cell>
          <cell r="CO79">
            <v>234802000</v>
          </cell>
          <cell r="CP79">
            <v>194139000</v>
          </cell>
          <cell r="CQ79">
            <v>3982034000</v>
          </cell>
          <cell r="CR79">
            <v>2799747000</v>
          </cell>
          <cell r="CS79">
            <v>2323792000</v>
          </cell>
          <cell r="CT79">
            <v>3153682000</v>
          </cell>
          <cell r="CU79" t="str">
            <v>n.a.</v>
          </cell>
          <cell r="CV79" t="str">
            <v>n.a.</v>
          </cell>
          <cell r="CW79" t="str">
            <v>n.a.</v>
          </cell>
          <cell r="CX79" t="str">
            <v>n.a.</v>
          </cell>
          <cell r="CY79">
            <v>1210423000</v>
          </cell>
          <cell r="CZ79">
            <v>1073175000</v>
          </cell>
          <cell r="DA79">
            <v>1131339000</v>
          </cell>
          <cell r="DB79">
            <v>1153416000</v>
          </cell>
          <cell r="DC79">
            <v>8838730000</v>
          </cell>
          <cell r="DD79">
            <v>9563362000</v>
          </cell>
          <cell r="DE79">
            <v>9564741000</v>
          </cell>
          <cell r="DF79">
            <v>10229960000</v>
          </cell>
          <cell r="DG79">
            <v>8525428000</v>
          </cell>
          <cell r="DH79">
            <v>-1914542000</v>
          </cell>
          <cell r="DI79">
            <v>-6484500000</v>
          </cell>
          <cell r="DJ79">
            <v>-324933000</v>
          </cell>
          <cell r="DK79">
            <v>-198547000</v>
          </cell>
          <cell r="DL79">
            <v>-2.32888014537217E-2</v>
          </cell>
          <cell r="DM79">
            <v>-2.2758776819053202E-2</v>
          </cell>
          <cell r="DN79">
            <v>-160882000</v>
          </cell>
          <cell r="DO79">
            <v>917467500</v>
          </cell>
          <cell r="DP79">
            <v>1141799000</v>
          </cell>
          <cell r="DR79">
            <v>9153473000</v>
          </cell>
          <cell r="DS79">
            <v>-1825327000</v>
          </cell>
          <cell r="DT79">
            <v>-6910092000</v>
          </cell>
          <cell r="DU79">
            <v>-512863000</v>
          </cell>
          <cell r="DV79">
            <v>-94809000</v>
          </cell>
          <cell r="DW79">
            <v>-1.0357707943203599E-2</v>
          </cell>
          <cell r="DX79">
            <v>-1.02515256347071E-2</v>
          </cell>
          <cell r="DY79">
            <v>-170011000</v>
          </cell>
          <cell r="DZ79">
            <v>907584000</v>
          </cell>
          <cell r="EA79">
            <v>1102257000</v>
          </cell>
          <cell r="EC79">
            <v>9101930000</v>
          </cell>
          <cell r="ED79">
            <v>-1957085000</v>
          </cell>
          <cell r="EE79">
            <v>-7824822000</v>
          </cell>
          <cell r="EF79">
            <v>-286862000</v>
          </cell>
          <cell r="EG79">
            <v>-966839000</v>
          </cell>
          <cell r="EH79">
            <v>-0.10622351523248399</v>
          </cell>
          <cell r="EI79">
            <v>-9.6023555610422695E-2</v>
          </cell>
          <cell r="EJ79">
            <v>-187046000</v>
          </cell>
          <cell r="EK79">
            <v>913421500</v>
          </cell>
          <cell r="EL79">
            <v>1142377500</v>
          </cell>
          <cell r="EN79">
            <v>8926943666.6666698</v>
          </cell>
          <cell r="EO79">
            <v>-1898984666.6666701</v>
          </cell>
          <cell r="EP79">
            <v>-7073138000</v>
          </cell>
          <cell r="EQ79">
            <v>-374886000</v>
          </cell>
          <cell r="ER79">
            <v>-420065000.00000101</v>
          </cell>
          <cell r="ES79">
            <v>-4.7055858722233203E-2</v>
          </cell>
          <cell r="ET79">
            <v>-4.4941115920651503E-2</v>
          </cell>
        </row>
        <row r="80">
          <cell r="B80" t="str">
            <v>COREANA COSMETICS CO.,LTD.</v>
          </cell>
          <cell r="C80" t="str">
            <v>include before</v>
          </cell>
          <cell r="H80">
            <v>1.3851248258788701E-2</v>
          </cell>
          <cell r="J80" t="str">
            <v>include before</v>
          </cell>
          <cell r="K80">
            <v>0</v>
          </cell>
          <cell r="M80" t="str">
            <v>COREANA COSMETICS CO.,LTD.</v>
          </cell>
          <cell r="N80" t="str">
            <v>A company engaged in the manufacture and sale of cosmetics and beauty products in the Republic of Korea and internationally. It was incorporated in 1988 and has its head office located in Chungcheongnam-do, Republic of Korea. The company's major products are categorized into three: the skin care, makeup and body and fragrance products. The skin care products include facial cleansers, facial masks, skin toners, facial serums, essences, eye creams, moisturizers and facial creams. The makeup products include makeup bases, facial foundations, loose and pressed powders, blushes, eyebrow pencils, eye shadows, eye liners, mascaras and others. Lastly, the body and fragrance products consist of shampoos, hair conditioners, hair sprays, body cleansers, soaps, wrinkle creams, whitening creams, sun blocks and other related products. These products are marketed under the brand names: Bio Defense, Coreana, Entia, Nokdu, Remit, Senite, Develo and Zebec. Its products are distributed domestically and internationally, including China, Taiwan, Mongolia, Australia, Vietnam, Singapore and the United States.</v>
          </cell>
          <cell r="O80" t="str">
            <v>Manufacturing</v>
          </cell>
          <cell r="P80" t="str">
            <v>www.coreana.com</v>
          </cell>
          <cell r="R80" t="str">
            <v>Republic of Korea</v>
          </cell>
          <cell r="S80" t="str">
            <v>027050</v>
          </cell>
          <cell r="T80" t="str">
            <v>A+</v>
          </cell>
          <cell r="U80" t="str">
            <v>2844</v>
          </cell>
          <cell r="V80" t="str">
            <v>Engaged in the manufacture and sale of cosmetics and beauty products</v>
          </cell>
          <cell r="W80" t="str">
            <v>- Company is manufacturing and selling cosmetics as main business. Company have many cosmetics brands such as Ravida / Zain / Koreana / Mungo / Senite / Jigaein / Encyclopedia / Ten Seasons.- Company is responding to the creation of new demand through the development of high-functional raw materials, product launches and diversification of distribution channels. Company is also conducting brand ODM / OEM business through subsidiary KORIYA and Tianjin Co., Ltd.- Completion of a new factory in Tianjin, China in 2016, with subsidiary KORIANA Tianjin Co., Ltd., a subsidiary of China, and Artpia Co., Ltd., a wholesale and retailer of cosmetics.</v>
          </cell>
          <cell r="X80" t="str">
            <v>SARANGS COMSMETIC CO.</v>
          </cell>
          <cell r="Y80" t="str">
            <v>Bio Defense, Coreana, Entia, Nokdu, Remit, Senite, Develo and Zebec</v>
          </cell>
          <cell r="Z80" t="str">
            <v>KR1101110597166</v>
          </cell>
          <cell r="AA80">
            <v>80393939000</v>
          </cell>
          <cell r="AB80">
            <v>87050015000</v>
          </cell>
          <cell r="AC80">
            <v>86658437000</v>
          </cell>
          <cell r="AD80">
            <v>117202282000</v>
          </cell>
          <cell r="AE80">
            <v>80393939000</v>
          </cell>
          <cell r="AF80">
            <v>87050015000</v>
          </cell>
          <cell r="AG80">
            <v>86658437000</v>
          </cell>
          <cell r="AH80">
            <v>117202282000</v>
          </cell>
          <cell r="AI80" t="str">
            <v>n.a.</v>
          </cell>
          <cell r="AJ80" t="str">
            <v>n.a.</v>
          </cell>
          <cell r="AK80" t="str">
            <v>n.a.</v>
          </cell>
          <cell r="AL80" t="str">
            <v>n.a.</v>
          </cell>
          <cell r="AM80">
            <v>80393939000</v>
          </cell>
          <cell r="AN80">
            <v>87050015000</v>
          </cell>
          <cell r="AO80">
            <v>86658437000</v>
          </cell>
          <cell r="AP80">
            <v>117202282000</v>
          </cell>
          <cell r="AQ80" t="str">
            <v>n.a.</v>
          </cell>
          <cell r="AR80" t="str">
            <v>n.a.</v>
          </cell>
          <cell r="AS80" t="str">
            <v>n.a.</v>
          </cell>
          <cell r="AT80" t="str">
            <v>n.a.</v>
          </cell>
          <cell r="AU80">
            <v>-45650953000</v>
          </cell>
          <cell r="AV80">
            <v>-46771327000</v>
          </cell>
          <cell r="AW80">
            <v>-46587117000</v>
          </cell>
          <cell r="AX80">
            <v>-64070756000</v>
          </cell>
          <cell r="AY80" t="str">
            <v>n.a.</v>
          </cell>
          <cell r="AZ80" t="str">
            <v>n.a.</v>
          </cell>
          <cell r="BA80" t="str">
            <v>n.a.</v>
          </cell>
          <cell r="BB80" t="str">
            <v>n.a.</v>
          </cell>
          <cell r="BC80">
            <v>-31339942000</v>
          </cell>
          <cell r="BD80">
            <v>-33881867000</v>
          </cell>
          <cell r="BE80">
            <v>-37392288000</v>
          </cell>
          <cell r="BF80">
            <v>-45837609000</v>
          </cell>
          <cell r="BG80">
            <v>3403044000</v>
          </cell>
          <cell r="BH80">
            <v>6396821000</v>
          </cell>
          <cell r="BI80">
            <v>2679032000</v>
          </cell>
          <cell r="BJ80">
            <v>7293917000</v>
          </cell>
          <cell r="BK80">
            <v>-2526961000</v>
          </cell>
          <cell r="BL80">
            <v>-2956875000</v>
          </cell>
          <cell r="BM80">
            <v>-3523511000</v>
          </cell>
          <cell r="BN80">
            <v>-4227142000</v>
          </cell>
          <cell r="BO80">
            <v>-1977858000</v>
          </cell>
          <cell r="BP80">
            <v>-2358470000</v>
          </cell>
          <cell r="BQ80">
            <v>-2943779000</v>
          </cell>
          <cell r="BR80">
            <v>-3717953000</v>
          </cell>
          <cell r="BS80">
            <v>-549103000</v>
          </cell>
          <cell r="BT80">
            <v>-598405000</v>
          </cell>
          <cell r="BU80">
            <v>-579732000</v>
          </cell>
          <cell r="BV80">
            <v>-509189000</v>
          </cell>
          <cell r="BW80">
            <v>1516112000</v>
          </cell>
          <cell r="BX80">
            <v>3323120000</v>
          </cell>
          <cell r="BY80">
            <v>-495643000</v>
          </cell>
          <cell r="BZ80">
            <v>592477000</v>
          </cell>
          <cell r="CA80">
            <v>35681731000</v>
          </cell>
          <cell r="CB80">
            <v>41128567000</v>
          </cell>
          <cell r="CC80">
            <v>35514739000</v>
          </cell>
          <cell r="CD80">
            <v>38183955000</v>
          </cell>
          <cell r="CE80">
            <v>13160363000</v>
          </cell>
          <cell r="CF80">
            <v>13170299000</v>
          </cell>
          <cell r="CG80">
            <v>14150936000</v>
          </cell>
          <cell r="CH80">
            <v>16476988000</v>
          </cell>
          <cell r="CI80">
            <v>7132835000</v>
          </cell>
          <cell r="CJ80">
            <v>8746534000</v>
          </cell>
          <cell r="CK80">
            <v>10196247000</v>
          </cell>
          <cell r="CL80">
            <v>10194207000</v>
          </cell>
          <cell r="CM80">
            <v>125234000</v>
          </cell>
          <cell r="CN80">
            <v>3088473000</v>
          </cell>
          <cell r="CO80">
            <v>224791000</v>
          </cell>
          <cell r="CP80">
            <v>280656000</v>
          </cell>
          <cell r="CQ80">
            <v>14190895000</v>
          </cell>
          <cell r="CR80">
            <v>15211581000</v>
          </cell>
          <cell r="CS80">
            <v>9878498000</v>
          </cell>
          <cell r="CT80">
            <v>10404840000</v>
          </cell>
          <cell r="CU80" t="str">
            <v>n.a.</v>
          </cell>
          <cell r="CV80" t="str">
            <v>n.a.</v>
          </cell>
          <cell r="CW80" t="str">
            <v>n.a.</v>
          </cell>
          <cell r="CX80" t="str">
            <v>n.a.</v>
          </cell>
          <cell r="CY80">
            <v>365641000</v>
          </cell>
          <cell r="CZ80">
            <v>491042000</v>
          </cell>
          <cell r="DA80">
            <v>589262000</v>
          </cell>
          <cell r="DB80" t="str">
            <v>n.a.</v>
          </cell>
          <cell r="DC80">
            <v>105528766000</v>
          </cell>
          <cell r="DD80">
            <v>113499141000</v>
          </cell>
          <cell r="DE80">
            <v>114172898000</v>
          </cell>
          <cell r="DF80">
            <v>122298260000</v>
          </cell>
          <cell r="DG80">
            <v>80393939000</v>
          </cell>
          <cell r="DH80">
            <v>-45650953000</v>
          </cell>
          <cell r="DI80">
            <v>-31339942000</v>
          </cell>
          <cell r="DJ80">
            <v>-2526961000</v>
          </cell>
          <cell r="DK80">
            <v>876083000</v>
          </cell>
          <cell r="DL80">
            <v>1.08973762313102E-2</v>
          </cell>
          <cell r="DM80">
            <v>1.1017437391672101E-2</v>
          </cell>
          <cell r="DN80" t="str">
            <v>n.a.</v>
          </cell>
          <cell r="DO80">
            <v>13165331000</v>
          </cell>
          <cell r="DP80">
            <v>428341500</v>
          </cell>
          <cell r="DR80">
            <v>87050015000</v>
          </cell>
          <cell r="DS80">
            <v>-46771327000</v>
          </cell>
          <cell r="DT80">
            <v>-33881867000</v>
          </cell>
          <cell r="DU80">
            <v>-2956875000</v>
          </cell>
          <cell r="DV80">
            <v>3439946000</v>
          </cell>
          <cell r="DW80">
            <v>3.9516891524946897E-2</v>
          </cell>
          <cell r="DX80">
            <v>4.1142724089846198E-2</v>
          </cell>
          <cell r="DY80" t="str">
            <v>n.a.</v>
          </cell>
          <cell r="DZ80">
            <v>13660617500</v>
          </cell>
          <cell r="EA80">
            <v>540152000</v>
          </cell>
          <cell r="EC80">
            <v>86658437000</v>
          </cell>
          <cell r="ED80">
            <v>-46587117000</v>
          </cell>
          <cell r="EE80">
            <v>-37392288000</v>
          </cell>
          <cell r="EF80">
            <v>-3523511000</v>
          </cell>
          <cell r="EG80">
            <v>-844479000</v>
          </cell>
          <cell r="EH80">
            <v>-9.7449138160661704E-3</v>
          </cell>
          <cell r="EI80">
            <v>-9.6508669493940106E-3</v>
          </cell>
          <cell r="EJ80" t="str">
            <v>n.a.</v>
          </cell>
          <cell r="EK80">
            <v>15313962000</v>
          </cell>
          <cell r="EL80" t="e">
            <v>#VALUE!</v>
          </cell>
          <cell r="EN80">
            <v>84700797000</v>
          </cell>
          <cell r="EO80">
            <v>-46336465666.666702</v>
          </cell>
          <cell r="EP80">
            <v>-34204699000</v>
          </cell>
          <cell r="EQ80">
            <v>-3002449000</v>
          </cell>
          <cell r="ER80">
            <v>1157183333.3333399</v>
          </cell>
          <cell r="ES80">
            <v>1.3662012334232599E-2</v>
          </cell>
          <cell r="ET80">
            <v>1.3851248258788701E-2</v>
          </cell>
        </row>
        <row r="81">
          <cell r="B81" t="str">
            <v>COTA CO.,LTD.</v>
          </cell>
          <cell r="C81" t="str">
            <v>exclude</v>
          </cell>
          <cell r="D81" t="str">
            <v>Insufficient financial data</v>
          </cell>
          <cell r="H81" t="str">
            <v/>
          </cell>
          <cell r="J81" t="str">
            <v>exclude</v>
          </cell>
          <cell r="K81" t="str">
            <v>Insufficient financial data</v>
          </cell>
          <cell r="M81" t="str">
            <v>COTA CO.,LTD.</v>
          </cell>
          <cell r="N81" t="str">
            <v>This company is engaged in the manufacture and trade of cosmetic and medical products for hair care. It was incorporated in 1979 and has its registered office in Kyoto, Kyoto, Japan. This company's products include hair dressing products, such as spray, foam, wax and lotion; toiletries, such as shampoo and treatment products; and coloring products, including hair dyes and hair manicure, as well as hair growing agents and perm products. In addition, it provides tools for beauty salons, and others; and courses for assistant stuff. The company's products are marketed and sold throughout Japan and internationally in cooperation with its local and foreign business partners and affiliates.</v>
          </cell>
          <cell r="O81" t="str">
            <v>Manufacturing</v>
          </cell>
          <cell r="P81" t="str">
            <v>www.cota.co.jp</v>
          </cell>
          <cell r="R81" t="str">
            <v>Japan</v>
          </cell>
          <cell r="S81" t="str">
            <v>4923</v>
          </cell>
          <cell r="T81" t="str">
            <v>A+</v>
          </cell>
          <cell r="U81" t="str">
            <v>2844</v>
          </cell>
          <cell r="V81" t="str">
            <v>Engaged in the manufacture and trade of cosmetic and medical products for hair care</v>
          </cell>
          <cell r="W81" t="str">
            <v>Cota Co Ltd is a maker of products for beauty salons.</v>
          </cell>
          <cell r="Z81" t="str">
            <v>JP9130001033317</v>
          </cell>
          <cell r="AA81" t="str">
            <v>n.a.</v>
          </cell>
          <cell r="AB81" t="str">
            <v>n.a.</v>
          </cell>
          <cell r="AC81" t="str">
            <v>n.a.</v>
          </cell>
          <cell r="AD81" t="str">
            <v>n.a.</v>
          </cell>
          <cell r="AE81" t="str">
            <v>n.a.</v>
          </cell>
          <cell r="AF81" t="str">
            <v>n.a.</v>
          </cell>
          <cell r="AG81" t="str">
            <v>n.a.</v>
          </cell>
          <cell r="AH81" t="str">
            <v>n.a.</v>
          </cell>
          <cell r="AI81" t="str">
            <v>n.a.</v>
          </cell>
          <cell r="AJ81" t="str">
            <v>n.a.</v>
          </cell>
          <cell r="AK81" t="str">
            <v>n.a.</v>
          </cell>
          <cell r="AL81" t="str">
            <v>n.a.</v>
          </cell>
          <cell r="AM81" t="str">
            <v>n.a.</v>
          </cell>
          <cell r="AN81" t="str">
            <v>n.a.</v>
          </cell>
          <cell r="AO81" t="str">
            <v>n.a.</v>
          </cell>
          <cell r="AP81" t="str">
            <v>n.a.</v>
          </cell>
          <cell r="AQ81" t="str">
            <v>n.a.</v>
          </cell>
          <cell r="AR81" t="str">
            <v>n.a.</v>
          </cell>
          <cell r="AS81" t="str">
            <v>n.a.</v>
          </cell>
          <cell r="AT81" t="str">
            <v>n.a.</v>
          </cell>
          <cell r="AU81" t="str">
            <v>n.a.</v>
          </cell>
          <cell r="AV81" t="str">
            <v>n.a.</v>
          </cell>
          <cell r="AW81" t="str">
            <v>n.a.</v>
          </cell>
          <cell r="AX81" t="str">
            <v>n.a.</v>
          </cell>
          <cell r="AY81" t="str">
            <v>n.a.</v>
          </cell>
          <cell r="AZ81" t="str">
            <v>n.a.</v>
          </cell>
          <cell r="BA81" t="str">
            <v>n.a.</v>
          </cell>
          <cell r="BB81" t="str">
            <v>n.a.</v>
          </cell>
          <cell r="BC81" t="str">
            <v>n.a.</v>
          </cell>
          <cell r="BD81" t="str">
            <v>n.a.</v>
          </cell>
          <cell r="BE81" t="str">
            <v>n.a.</v>
          </cell>
          <cell r="BF81" t="str">
            <v>n.a.</v>
          </cell>
          <cell r="BG81" t="str">
            <v>n.a.</v>
          </cell>
          <cell r="BH81" t="str">
            <v>n.a.</v>
          </cell>
          <cell r="BI81" t="str">
            <v>n.a.</v>
          </cell>
          <cell r="BJ81" t="str">
            <v>n.a.</v>
          </cell>
          <cell r="BK81" t="str">
            <v>n.a.</v>
          </cell>
          <cell r="BL81" t="str">
            <v>n.a.</v>
          </cell>
          <cell r="BM81" t="str">
            <v>n.a.</v>
          </cell>
          <cell r="BN81" t="str">
            <v>n.a.</v>
          </cell>
          <cell r="BO81" t="str">
            <v>n.a.</v>
          </cell>
          <cell r="BP81" t="str">
            <v>n.a.</v>
          </cell>
          <cell r="BQ81" t="str">
            <v>n.a.</v>
          </cell>
          <cell r="BR81" t="str">
            <v>n.a.</v>
          </cell>
          <cell r="BS81" t="str">
            <v>n.a.</v>
          </cell>
          <cell r="BT81" t="str">
            <v>n.a.</v>
          </cell>
          <cell r="BU81" t="str">
            <v>n.a.</v>
          </cell>
          <cell r="BV81" t="str">
            <v>n.a.</v>
          </cell>
          <cell r="BW81" t="str">
            <v>n.a.</v>
          </cell>
          <cell r="BX81" t="str">
            <v>n.a.</v>
          </cell>
          <cell r="BY81" t="str">
            <v>n.a.</v>
          </cell>
          <cell r="BZ81" t="str">
            <v>n.a.</v>
          </cell>
          <cell r="CA81" t="str">
            <v>n.a.</v>
          </cell>
          <cell r="CB81" t="str">
            <v>n.a.</v>
          </cell>
          <cell r="CC81" t="str">
            <v>n.a.</v>
          </cell>
          <cell r="CD81" t="str">
            <v>n.a.</v>
          </cell>
          <cell r="CE81" t="str">
            <v>n.a.</v>
          </cell>
          <cell r="CF81" t="str">
            <v>n.a.</v>
          </cell>
          <cell r="CG81" t="str">
            <v>n.a.</v>
          </cell>
          <cell r="CH81" t="str">
            <v>n.a.</v>
          </cell>
          <cell r="CI81" t="str">
            <v>n.a.</v>
          </cell>
          <cell r="CJ81" t="str">
            <v>n.a.</v>
          </cell>
          <cell r="CK81" t="str">
            <v>n.a.</v>
          </cell>
          <cell r="CL81" t="str">
            <v>n.a.</v>
          </cell>
          <cell r="CM81" t="str">
            <v>n.a.</v>
          </cell>
          <cell r="CN81" t="str">
            <v>n.a.</v>
          </cell>
          <cell r="CO81" t="str">
            <v>n.a.</v>
          </cell>
          <cell r="CP81" t="str">
            <v>n.a.</v>
          </cell>
          <cell r="CQ81" t="str">
            <v>n.a.</v>
          </cell>
          <cell r="CR81" t="str">
            <v>n.a.</v>
          </cell>
          <cell r="CS81" t="str">
            <v>n.a.</v>
          </cell>
          <cell r="CT81" t="str">
            <v>n.a.</v>
          </cell>
          <cell r="CU81" t="str">
            <v>n.a.</v>
          </cell>
          <cell r="CV81" t="str">
            <v>n.a.</v>
          </cell>
          <cell r="CW81" t="str">
            <v>n.a.</v>
          </cell>
          <cell r="CX81" t="str">
            <v>n.a.</v>
          </cell>
          <cell r="CY81" t="str">
            <v>n.a.</v>
          </cell>
          <cell r="CZ81" t="str">
            <v>n.a.</v>
          </cell>
          <cell r="DA81" t="str">
            <v>n.a.</v>
          </cell>
          <cell r="DB81" t="str">
            <v>n.a.</v>
          </cell>
          <cell r="DC81" t="str">
            <v>n.a.</v>
          </cell>
          <cell r="DD81" t="str">
            <v>n.a.</v>
          </cell>
          <cell r="DE81" t="str">
            <v>n.a.</v>
          </cell>
          <cell r="DF81" t="str">
            <v>n.a.</v>
          </cell>
          <cell r="DG81" t="str">
            <v>无数据</v>
          </cell>
          <cell r="DH81" t="str">
            <v>n.a.</v>
          </cell>
          <cell r="DI81" t="str">
            <v>n.a.</v>
          </cell>
          <cell r="DJ81" t="str">
            <v>n.a.</v>
          </cell>
          <cell r="DK81" t="str">
            <v>无数据</v>
          </cell>
          <cell r="DL81" t="e">
            <v>#VALUE!</v>
          </cell>
          <cell r="DM81" t="e">
            <v>#VALUE!</v>
          </cell>
          <cell r="DN81" t="str">
            <v>n.a.</v>
          </cell>
          <cell r="DO81" t="e">
            <v>#VALUE!</v>
          </cell>
          <cell r="DP81" t="e">
            <v>#VALUE!</v>
          </cell>
          <cell r="DR81" t="str">
            <v>无数据</v>
          </cell>
          <cell r="DS81" t="str">
            <v>n.a.</v>
          </cell>
          <cell r="DT81" t="str">
            <v>n.a.</v>
          </cell>
          <cell r="DU81" t="str">
            <v>n.a.</v>
          </cell>
          <cell r="DV81" t="str">
            <v>无数据</v>
          </cell>
          <cell r="DW81" t="e">
            <v>#VALUE!</v>
          </cell>
          <cell r="DX81" t="e">
            <v>#VALUE!</v>
          </cell>
          <cell r="DY81" t="str">
            <v>n.a.</v>
          </cell>
          <cell r="DZ81" t="e">
            <v>#VALUE!</v>
          </cell>
          <cell r="EA81" t="e">
            <v>#VALUE!</v>
          </cell>
          <cell r="EC81" t="str">
            <v>无数据</v>
          </cell>
          <cell r="ED81" t="str">
            <v>n.a.</v>
          </cell>
          <cell r="EE81" t="str">
            <v>n.a.</v>
          </cell>
          <cell r="EF81" t="str">
            <v>n.a.</v>
          </cell>
          <cell r="EG81" t="str">
            <v>无数据</v>
          </cell>
          <cell r="EH81" t="e">
            <v>#VALUE!</v>
          </cell>
          <cell r="EI81" t="e">
            <v>#VALUE!</v>
          </cell>
          <cell r="EJ81" t="str">
            <v>n.a.</v>
          </cell>
          <cell r="EK81" t="e">
            <v>#VALUE!</v>
          </cell>
          <cell r="EL81" t="e">
            <v>#VALUE!</v>
          </cell>
          <cell r="EN81" t="e">
            <v>#VALUE!</v>
          </cell>
          <cell r="EO81" t="e">
            <v>#VALUE!</v>
          </cell>
          <cell r="EP81" t="e">
            <v>#VALUE!</v>
          </cell>
          <cell r="EQ81" t="e">
            <v>#VALUE!</v>
          </cell>
          <cell r="ER81" t="e">
            <v>#VALUE!</v>
          </cell>
          <cell r="ES81" t="e">
            <v>#VALUE!</v>
          </cell>
          <cell r="ET81" t="e">
            <v>#VALUE!</v>
          </cell>
        </row>
        <row r="82">
          <cell r="B82" t="str">
            <v>MEDIENCE CO.,LTD.</v>
          </cell>
          <cell r="C82" t="str">
            <v>exclude</v>
          </cell>
          <cell r="D82" t="str">
            <v>Independence(A+, A, A-, U)</v>
          </cell>
          <cell r="H82" t="str">
            <v/>
          </cell>
          <cell r="J82" t="str">
            <v>exclude</v>
          </cell>
          <cell r="K82" t="str">
            <v>Independence(A+, A, A-, U)</v>
          </cell>
          <cell r="M82" t="str">
            <v>MEDIENCE CO.,LTD.</v>
          </cell>
          <cell r="N82" t="str">
            <v>This company is engaged in the manufacture and sale of baby care products in South Korea and other foreign countries. It was incorporated in April 1979. It was formerly known as Boryung Cosmetics Co., Ltd. which existed until July 1998. It conducts business from its registered head office which is strategically located in Seoul, Republic of Korea.The company serves as a leading baby care product company in South Korea. The company manufactures baby skin care products, baby clothing, personal care products, baby feeding accessories, diapers, toys, and baby food products. Its major brand names include NUK, Dr. ato, Tartine, Oshkosh B' Gosh, Fischer Price, Pureganic, Sebamed, HINOKI, BIENTOT MOM, B&amp;B, Playtex, I.MOM, Kewpie, Salva, Chocolat, BB House, and i-mom house. The company has strategic alliances with import and export companies situated in China, Taiwan, Japan, Germany, United States, and France. The company distributes its products through its baby products stores across South Korea. It operates as one of the principal subsidiaries of Boryung Corporation, an industrial enterprise which was incorporated in August 1984 and is involved in the wholesale trade and distribution of groceries and food related products.</v>
          </cell>
          <cell r="O82" t="str">
            <v>Manufacturing</v>
          </cell>
          <cell r="P82" t="str">
            <v>www.medience.co.kr</v>
          </cell>
          <cell r="R82" t="str">
            <v>Republic of Korea</v>
          </cell>
          <cell r="S82" t="str">
            <v>014100</v>
          </cell>
          <cell r="T82" t="str">
            <v>B</v>
          </cell>
          <cell r="U82" t="str">
            <v>2844</v>
          </cell>
          <cell r="V82" t="str">
            <v>Engaged in the manufacture and sale of baby care products in South Korea and other foreign countries</v>
          </cell>
          <cell r="W82" t="str">
            <v>- Established in April, 1979 for the main business of manufacturing cosmetics, quasi-drugs and children''s clothing, wholesale and retail.- Skin care brand Dr. Ato, B &amp; B detergent / softener for household goods, breast milk brand brand, premium baby boutique Bottatin Chocolate and mua.- Following the establishment of Tianjin Business Co., Ltd. in China in 2013, the Company will open Shanghai branch office in July 2015, and will strengthen its position in the industry with the growth of the market for juvenile suits in China.</v>
          </cell>
          <cell r="X82" t="str">
            <v>BORYUNG MEDIENCE CO.,LTD.</v>
          </cell>
          <cell r="Z82" t="str">
            <v>KR1101110252471</v>
          </cell>
          <cell r="AA82">
            <v>71422008000</v>
          </cell>
          <cell r="AB82">
            <v>71524702000</v>
          </cell>
          <cell r="AC82">
            <v>71978514000</v>
          </cell>
          <cell r="AD82">
            <v>97313127000</v>
          </cell>
          <cell r="AE82">
            <v>71422008000</v>
          </cell>
          <cell r="AF82">
            <v>71524702000</v>
          </cell>
          <cell r="AG82">
            <v>71978514000</v>
          </cell>
          <cell r="AH82">
            <v>97313127000</v>
          </cell>
          <cell r="AI82" t="str">
            <v>n.a.</v>
          </cell>
          <cell r="AJ82" t="str">
            <v>n.a.</v>
          </cell>
          <cell r="AK82" t="str">
            <v>n.a.</v>
          </cell>
          <cell r="AL82" t="str">
            <v>n.a.</v>
          </cell>
          <cell r="AM82">
            <v>71422008000</v>
          </cell>
          <cell r="AN82">
            <v>71524702000</v>
          </cell>
          <cell r="AO82">
            <v>71978514000</v>
          </cell>
          <cell r="AP82">
            <v>97313127000</v>
          </cell>
          <cell r="AQ82" t="str">
            <v>n.a.</v>
          </cell>
          <cell r="AR82" t="str">
            <v>n.a.</v>
          </cell>
          <cell r="AS82" t="str">
            <v>n.a.</v>
          </cell>
          <cell r="AT82" t="str">
            <v>n.a.</v>
          </cell>
          <cell r="AU82">
            <v>-35996096000</v>
          </cell>
          <cell r="AV82">
            <v>-35029265000</v>
          </cell>
          <cell r="AW82">
            <v>-37625310000</v>
          </cell>
          <cell r="AX82">
            <v>-52476330000</v>
          </cell>
          <cell r="AY82">
            <v>-76689000</v>
          </cell>
          <cell r="AZ82">
            <v>-103523000</v>
          </cell>
          <cell r="BA82">
            <v>-151274000</v>
          </cell>
          <cell r="BB82">
            <v>-40869000</v>
          </cell>
          <cell r="BC82">
            <v>-32969281000</v>
          </cell>
          <cell r="BD82">
            <v>-31029360000</v>
          </cell>
          <cell r="BE82">
            <v>-33207047000</v>
          </cell>
          <cell r="BF82">
            <v>-42833939000</v>
          </cell>
          <cell r="BG82">
            <v>2379942000</v>
          </cell>
          <cell r="BH82">
            <v>5362554000</v>
          </cell>
          <cell r="BI82">
            <v>994883000</v>
          </cell>
          <cell r="BJ82">
            <v>1961989000</v>
          </cell>
          <cell r="BK82">
            <v>-770032000</v>
          </cell>
          <cell r="BL82">
            <v>-883288000</v>
          </cell>
          <cell r="BM82">
            <v>-1369087000</v>
          </cell>
          <cell r="BN82">
            <v>-2110205000</v>
          </cell>
          <cell r="BO82">
            <v>-608871000</v>
          </cell>
          <cell r="BP82">
            <v>-668545000</v>
          </cell>
          <cell r="BQ82">
            <v>-1117015000</v>
          </cell>
          <cell r="BR82">
            <v>-1512372000</v>
          </cell>
          <cell r="BS82">
            <v>-161161000</v>
          </cell>
          <cell r="BT82">
            <v>-214743000</v>
          </cell>
          <cell r="BU82">
            <v>-252072000</v>
          </cell>
          <cell r="BV82">
            <v>-597833000</v>
          </cell>
          <cell r="BW82">
            <v>-11726380000</v>
          </cell>
          <cell r="BX82">
            <v>4366213000</v>
          </cell>
          <cell r="BY82">
            <v>4031967000</v>
          </cell>
          <cell r="BZ82">
            <v>32341007000</v>
          </cell>
          <cell r="CA82">
            <v>30844170000</v>
          </cell>
          <cell r="CB82">
            <v>39884036000</v>
          </cell>
          <cell r="CC82">
            <v>36013524000</v>
          </cell>
          <cell r="CD82">
            <v>39193835000</v>
          </cell>
          <cell r="CE82">
            <v>10791736000</v>
          </cell>
          <cell r="CF82">
            <v>12849012000</v>
          </cell>
          <cell r="CG82">
            <v>13003509000</v>
          </cell>
          <cell r="CH82">
            <v>15862876000</v>
          </cell>
          <cell r="CI82">
            <v>11899363000</v>
          </cell>
          <cell r="CJ82">
            <v>13334720000</v>
          </cell>
          <cell r="CK82">
            <v>13266611000</v>
          </cell>
          <cell r="CL82">
            <v>9464466000</v>
          </cell>
          <cell r="CM82">
            <v>7006000</v>
          </cell>
          <cell r="CN82">
            <v>10850000</v>
          </cell>
          <cell r="CO82">
            <v>1149000</v>
          </cell>
          <cell r="CP82">
            <v>5656000</v>
          </cell>
          <cell r="CQ82">
            <v>7774263000</v>
          </cell>
          <cell r="CR82">
            <v>13202938000</v>
          </cell>
          <cell r="CS82">
            <v>9402938000</v>
          </cell>
          <cell r="CT82">
            <v>13697568000</v>
          </cell>
          <cell r="CU82" t="str">
            <v>n.a.</v>
          </cell>
          <cell r="CV82" t="str">
            <v>n.a.</v>
          </cell>
          <cell r="CW82" t="str">
            <v>n.a.</v>
          </cell>
          <cell r="CX82" t="str">
            <v>n.a.</v>
          </cell>
          <cell r="CY82">
            <v>11866020000</v>
          </cell>
          <cell r="CZ82">
            <v>11964716000</v>
          </cell>
          <cell r="DA82">
            <v>17094968000</v>
          </cell>
          <cell r="DB82">
            <v>17300505000</v>
          </cell>
          <cell r="DC82">
            <v>116386634000</v>
          </cell>
          <cell r="DD82">
            <v>140653279000</v>
          </cell>
          <cell r="DE82">
            <v>137145759000</v>
          </cell>
          <cell r="DF82">
            <v>139653596000</v>
          </cell>
          <cell r="DG82">
            <v>71422008000</v>
          </cell>
          <cell r="DH82">
            <v>-35996096000</v>
          </cell>
          <cell r="DI82">
            <v>-33045970000</v>
          </cell>
          <cell r="DJ82">
            <v>-770032000</v>
          </cell>
          <cell r="DK82">
            <v>1609910000</v>
          </cell>
          <cell r="DL82">
            <v>2.25408112300623E-2</v>
          </cell>
          <cell r="DM82">
            <v>2.3060616227290599E-2</v>
          </cell>
          <cell r="DN82">
            <v>-76689000</v>
          </cell>
          <cell r="DO82">
            <v>11820374000</v>
          </cell>
          <cell r="DP82">
            <v>11915368000</v>
          </cell>
          <cell r="DR82">
            <v>71524702000</v>
          </cell>
          <cell r="DS82">
            <v>-35029265000</v>
          </cell>
          <cell r="DT82">
            <v>-31132883000</v>
          </cell>
          <cell r="DU82">
            <v>-883288000</v>
          </cell>
          <cell r="DV82">
            <v>4479266000</v>
          </cell>
          <cell r="DW82">
            <v>6.2625440928086598E-2</v>
          </cell>
          <cell r="DX82">
            <v>6.6809409666602801E-2</v>
          </cell>
          <cell r="DY82">
            <v>-103523000</v>
          </cell>
          <cell r="DZ82">
            <v>12926260500</v>
          </cell>
          <cell r="EA82">
            <v>14529842000</v>
          </cell>
          <cell r="EC82">
            <v>71978514000</v>
          </cell>
          <cell r="ED82">
            <v>-37625310000</v>
          </cell>
          <cell r="EE82">
            <v>-33358321000</v>
          </cell>
          <cell r="EF82">
            <v>-1369087000</v>
          </cell>
          <cell r="EG82">
            <v>-374204000</v>
          </cell>
          <cell r="EH82">
            <v>-5.1988291950567402E-3</v>
          </cell>
          <cell r="EI82">
            <v>-5.1719411563778397E-3</v>
          </cell>
          <cell r="EJ82">
            <v>-151274000</v>
          </cell>
          <cell r="EK82">
            <v>14433192500</v>
          </cell>
          <cell r="EL82">
            <v>17197736500</v>
          </cell>
          <cell r="EN82">
            <v>71641741333.333298</v>
          </cell>
          <cell r="EO82">
            <v>-36216890333.333298</v>
          </cell>
          <cell r="EP82">
            <v>-32512391333.333302</v>
          </cell>
          <cell r="EQ82">
            <v>-1007469000</v>
          </cell>
          <cell r="ER82">
            <v>1904990666.6666601</v>
          </cell>
          <cell r="ES82">
            <v>2.65905131730838E-2</v>
          </cell>
          <cell r="ET82">
            <v>2.7316883113357102E-2</v>
          </cell>
        </row>
        <row r="83">
          <cell r="B83" t="str">
            <v>CTK CO.,LTD.</v>
          </cell>
          <cell r="C83" t="str">
            <v>exclude</v>
          </cell>
          <cell r="D83" t="str">
            <v>Independence(A+, A, A-, U)</v>
          </cell>
          <cell r="H83" t="str">
            <v/>
          </cell>
          <cell r="J83" t="e">
            <v>#N/A</v>
          </cell>
          <cell r="K83" t="e">
            <v>#N/A</v>
          </cell>
          <cell r="M83" t="str">
            <v>CTK CO.,LTD.</v>
          </cell>
          <cell r="N83" t="str">
            <v>This company is engaged in providing formulation, packaging, and customized innovation of cosmetics. It was established in 2001. The registered head office of the company is located in Seoul, Republic of Korea. It is a leading innovator in cosmetic packaging and beauty product formulation. The company provides full-scale capabilities for the design and development of cosmetic packaging and full-service formulation development. Its products include packaging products (applicator, compact and palette, dropper, eyes - mascara and eyeliner, jar, lips, metal, PET, pump, and tube and tottle); make-up (BB cream, cheeks, eye, face, lip and multi-usage); and skincare (cleansing, eye, face, mask and series). The company partners with a wide range of globally recognised brands.</v>
          </cell>
          <cell r="O83" t="str">
            <v>Manufacturing</v>
          </cell>
          <cell r="P83" t="str">
            <v>www.ctkcosmetics.com</v>
          </cell>
          <cell r="R83" t="str">
            <v>Republic of Korea</v>
          </cell>
          <cell r="S83" t="str">
            <v>260930</v>
          </cell>
          <cell r="T83" t="str">
            <v>B+</v>
          </cell>
          <cell r="U83" t="str">
            <v>2844</v>
          </cell>
          <cell r="V83" t="str">
            <v>Engaged in providing formulation, packaging, and customized innovation of cosmetics</v>
          </cell>
          <cell r="W83" t="str">
            <v>- Established in May 2001 and listed on the KOSDAQ market in December 2017 as a full service platform company that externally produces cosmetics and containers and exports them to global brand companies.- The first full-service turn-key business in Korea that provides all-in-one processes from product planning, development and production, quality control, and shipment as a one-stop service.- Company manage its customers through the database of its own CGCS and secure global cosmetics brands such as L''Oreal, LVMH and Estee Lauder as major customers.</v>
          </cell>
          <cell r="X83" t="str">
            <v>CTK COSMETICS CO.,LTD.</v>
          </cell>
          <cell r="Z83" t="str">
            <v>KR1101112233560</v>
          </cell>
          <cell r="AA83">
            <v>69361422000</v>
          </cell>
          <cell r="AB83">
            <v>113835409000</v>
          </cell>
          <cell r="AC83">
            <v>124197551000</v>
          </cell>
          <cell r="AD83">
            <v>116328076000</v>
          </cell>
          <cell r="AE83">
            <v>69361422000</v>
          </cell>
          <cell r="AF83">
            <v>113835409000</v>
          </cell>
          <cell r="AG83">
            <v>124197551000</v>
          </cell>
          <cell r="AH83">
            <v>116328076000</v>
          </cell>
          <cell r="AI83" t="str">
            <v>n.a.</v>
          </cell>
          <cell r="AJ83" t="str">
            <v>n.a.</v>
          </cell>
          <cell r="AK83" t="str">
            <v>n.a.</v>
          </cell>
          <cell r="AL83" t="str">
            <v>n.a.</v>
          </cell>
          <cell r="AM83">
            <v>69361422000</v>
          </cell>
          <cell r="AN83">
            <v>113835409000</v>
          </cell>
          <cell r="AO83">
            <v>124197551000</v>
          </cell>
          <cell r="AP83">
            <v>116328076000</v>
          </cell>
          <cell r="AQ83" t="str">
            <v>n.a.</v>
          </cell>
          <cell r="AR83" t="str">
            <v>n.a.</v>
          </cell>
          <cell r="AS83" t="str">
            <v>n.a.</v>
          </cell>
          <cell r="AT83" t="str">
            <v>n.a.</v>
          </cell>
          <cell r="AU83">
            <v>-47490997000</v>
          </cell>
          <cell r="AV83">
            <v>-80540310000</v>
          </cell>
          <cell r="AW83">
            <v>-83067122000</v>
          </cell>
          <cell r="AX83">
            <v>-85065129000</v>
          </cell>
          <cell r="AY83">
            <v>-746208000</v>
          </cell>
          <cell r="AZ83">
            <v>-591129000</v>
          </cell>
          <cell r="BA83">
            <v>-417548000</v>
          </cell>
          <cell r="BB83">
            <v>-1574726000</v>
          </cell>
          <cell r="BC83">
            <v>-31613287000</v>
          </cell>
          <cell r="BD83">
            <v>-40203431000</v>
          </cell>
          <cell r="BE83">
            <v>-35970069000</v>
          </cell>
          <cell r="BF83">
            <v>-22983510000</v>
          </cell>
          <cell r="BG83">
            <v>-10489070000</v>
          </cell>
          <cell r="BH83">
            <v>-7499461000</v>
          </cell>
          <cell r="BI83">
            <v>4742812000</v>
          </cell>
          <cell r="BJ83">
            <v>6704711000</v>
          </cell>
          <cell r="BK83">
            <v>-4727824000</v>
          </cell>
          <cell r="BL83">
            <v>-4422154000</v>
          </cell>
          <cell r="BM83">
            <v>-4215311000</v>
          </cell>
          <cell r="BN83">
            <v>-2754517000</v>
          </cell>
          <cell r="BO83">
            <v>-3707145000</v>
          </cell>
          <cell r="BP83">
            <v>-3541336000</v>
          </cell>
          <cell r="BQ83">
            <v>-3310088000</v>
          </cell>
          <cell r="BR83">
            <v>-2090608000</v>
          </cell>
          <cell r="BS83">
            <v>-1020679000</v>
          </cell>
          <cell r="BT83">
            <v>-880818000</v>
          </cell>
          <cell r="BU83">
            <v>-905223000</v>
          </cell>
          <cell r="BV83">
            <v>-663909000</v>
          </cell>
          <cell r="BW83">
            <v>-17653872000</v>
          </cell>
          <cell r="BX83">
            <v>-895235000</v>
          </cell>
          <cell r="BY83">
            <v>-450486000</v>
          </cell>
          <cell r="BZ83">
            <v>7741535000</v>
          </cell>
          <cell r="CA83">
            <v>81622063000</v>
          </cell>
          <cell r="CB83">
            <v>85524517000</v>
          </cell>
          <cell r="CC83">
            <v>114172032000</v>
          </cell>
          <cell r="CD83">
            <v>115482352000</v>
          </cell>
          <cell r="CE83">
            <v>5445681000</v>
          </cell>
          <cell r="CF83">
            <v>4916122000</v>
          </cell>
          <cell r="CG83">
            <v>17791705000</v>
          </cell>
          <cell r="CH83">
            <v>6522713000</v>
          </cell>
          <cell r="CI83">
            <v>9876888000</v>
          </cell>
          <cell r="CJ83">
            <v>14326785000</v>
          </cell>
          <cell r="CK83">
            <v>32953482000</v>
          </cell>
          <cell r="CL83">
            <v>22455436000</v>
          </cell>
          <cell r="CM83">
            <v>22005101000</v>
          </cell>
          <cell r="CN83">
            <v>13991951000</v>
          </cell>
          <cell r="CO83">
            <v>10620661000</v>
          </cell>
          <cell r="CP83">
            <v>22219805000</v>
          </cell>
          <cell r="CQ83">
            <v>40299431000</v>
          </cell>
          <cell r="CR83">
            <v>49677932000</v>
          </cell>
          <cell r="CS83">
            <v>49512997000</v>
          </cell>
          <cell r="CT83">
            <v>61929968000</v>
          </cell>
          <cell r="CU83">
            <v>4516065000</v>
          </cell>
          <cell r="CV83">
            <v>2102690000</v>
          </cell>
          <cell r="CW83">
            <v>17221548000</v>
          </cell>
          <cell r="CX83">
            <v>25422901000</v>
          </cell>
          <cell r="CY83">
            <v>5561996000</v>
          </cell>
          <cell r="CZ83">
            <v>2574782000</v>
          </cell>
          <cell r="DA83">
            <v>2592367000</v>
          </cell>
          <cell r="DB83">
            <v>17229554000</v>
          </cell>
          <cell r="DC83">
            <v>178700211000</v>
          </cell>
          <cell r="DD83">
            <v>208321744000</v>
          </cell>
          <cell r="DE83">
            <v>205218715000</v>
          </cell>
          <cell r="DF83">
            <v>202468010000</v>
          </cell>
          <cell r="DG83">
            <v>69361422000</v>
          </cell>
          <cell r="DH83">
            <v>-47490997000</v>
          </cell>
          <cell r="DI83">
            <v>-32359495000</v>
          </cell>
          <cell r="DJ83">
            <v>-4727824000</v>
          </cell>
          <cell r="DK83">
            <v>-15216894000</v>
          </cell>
          <cell r="DL83">
            <v>-0.21938555411969499</v>
          </cell>
          <cell r="DM83">
            <v>-0.179914837746356</v>
          </cell>
          <cell r="DN83">
            <v>-746208000</v>
          </cell>
          <cell r="DO83">
            <v>5180901500</v>
          </cell>
          <cell r="DP83">
            <v>4068389000</v>
          </cell>
          <cell r="DR83">
            <v>113835409000</v>
          </cell>
          <cell r="DS83">
            <v>-80540310000</v>
          </cell>
          <cell r="DT83">
            <v>-40794560000</v>
          </cell>
          <cell r="DU83">
            <v>-4422154000</v>
          </cell>
          <cell r="DV83">
            <v>-11921615000</v>
          </cell>
          <cell r="DW83">
            <v>-0.104726772668775</v>
          </cell>
          <cell r="DX83">
            <v>-9.4798800264230196E-2</v>
          </cell>
          <cell r="DY83">
            <v>-591129000</v>
          </cell>
          <cell r="DZ83">
            <v>11353913500</v>
          </cell>
          <cell r="EA83">
            <v>2583574500</v>
          </cell>
          <cell r="EC83">
            <v>124197551000</v>
          </cell>
          <cell r="ED83">
            <v>-83067122000</v>
          </cell>
          <cell r="EE83">
            <v>-36387617000</v>
          </cell>
          <cell r="EF83">
            <v>-4215311000</v>
          </cell>
          <cell r="EG83">
            <v>527501000</v>
          </cell>
          <cell r="EH83">
            <v>4.2472737646815596E-3</v>
          </cell>
          <cell r="EI83">
            <v>4.2653900439112002E-3</v>
          </cell>
          <cell r="EJ83">
            <v>-417548000</v>
          </cell>
          <cell r="EK83">
            <v>12157209000</v>
          </cell>
          <cell r="EL83">
            <v>9910960500</v>
          </cell>
          <cell r="EN83">
            <v>102464794000</v>
          </cell>
          <cell r="EO83">
            <v>-70366143000</v>
          </cell>
          <cell r="EP83">
            <v>-36513890666.666702</v>
          </cell>
          <cell r="EQ83">
            <v>-4455096333.3333302</v>
          </cell>
          <cell r="ER83">
            <v>-8870336000</v>
          </cell>
          <cell r="ES83">
            <v>-8.6569597748861901E-2</v>
          </cell>
          <cell r="ET83">
            <v>-7.9672390915607696E-2</v>
          </cell>
        </row>
        <row r="84">
          <cell r="B84" t="str">
            <v>TS TRILLION CO.,LTD.</v>
          </cell>
          <cell r="C84" t="str">
            <v>exclude</v>
          </cell>
          <cell r="D84" t="str">
            <v>Independence(A+, A, A-, U)</v>
          </cell>
          <cell r="H84" t="str">
            <v/>
          </cell>
          <cell r="J84" t="str">
            <v>exclude</v>
          </cell>
          <cell r="K84" t="str">
            <v>Independence(A+, A, A-, U)</v>
          </cell>
          <cell r="M84" t="str">
            <v>TS TRILLION CO.,LTD.</v>
          </cell>
          <cell r="N84" t="str">
            <v>This company, which is based in Republic of Korea, is engaged in the manufacture and sale of shampoo, dye, and toothpaste as well as hair loss strategies and processes that cover the entire process. It was founded in 2010 and has its registered business address located in Seoul.It is a global company that represents Korea and provides customized products with leading technology, is growing with customers by providing the best service through businesses such as shampoo, dye, and toothpaste as well as hair loss strategies and processes that cover the entire process. In particular, it continues to grow steadily every year by securing competitiveness through the establishment of the best experts and state-of-the-art IT systems.</v>
          </cell>
          <cell r="O84" t="str">
            <v>Manufacturing</v>
          </cell>
          <cell r="P84" t="str">
            <v>www.tstrillion.com</v>
          </cell>
          <cell r="R84" t="str">
            <v>Republic of Korea</v>
          </cell>
          <cell r="S84" t="str">
            <v>317240</v>
          </cell>
          <cell r="T84" t="str">
            <v>D</v>
          </cell>
          <cell r="U84" t="str">
            <v>2844</v>
          </cell>
          <cell r="V84" t="str">
            <v>Engaged in the manufacture and sale of shampoo, dye, and toothpaste as well as hair loss strategies and processes</v>
          </cell>
          <cell r="W84" t="str">
            <v>Engaged in the manufacture and sale of shampoo, dye, and toothpaste as well as hair loss strategies and processes [source: Bureau van Dijk]</v>
          </cell>
          <cell r="X84" t="str">
            <v>HI SPECIAL PURPOSE ACQUISITION COMPANY IV CO.,LTD.</v>
          </cell>
          <cell r="Z84" t="str">
            <v>KR1101116982139</v>
          </cell>
          <cell r="AA84">
            <v>62925392000</v>
          </cell>
          <cell r="AB84">
            <v>49870572000</v>
          </cell>
          <cell r="AC84">
            <v>61646875000</v>
          </cell>
          <cell r="AD84">
            <v>70459223000</v>
          </cell>
          <cell r="AE84">
            <v>62925392000</v>
          </cell>
          <cell r="AF84">
            <v>49870572000</v>
          </cell>
          <cell r="AG84">
            <v>61646875000</v>
          </cell>
          <cell r="AH84">
            <v>70459223000</v>
          </cell>
          <cell r="AI84" t="str">
            <v>n.a.</v>
          </cell>
          <cell r="AJ84" t="str">
            <v>n.a.</v>
          </cell>
          <cell r="AK84" t="str">
            <v>n.a.</v>
          </cell>
          <cell r="AL84" t="str">
            <v>n.a.</v>
          </cell>
          <cell r="AM84">
            <v>62925392000</v>
          </cell>
          <cell r="AN84">
            <v>49870572000</v>
          </cell>
          <cell r="AO84">
            <v>61646875000</v>
          </cell>
          <cell r="AP84">
            <v>70459223000</v>
          </cell>
          <cell r="AQ84" t="str">
            <v>n.a.</v>
          </cell>
          <cell r="AR84" t="str">
            <v>n.a.</v>
          </cell>
          <cell r="AS84" t="str">
            <v>n.a.</v>
          </cell>
          <cell r="AT84" t="str">
            <v>n.a.</v>
          </cell>
          <cell r="AU84">
            <v>-37322986000</v>
          </cell>
          <cell r="AV84">
            <v>-25387115000</v>
          </cell>
          <cell r="AW84">
            <v>-24710890000</v>
          </cell>
          <cell r="AX84">
            <v>-26744078000</v>
          </cell>
          <cell r="AY84">
            <v>-396216000</v>
          </cell>
          <cell r="AZ84">
            <v>-286032000</v>
          </cell>
          <cell r="BA84">
            <v>-272930000</v>
          </cell>
          <cell r="BB84">
            <v>-158159000</v>
          </cell>
          <cell r="BC84">
            <v>-30057548000</v>
          </cell>
          <cell r="BD84">
            <v>-30414457000</v>
          </cell>
          <cell r="BE84">
            <v>-31589873000</v>
          </cell>
          <cell r="BF84">
            <v>-36554330000</v>
          </cell>
          <cell r="BG84">
            <v>-4851358000</v>
          </cell>
          <cell r="BH84">
            <v>-6217032000</v>
          </cell>
          <cell r="BI84">
            <v>5073182000</v>
          </cell>
          <cell r="BJ84">
            <v>7002656000</v>
          </cell>
          <cell r="BK84">
            <v>-962177000</v>
          </cell>
          <cell r="BL84">
            <v>-1423040000</v>
          </cell>
          <cell r="BM84">
            <v>-1412313000</v>
          </cell>
          <cell r="BN84">
            <v>-2196486000</v>
          </cell>
          <cell r="BO84">
            <v>-962177000</v>
          </cell>
          <cell r="BP84">
            <v>-1423040000</v>
          </cell>
          <cell r="BQ84">
            <v>-1412313000</v>
          </cell>
          <cell r="BR84">
            <v>-2196486000</v>
          </cell>
          <cell r="BS84" t="str">
            <v>n.a.</v>
          </cell>
          <cell r="BT84" t="str">
            <v>n.a.</v>
          </cell>
          <cell r="BU84" t="str">
            <v>n.a.</v>
          </cell>
          <cell r="BV84" t="str">
            <v>n.a.</v>
          </cell>
          <cell r="BW84">
            <v>-9978955000</v>
          </cell>
          <cell r="BX84">
            <v>-6246477000</v>
          </cell>
          <cell r="BY84">
            <v>-2255194000</v>
          </cell>
          <cell r="BZ84">
            <v>3220783000</v>
          </cell>
          <cell r="CA84">
            <v>13069964000</v>
          </cell>
          <cell r="CB84">
            <v>16837934000</v>
          </cell>
          <cell r="CC84">
            <v>20250057000</v>
          </cell>
          <cell r="CD84">
            <v>12468985000</v>
          </cell>
          <cell r="CE84">
            <v>7609566000</v>
          </cell>
          <cell r="CF84">
            <v>8836222000</v>
          </cell>
          <cell r="CG84">
            <v>7057386000</v>
          </cell>
          <cell r="CH84">
            <v>3686781000</v>
          </cell>
          <cell r="CI84">
            <v>3838219000</v>
          </cell>
          <cell r="CJ84">
            <v>4109498000</v>
          </cell>
          <cell r="CK84">
            <v>3564927000</v>
          </cell>
          <cell r="CL84">
            <v>3512256000</v>
          </cell>
          <cell r="CM84">
            <v>142046000</v>
          </cell>
          <cell r="CN84">
            <v>911893000</v>
          </cell>
          <cell r="CO84">
            <v>6357473000</v>
          </cell>
          <cell r="CP84">
            <v>115500000</v>
          </cell>
          <cell r="CQ84">
            <v>201512000</v>
          </cell>
          <cell r="CR84">
            <v>433963000</v>
          </cell>
          <cell r="CS84">
            <v>1002205000</v>
          </cell>
          <cell r="CT84">
            <v>2151743000</v>
          </cell>
          <cell r="CU84" t="str">
            <v>n.a.</v>
          </cell>
          <cell r="CV84" t="str">
            <v>n.a.</v>
          </cell>
          <cell r="CW84" t="str">
            <v>n.a.</v>
          </cell>
          <cell r="CX84" t="str">
            <v>n.a.</v>
          </cell>
          <cell r="CY84">
            <v>812315000</v>
          </cell>
          <cell r="CZ84">
            <v>679393000</v>
          </cell>
          <cell r="DA84">
            <v>619842000</v>
          </cell>
          <cell r="DB84">
            <v>601568000</v>
          </cell>
          <cell r="DC84">
            <v>68316626000</v>
          </cell>
          <cell r="DD84">
            <v>65436971000</v>
          </cell>
          <cell r="DE84">
            <v>41225526000</v>
          </cell>
          <cell r="DF84">
            <v>32198304000</v>
          </cell>
          <cell r="DG84">
            <v>62925392000</v>
          </cell>
          <cell r="DH84">
            <v>-37322986000</v>
          </cell>
          <cell r="DI84">
            <v>-30453764000</v>
          </cell>
          <cell r="DJ84">
            <v>-962177000</v>
          </cell>
          <cell r="DK84">
            <v>-5813535000</v>
          </cell>
          <cell r="DL84">
            <v>-9.2387743885647897E-2</v>
          </cell>
          <cell r="DM84">
            <v>-8.4574130754179494E-2</v>
          </cell>
          <cell r="DN84">
            <v>-396216000</v>
          </cell>
          <cell r="DO84">
            <v>8222894000</v>
          </cell>
          <cell r="DP84">
            <v>745854000</v>
          </cell>
          <cell r="DR84">
            <v>49870572000</v>
          </cell>
          <cell r="DS84">
            <v>-25387115000</v>
          </cell>
          <cell r="DT84">
            <v>-30700489000</v>
          </cell>
          <cell r="DU84">
            <v>-1423040000</v>
          </cell>
          <cell r="DV84">
            <v>-7640072000</v>
          </cell>
          <cell r="DW84">
            <v>-0.15319800222062799</v>
          </cell>
          <cell r="DX84">
            <v>-0.13284622582212799</v>
          </cell>
          <cell r="DY84">
            <v>-286032000</v>
          </cell>
          <cell r="DZ84">
            <v>7946804000</v>
          </cell>
          <cell r="EA84">
            <v>649617500</v>
          </cell>
          <cell r="EC84">
            <v>61646875000</v>
          </cell>
          <cell r="ED84">
            <v>-24710890000</v>
          </cell>
          <cell r="EE84">
            <v>-31862803000</v>
          </cell>
          <cell r="EF84">
            <v>-1412313000</v>
          </cell>
          <cell r="EG84">
            <v>3660869000</v>
          </cell>
          <cell r="EH84">
            <v>5.93845024585593E-2</v>
          </cell>
          <cell r="EI84">
            <v>6.3133663663608799E-2</v>
          </cell>
          <cell r="EJ84">
            <v>-272930000</v>
          </cell>
          <cell r="EK84">
            <v>5372083500</v>
          </cell>
          <cell r="EL84">
            <v>610705000</v>
          </cell>
          <cell r="EN84">
            <v>58147613000</v>
          </cell>
          <cell r="EO84">
            <v>-29140330333.333302</v>
          </cell>
          <cell r="EP84">
            <v>-31005685333.333302</v>
          </cell>
          <cell r="EQ84">
            <v>-1265843333.3333299</v>
          </cell>
          <cell r="ER84">
            <v>-3264246000</v>
          </cell>
          <cell r="ES84">
            <v>-5.6137231290990297E-2</v>
          </cell>
          <cell r="ET84">
            <v>-5.3153349420671299E-2</v>
          </cell>
        </row>
        <row r="85">
          <cell r="B85" t="str">
            <v>BONNE CO.,LTD.</v>
          </cell>
          <cell r="C85" t="str">
            <v>exclude</v>
          </cell>
          <cell r="D85" t="str">
            <v>Independence(A+, A, A-, U)</v>
          </cell>
          <cell r="H85" t="str">
            <v/>
          </cell>
          <cell r="J85" t="str">
            <v>exclude</v>
          </cell>
          <cell r="K85" t="str">
            <v>Independence(A+, A, A-, U)</v>
          </cell>
          <cell r="M85" t="str">
            <v>BONNE CO.,LTD.</v>
          </cell>
          <cell r="N85" t="str">
            <v>This company is engaged in the provision of investment and financial services in the Republic of Korea. It was incorporated in 2015. The company conducts its business from its registered head office which is located in Seoul.The company invests in financial assets of various business enterprises throughout the country. In addition, it caters financial intermediation and depository credit intermediation services. The company has active operation mainly in the domestic market.</v>
          </cell>
          <cell r="O85" t="str">
            <v>Services</v>
          </cell>
          <cell r="P85" t="str">
            <v>www.bonne.co.kr</v>
          </cell>
          <cell r="R85" t="str">
            <v>Republic of Korea</v>
          </cell>
          <cell r="S85" t="str">
            <v>226340</v>
          </cell>
          <cell r="T85" t="str">
            <v>B-</v>
          </cell>
          <cell r="U85" t="str">
            <v>2844</v>
          </cell>
          <cell r="V85" t="str">
            <v>Engaged in the provision of investment and financial services in the Republic of Korea</v>
          </cell>
          <cell r="W85" t="str">
            <v>- Cosmetics import / export business, health food import / export business, cosmetic processing business, real estate leasing business. In October 2018, it merged with SPAC of HMC III Ivy 3 and listed on the KOSDAQ market.- As a company that develops and manufactures cosmetics, it is engaged in OEM and ODM business, manufacturing cosmetics through its own brands such as touch insole, medisol, and color bucket.- As a major ODM customer, Company have acquired Retail Channel such as Watson, Mannings, Guardians, Sephora, and color cosmetics brands such as Stila, Lorac.</v>
          </cell>
          <cell r="X85" t="str">
            <v>HMCIB NO.3 SPECIAL PURPOSE ACQUISITION COMPANY LTD.</v>
          </cell>
          <cell r="Z85" t="str">
            <v>KR1101115794478</v>
          </cell>
          <cell r="AA85">
            <v>60720302000</v>
          </cell>
          <cell r="AB85">
            <v>53806096000</v>
          </cell>
          <cell r="AC85">
            <v>36046400000</v>
          </cell>
          <cell r="AD85">
            <v>47018567000</v>
          </cell>
          <cell r="AE85">
            <v>60720302000</v>
          </cell>
          <cell r="AF85">
            <v>53806096000</v>
          </cell>
          <cell r="AG85">
            <v>36046400000</v>
          </cell>
          <cell r="AH85">
            <v>47018567000</v>
          </cell>
          <cell r="AI85" t="str">
            <v>n.a.</v>
          </cell>
          <cell r="AJ85" t="str">
            <v>n.a.</v>
          </cell>
          <cell r="AK85" t="str">
            <v>n.a.</v>
          </cell>
          <cell r="AL85" t="str">
            <v>n.a.</v>
          </cell>
          <cell r="AM85">
            <v>60720302000</v>
          </cell>
          <cell r="AN85">
            <v>53806096000</v>
          </cell>
          <cell r="AO85">
            <v>36046400000</v>
          </cell>
          <cell r="AP85">
            <v>47018567000</v>
          </cell>
          <cell r="AQ85" t="str">
            <v>n.a.</v>
          </cell>
          <cell r="AR85" t="str">
            <v>n.a.</v>
          </cell>
          <cell r="AS85" t="str">
            <v>n.a.</v>
          </cell>
          <cell r="AT85" t="str">
            <v>n.a.</v>
          </cell>
          <cell r="AU85">
            <v>-32536900000</v>
          </cell>
          <cell r="AV85">
            <v>-30472461000</v>
          </cell>
          <cell r="AW85">
            <v>-21588583000</v>
          </cell>
          <cell r="AX85">
            <v>-28961949000</v>
          </cell>
          <cell r="AY85">
            <v>-279239000</v>
          </cell>
          <cell r="AZ85">
            <v>-248080000</v>
          </cell>
          <cell r="BA85">
            <v>-223565000</v>
          </cell>
          <cell r="BB85">
            <v>-252622000</v>
          </cell>
          <cell r="BC85">
            <v>-24642838000</v>
          </cell>
          <cell r="BD85">
            <v>-22612643000</v>
          </cell>
          <cell r="BE85">
            <v>-14698165000</v>
          </cell>
          <cell r="BF85">
            <v>-11817257000</v>
          </cell>
          <cell r="BG85">
            <v>3261325000</v>
          </cell>
          <cell r="BH85">
            <v>472912000</v>
          </cell>
          <cell r="BI85">
            <v>-463913000</v>
          </cell>
          <cell r="BJ85">
            <v>5986739000</v>
          </cell>
          <cell r="BK85">
            <v>-1513761000</v>
          </cell>
          <cell r="BL85">
            <v>-1519485000</v>
          </cell>
          <cell r="BM85">
            <v>-393540000</v>
          </cell>
          <cell r="BN85">
            <v>-404970000</v>
          </cell>
          <cell r="BO85">
            <v>-446568000</v>
          </cell>
          <cell r="BP85">
            <v>-545998000</v>
          </cell>
          <cell r="BQ85">
            <v>-220874000</v>
          </cell>
          <cell r="BR85">
            <v>-248414000</v>
          </cell>
          <cell r="BS85">
            <v>-1067193000</v>
          </cell>
          <cell r="BT85">
            <v>-973487000</v>
          </cell>
          <cell r="BU85">
            <v>-172666000</v>
          </cell>
          <cell r="BV85">
            <v>-156556000</v>
          </cell>
          <cell r="BW85">
            <v>1998422000</v>
          </cell>
          <cell r="BX85">
            <v>-3978911000</v>
          </cell>
          <cell r="BY85">
            <v>-1923770000</v>
          </cell>
          <cell r="BZ85">
            <v>5033953000</v>
          </cell>
          <cell r="CA85">
            <v>27334610000</v>
          </cell>
          <cell r="CB85">
            <v>24764231000</v>
          </cell>
          <cell r="CC85">
            <v>41150853000</v>
          </cell>
          <cell r="CD85">
            <v>28557671000</v>
          </cell>
          <cell r="CE85">
            <v>3717609000</v>
          </cell>
          <cell r="CF85">
            <v>2120927000</v>
          </cell>
          <cell r="CG85">
            <v>2740783000</v>
          </cell>
          <cell r="CH85">
            <v>3541016000</v>
          </cell>
          <cell r="CI85">
            <v>9654078000</v>
          </cell>
          <cell r="CJ85">
            <v>4655206000</v>
          </cell>
          <cell r="CK85">
            <v>5551559000</v>
          </cell>
          <cell r="CL85">
            <v>8531514000</v>
          </cell>
          <cell r="CM85">
            <v>7536765000</v>
          </cell>
          <cell r="CN85">
            <v>6442781000</v>
          </cell>
          <cell r="CO85">
            <v>4487134000</v>
          </cell>
          <cell r="CP85">
            <v>6687768000</v>
          </cell>
          <cell r="CQ85">
            <v>5435300000</v>
          </cell>
          <cell r="CR85">
            <v>10512224000</v>
          </cell>
          <cell r="CS85">
            <v>27151621000</v>
          </cell>
          <cell r="CT85">
            <v>8526849000</v>
          </cell>
          <cell r="CU85">
            <v>598578000</v>
          </cell>
          <cell r="CV85">
            <v>758300000</v>
          </cell>
          <cell r="CW85">
            <v>1509442000</v>
          </cell>
          <cell r="CX85">
            <v>4449862000</v>
          </cell>
          <cell r="CY85">
            <v>449788000</v>
          </cell>
          <cell r="CZ85">
            <v>406889000</v>
          </cell>
          <cell r="DA85">
            <v>363365000</v>
          </cell>
          <cell r="DB85">
            <v>339503000</v>
          </cell>
          <cell r="DC85">
            <v>84597524000</v>
          </cell>
          <cell r="DD85">
            <v>83546312000</v>
          </cell>
          <cell r="DE85">
            <v>54463583000</v>
          </cell>
          <cell r="DF85">
            <v>41068940000</v>
          </cell>
          <cell r="DG85">
            <v>60720302000</v>
          </cell>
          <cell r="DH85">
            <v>-32536900000</v>
          </cell>
          <cell r="DI85">
            <v>-24922077000</v>
          </cell>
          <cell r="DJ85">
            <v>-1513761000</v>
          </cell>
          <cell r="DK85">
            <v>1747564000</v>
          </cell>
          <cell r="DL85">
            <v>2.8780555142825199E-2</v>
          </cell>
          <cell r="DM85">
            <v>2.9633421463320899E-2</v>
          </cell>
          <cell r="DN85">
            <v>-279239000</v>
          </cell>
          <cell r="DO85">
            <v>2919268000</v>
          </cell>
          <cell r="DP85">
            <v>428338500</v>
          </cell>
          <cell r="DR85">
            <v>53806096000</v>
          </cell>
          <cell r="DS85">
            <v>-30472461000</v>
          </cell>
          <cell r="DT85">
            <v>-22860723000</v>
          </cell>
          <cell r="DU85">
            <v>-1519485000</v>
          </cell>
          <cell r="DV85">
            <v>-1046573000</v>
          </cell>
          <cell r="DW85">
            <v>-1.9450825794906201E-2</v>
          </cell>
          <cell r="DX85">
            <v>-1.90797096855943E-2</v>
          </cell>
          <cell r="DY85">
            <v>-248080000</v>
          </cell>
          <cell r="DZ85">
            <v>2430855000</v>
          </cell>
          <cell r="EA85">
            <v>385127000</v>
          </cell>
          <cell r="EC85">
            <v>36046400000</v>
          </cell>
          <cell r="ED85">
            <v>-21588583000</v>
          </cell>
          <cell r="EE85">
            <v>-14921730000</v>
          </cell>
          <cell r="EF85">
            <v>-393540000</v>
          </cell>
          <cell r="EG85">
            <v>-857453000</v>
          </cell>
          <cell r="EH85">
            <v>-2.3787479470904201E-2</v>
          </cell>
          <cell r="EI85">
            <v>-2.3234782557799601E-2</v>
          </cell>
          <cell r="EJ85">
            <v>-223565000</v>
          </cell>
          <cell r="EK85">
            <v>3140899500</v>
          </cell>
          <cell r="EL85">
            <v>351434000</v>
          </cell>
          <cell r="EN85">
            <v>50190932666.666702</v>
          </cell>
          <cell r="EO85">
            <v>-28199314666.666698</v>
          </cell>
          <cell r="EP85">
            <v>-20901510000</v>
          </cell>
          <cell r="EQ85">
            <v>-1142262000</v>
          </cell>
          <cell r="ER85">
            <v>-52154000.0000038</v>
          </cell>
          <cell r="ES85">
            <v>-1.0391119915299099E-3</v>
          </cell>
          <cell r="ET85">
            <v>-1.03803335861936E-3</v>
          </cell>
        </row>
        <row r="86">
          <cell r="B86" t="str">
            <v>DO DAY DREAM PUBLIC COMPANY LIMITED</v>
          </cell>
          <cell r="C86" t="str">
            <v>exclude</v>
          </cell>
          <cell r="D86" t="str">
            <v>Independence(A+, A, A-, U)</v>
          </cell>
          <cell r="H86" t="str">
            <v/>
          </cell>
          <cell r="J86" t="str">
            <v>exclude</v>
          </cell>
          <cell r="K86" t="str">
            <v>Independence(A+, A, A-, U)</v>
          </cell>
          <cell r="M86" t="str">
            <v>DO DAY DREAM PUBLIC COMPANY LIMITED</v>
          </cell>
          <cell r="N86" t="str">
            <v>This company is engaged in the manufacturing and distributing skin care and supplements. It was founded on September 2010 and has its registered head office in Thailand.Its mission is to be a leader in delivering exceptional experiences in health and lifestyle businesses. The company offers skin care products under the brand NAMU LIFE, which is a prominent player in Thailand. The products have been designed for all skin types to naturally promote radiance and vitality from the inside.</v>
          </cell>
          <cell r="O86" t="str">
            <v>Manufacturing</v>
          </cell>
          <cell r="P86" t="str">
            <v>www.dodaydream.com</v>
          </cell>
          <cell r="R86" t="str">
            <v>Thailand</v>
          </cell>
          <cell r="S86" t="str">
            <v>DDD</v>
          </cell>
          <cell r="T86" t="str">
            <v>D</v>
          </cell>
          <cell r="U86" t="str">
            <v>2844</v>
          </cell>
          <cell r="V86" t="str">
            <v>Engaged in the manufacturing and distributing skin care and supplements</v>
          </cell>
          <cell r="W86" t="str">
            <v>The Company is a manufacturer and distributor of skin care and supplements.  The company's objective is to conduct the business of manufacturing and distributing skin care and supplements.</v>
          </cell>
          <cell r="X86" t="str">
            <v>DO DAY DREAM COMPANY LIMITED</v>
          </cell>
          <cell r="Z86" t="str">
            <v>TH0107560000109</v>
          </cell>
          <cell r="AA86">
            <v>1615527000</v>
          </cell>
          <cell r="AB86">
            <v>1417259000</v>
          </cell>
          <cell r="AC86">
            <v>1551089000</v>
          </cell>
          <cell r="AD86">
            <v>796440000</v>
          </cell>
          <cell r="AE86">
            <v>1602798000</v>
          </cell>
          <cell r="AF86">
            <v>1411311000</v>
          </cell>
          <cell r="AG86">
            <v>1000337000</v>
          </cell>
          <cell r="AH86">
            <v>729065000</v>
          </cell>
          <cell r="AI86" t="str">
            <v>n.a.</v>
          </cell>
          <cell r="AJ86" t="str">
            <v>n.a.</v>
          </cell>
          <cell r="AK86" t="str">
            <v>n.a.</v>
          </cell>
          <cell r="AL86" t="str">
            <v>n.a.</v>
          </cell>
          <cell r="AM86">
            <v>1602798000</v>
          </cell>
          <cell r="AN86">
            <v>1411311000</v>
          </cell>
          <cell r="AO86">
            <v>1000337000</v>
          </cell>
          <cell r="AP86">
            <v>729065000</v>
          </cell>
          <cell r="AQ86">
            <v>12729000</v>
          </cell>
          <cell r="AR86">
            <v>5948000</v>
          </cell>
          <cell r="AS86">
            <v>550752000</v>
          </cell>
          <cell r="AT86">
            <v>67375000</v>
          </cell>
          <cell r="AU86">
            <v>-103440000</v>
          </cell>
          <cell r="AV86">
            <v>-135519000</v>
          </cell>
          <cell r="AW86">
            <v>-193452000</v>
          </cell>
          <cell r="AX86">
            <v>-65148000</v>
          </cell>
          <cell r="AY86">
            <v>0</v>
          </cell>
          <cell r="AZ86">
            <v>0</v>
          </cell>
          <cell r="BA86">
            <v>0</v>
          </cell>
          <cell r="BB86">
            <v>0</v>
          </cell>
          <cell r="BC86">
            <v>-1425179000</v>
          </cell>
          <cell r="BD86">
            <v>-1175871000</v>
          </cell>
          <cell r="BE86">
            <v>-1074034000</v>
          </cell>
          <cell r="BF86">
            <v>-757961000</v>
          </cell>
          <cell r="BG86">
            <v>86908000</v>
          </cell>
          <cell r="BH86">
            <v>105869000</v>
          </cell>
          <cell r="BI86">
            <v>283603000</v>
          </cell>
          <cell r="BJ86">
            <v>-26669000</v>
          </cell>
          <cell r="BK86">
            <v>-65761000</v>
          </cell>
          <cell r="BL86">
            <v>-70190000</v>
          </cell>
          <cell r="BM86">
            <v>-69741000</v>
          </cell>
          <cell r="BN86">
            <v>-33698000</v>
          </cell>
          <cell r="BO86">
            <v>-50312000</v>
          </cell>
          <cell r="BP86">
            <v>-54716000</v>
          </cell>
          <cell r="BQ86">
            <v>-56223000</v>
          </cell>
          <cell r="BR86">
            <v>-32937000</v>
          </cell>
          <cell r="BS86">
            <v>-15449000</v>
          </cell>
          <cell r="BT86">
            <v>-15474000</v>
          </cell>
          <cell r="BU86">
            <v>-13518000</v>
          </cell>
          <cell r="BV86">
            <v>-761000</v>
          </cell>
          <cell r="BW86">
            <v>100968000</v>
          </cell>
          <cell r="BX86">
            <v>81319000</v>
          </cell>
          <cell r="BY86">
            <v>169253000</v>
          </cell>
          <cell r="BZ86">
            <v>-53785000</v>
          </cell>
          <cell r="CA86">
            <v>4349132000</v>
          </cell>
          <cell r="CB86">
            <v>4239432000</v>
          </cell>
          <cell r="CC86">
            <v>4280961000</v>
          </cell>
          <cell r="CD86">
            <v>4554748000</v>
          </cell>
          <cell r="CE86">
            <v>667837000</v>
          </cell>
          <cell r="CF86">
            <v>397160000</v>
          </cell>
          <cell r="CG86">
            <v>361408000</v>
          </cell>
          <cell r="CH86">
            <v>361816000</v>
          </cell>
          <cell r="CI86">
            <v>477589000</v>
          </cell>
          <cell r="CJ86">
            <v>509622000</v>
          </cell>
          <cell r="CK86">
            <v>341087000</v>
          </cell>
          <cell r="CL86">
            <v>220285000</v>
          </cell>
          <cell r="CM86">
            <v>81450000</v>
          </cell>
          <cell r="CN86">
            <v>175386000</v>
          </cell>
          <cell r="CO86">
            <v>6554000</v>
          </cell>
          <cell r="CP86">
            <v>35076000</v>
          </cell>
          <cell r="CQ86">
            <v>3122256000</v>
          </cell>
          <cell r="CR86">
            <v>3157264000</v>
          </cell>
          <cell r="CS86">
            <v>3571912000</v>
          </cell>
          <cell r="CT86">
            <v>3931732000</v>
          </cell>
          <cell r="CU86">
            <v>671610000</v>
          </cell>
          <cell r="CV86">
            <v>2269343000</v>
          </cell>
          <cell r="CW86">
            <v>3083330000</v>
          </cell>
          <cell r="CX86">
            <v>2908042000</v>
          </cell>
          <cell r="CY86">
            <v>523000</v>
          </cell>
          <cell r="CZ86">
            <v>410000</v>
          </cell>
          <cell r="DA86">
            <v>166000</v>
          </cell>
          <cell r="DB86">
            <v>1392000</v>
          </cell>
          <cell r="DC86">
            <v>5318390000</v>
          </cell>
          <cell r="DD86">
            <v>5223706000</v>
          </cell>
          <cell r="DE86">
            <v>5333512000</v>
          </cell>
          <cell r="DF86">
            <v>4956709000</v>
          </cell>
          <cell r="DG86">
            <v>1602798000</v>
          </cell>
          <cell r="DH86">
            <v>-103440000</v>
          </cell>
          <cell r="DI86">
            <v>-1425179000</v>
          </cell>
          <cell r="DJ86">
            <v>-65761000</v>
          </cell>
          <cell r="DK86">
            <v>8418000</v>
          </cell>
          <cell r="DL86">
            <v>5.2520654505433598E-3</v>
          </cell>
          <cell r="DM86">
            <v>5.2797952809242503E-3</v>
          </cell>
          <cell r="DN86">
            <v>0</v>
          </cell>
          <cell r="DO86">
            <v>532498500</v>
          </cell>
          <cell r="DP86">
            <v>466500</v>
          </cell>
          <cell r="DR86">
            <v>1411311000</v>
          </cell>
          <cell r="DS86">
            <v>-135519000</v>
          </cell>
          <cell r="DT86">
            <v>-1175871000</v>
          </cell>
          <cell r="DU86">
            <v>-70190000</v>
          </cell>
          <cell r="DV86">
            <v>29731000</v>
          </cell>
          <cell r="DW86">
            <v>2.1066228492515101E-2</v>
          </cell>
          <cell r="DX86">
            <v>2.1519564556522201E-2</v>
          </cell>
          <cell r="DY86">
            <v>0</v>
          </cell>
          <cell r="DZ86">
            <v>379284000</v>
          </cell>
          <cell r="EA86">
            <v>288000</v>
          </cell>
          <cell r="EC86">
            <v>1000337000</v>
          </cell>
          <cell r="ED86">
            <v>-193452000</v>
          </cell>
          <cell r="EE86">
            <v>-1074034000</v>
          </cell>
          <cell r="EF86">
            <v>-69741000</v>
          </cell>
          <cell r="EG86">
            <v>-336890000</v>
          </cell>
          <cell r="EH86">
            <v>-0.33677650631737099</v>
          </cell>
          <cell r="EI86">
            <v>-0.251931796172228</v>
          </cell>
          <cell r="EJ86">
            <v>0</v>
          </cell>
          <cell r="EK86">
            <v>361612000</v>
          </cell>
          <cell r="EL86">
            <v>779000</v>
          </cell>
          <cell r="EN86">
            <v>1338148666.6666701</v>
          </cell>
          <cell r="EO86">
            <v>-144137000</v>
          </cell>
          <cell r="EP86">
            <v>-1225028000</v>
          </cell>
          <cell r="EQ86">
            <v>-68564000</v>
          </cell>
          <cell r="ER86">
            <v>-99580333.333333299</v>
          </cell>
          <cell r="ES86">
            <v>-7.4416494828925303E-2</v>
          </cell>
          <cell r="ET86">
            <v>-6.9262241586093898E-2</v>
          </cell>
        </row>
        <row r="87">
          <cell r="B87" t="str">
            <v>BEAUTY SKIN CO.,LTD.</v>
          </cell>
          <cell r="C87" t="str">
            <v>exclude</v>
          </cell>
          <cell r="D87" t="str">
            <v>Independence(A+, A, A-, U)</v>
          </cell>
          <cell r="H87" t="str">
            <v/>
          </cell>
          <cell r="J87" t="e">
            <v>#N/A</v>
          </cell>
          <cell r="K87" t="e">
            <v>#N/A</v>
          </cell>
          <cell r="M87" t="str">
            <v>BEAUTY SKIN CO.,LTD.</v>
          </cell>
          <cell r="N87" t="str">
            <v>This company is engaged in the sales and distribution of cosmetics and skincare products in South Korea. It was incorporated in 2012 and has its registered office based in Incheon, Republic of Korea. It is registered as a limited liability company. It operates its business primarily in the domestic market.The company has a large inventory of its products, as well as employs staff that provides necessary assistance and services, and are trained to provide information on many lines of cosmetics and skincare products being wholesaled. Its selling activities are present across Incheon and in major regions throughout Republic of Korea via other retailers and other trading establishments.</v>
          </cell>
          <cell r="O87" t="str">
            <v>Wholesale</v>
          </cell>
          <cell r="P87" t="str">
            <v>www.beautyskincorp.co.kr</v>
          </cell>
          <cell r="R87" t="str">
            <v>Republic of Korea</v>
          </cell>
          <cell r="S87" t="str">
            <v>406820</v>
          </cell>
          <cell r="T87" t="str">
            <v>B+</v>
          </cell>
          <cell r="U87" t="str">
            <v>2844</v>
          </cell>
          <cell r="V87" t="str">
            <v>Engaged in the sales and distribution of cosmetics and skincare products</v>
          </cell>
          <cell r="W87" t="str">
            <v>Engaged in the sales and distribution of cosmetics and skincare products [source: Bureau van Dijk]</v>
          </cell>
          <cell r="Z87" t="str">
            <v>KR1201110590960</v>
          </cell>
          <cell r="AA87">
            <v>58936832000</v>
          </cell>
          <cell r="AB87">
            <v>41163709000</v>
          </cell>
          <cell r="AC87" t="str">
            <v>n.a.</v>
          </cell>
          <cell r="AD87" t="str">
            <v>n.a.</v>
          </cell>
          <cell r="AE87">
            <v>58936832000</v>
          </cell>
          <cell r="AF87">
            <v>41163709000</v>
          </cell>
          <cell r="AG87" t="str">
            <v>n.a.</v>
          </cell>
          <cell r="AH87" t="str">
            <v>n.a.</v>
          </cell>
          <cell r="AI87" t="str">
            <v>n.a.</v>
          </cell>
          <cell r="AJ87" t="str">
            <v>n.a.</v>
          </cell>
          <cell r="AK87" t="str">
            <v>n.a.</v>
          </cell>
          <cell r="AL87" t="str">
            <v>n.a.</v>
          </cell>
          <cell r="AM87">
            <v>58936832000</v>
          </cell>
          <cell r="AN87">
            <v>41163709000</v>
          </cell>
          <cell r="AO87" t="str">
            <v>n.a.</v>
          </cell>
          <cell r="AP87" t="str">
            <v>n.a.</v>
          </cell>
          <cell r="AQ87" t="str">
            <v>n.a.</v>
          </cell>
          <cell r="AR87" t="str">
            <v>n.a.</v>
          </cell>
          <cell r="AS87" t="str">
            <v>n.a.</v>
          </cell>
          <cell r="AT87" t="str">
            <v>n.a.</v>
          </cell>
          <cell r="AU87">
            <v>-43350119000</v>
          </cell>
          <cell r="AV87">
            <v>-35710593000</v>
          </cell>
          <cell r="AW87" t="str">
            <v>n.a.</v>
          </cell>
          <cell r="AX87" t="str">
            <v>n.a.</v>
          </cell>
          <cell r="AY87">
            <v>-187534000</v>
          </cell>
          <cell r="AZ87">
            <v>-205545000</v>
          </cell>
          <cell r="BA87" t="str">
            <v>n.a.</v>
          </cell>
          <cell r="BB87" t="str">
            <v>n.a.</v>
          </cell>
          <cell r="BC87">
            <v>-11352966000</v>
          </cell>
          <cell r="BD87">
            <v>-2030309000</v>
          </cell>
          <cell r="BE87" t="str">
            <v>n.a.</v>
          </cell>
          <cell r="BF87" t="str">
            <v>n.a.</v>
          </cell>
          <cell r="BG87" t="str">
            <v>n.a.</v>
          </cell>
          <cell r="BH87" t="str">
            <v>n.a.</v>
          </cell>
          <cell r="BI87" t="str">
            <v>n.a.</v>
          </cell>
          <cell r="BJ87" t="str">
            <v>n.a.</v>
          </cell>
          <cell r="BK87" t="str">
            <v>n.a.</v>
          </cell>
          <cell r="BL87" t="str">
            <v>n.a.</v>
          </cell>
          <cell r="BM87" t="str">
            <v>n.a.</v>
          </cell>
          <cell r="BN87" t="str">
            <v>n.a.</v>
          </cell>
          <cell r="BO87" t="str">
            <v>n.a.</v>
          </cell>
          <cell r="BP87" t="str">
            <v>n.a.</v>
          </cell>
          <cell r="BQ87" t="str">
            <v>n.a.</v>
          </cell>
          <cell r="BR87" t="str">
            <v>n.a.</v>
          </cell>
          <cell r="BS87" t="str">
            <v>n.a.</v>
          </cell>
          <cell r="BT87" t="str">
            <v>n.a.</v>
          </cell>
          <cell r="BU87" t="str">
            <v>n.a.</v>
          </cell>
          <cell r="BV87" t="str">
            <v>n.a.</v>
          </cell>
          <cell r="BW87">
            <v>3355744000</v>
          </cell>
          <cell r="BX87">
            <v>2419908000</v>
          </cell>
          <cell r="BY87" t="str">
            <v>n.a.</v>
          </cell>
          <cell r="BZ87" t="str">
            <v>n.a.</v>
          </cell>
          <cell r="CA87">
            <v>25463612000</v>
          </cell>
          <cell r="CB87">
            <v>25753240000</v>
          </cell>
          <cell r="CC87" t="str">
            <v>n.a.</v>
          </cell>
          <cell r="CD87" t="str">
            <v>n.a.</v>
          </cell>
          <cell r="CE87">
            <v>5811675000</v>
          </cell>
          <cell r="CF87">
            <v>10009759000</v>
          </cell>
          <cell r="CG87" t="str">
            <v>n.a.</v>
          </cell>
          <cell r="CH87" t="str">
            <v>n.a.</v>
          </cell>
          <cell r="CI87">
            <v>10984763000</v>
          </cell>
          <cell r="CJ87">
            <v>6911491000</v>
          </cell>
          <cell r="CK87" t="str">
            <v>n.a.</v>
          </cell>
          <cell r="CL87" t="str">
            <v>n.a.</v>
          </cell>
          <cell r="CM87">
            <v>357776000</v>
          </cell>
          <cell r="CN87">
            <v>1173050000</v>
          </cell>
          <cell r="CO87" t="str">
            <v>n.a.</v>
          </cell>
          <cell r="CP87" t="str">
            <v>n.a.</v>
          </cell>
          <cell r="CQ87">
            <v>7670021000</v>
          </cell>
          <cell r="CR87">
            <v>6556309000</v>
          </cell>
          <cell r="CS87" t="str">
            <v>n.a.</v>
          </cell>
          <cell r="CT87" t="str">
            <v>n.a.</v>
          </cell>
          <cell r="CU87" t="str">
            <v>n.a.</v>
          </cell>
          <cell r="CV87" t="str">
            <v>n.a.</v>
          </cell>
          <cell r="CW87" t="str">
            <v>n.a.</v>
          </cell>
          <cell r="CX87" t="str">
            <v>n.a.</v>
          </cell>
          <cell r="CY87">
            <v>397339000</v>
          </cell>
          <cell r="CZ87">
            <v>346321000</v>
          </cell>
          <cell r="DA87" t="str">
            <v>n.a.</v>
          </cell>
          <cell r="DB87" t="str">
            <v>n.a.</v>
          </cell>
          <cell r="DC87">
            <v>64484896000</v>
          </cell>
          <cell r="DD87">
            <v>67605903000</v>
          </cell>
          <cell r="DE87" t="str">
            <v>n.a.</v>
          </cell>
          <cell r="DF87" t="str">
            <v>n.a.</v>
          </cell>
          <cell r="DG87">
            <v>58936832000</v>
          </cell>
          <cell r="DH87">
            <v>-43350119000</v>
          </cell>
          <cell r="DI87">
            <v>-11540500000</v>
          </cell>
          <cell r="DJ87" t="str">
            <v>n.a.</v>
          </cell>
          <cell r="DK87" t="e">
            <v>#VALUE!</v>
          </cell>
          <cell r="DL87" t="e">
            <v>#VALUE!</v>
          </cell>
          <cell r="DM87" t="e">
            <v>#VALUE!</v>
          </cell>
          <cell r="DN87">
            <v>-187534000</v>
          </cell>
          <cell r="DO87">
            <v>7910717000</v>
          </cell>
          <cell r="DP87">
            <v>371830000</v>
          </cell>
          <cell r="DR87">
            <v>41163709000</v>
          </cell>
          <cell r="DS87">
            <v>-35710593000</v>
          </cell>
          <cell r="DT87">
            <v>-2235854000</v>
          </cell>
          <cell r="DU87" t="str">
            <v>n.a.</v>
          </cell>
          <cell r="DV87" t="e">
            <v>#VALUE!</v>
          </cell>
          <cell r="DW87" t="e">
            <v>#VALUE!</v>
          </cell>
          <cell r="DX87" t="e">
            <v>#VALUE!</v>
          </cell>
          <cell r="DY87">
            <v>-205545000</v>
          </cell>
          <cell r="DZ87" t="e">
            <v>#VALUE!</v>
          </cell>
          <cell r="EA87" t="e">
            <v>#VALUE!</v>
          </cell>
          <cell r="EC87" t="str">
            <v>无数据</v>
          </cell>
          <cell r="ED87" t="str">
            <v>n.a.</v>
          </cell>
          <cell r="EE87" t="str">
            <v>n.a.</v>
          </cell>
          <cell r="EF87" t="str">
            <v>n.a.</v>
          </cell>
          <cell r="EG87" t="str">
            <v>无数据</v>
          </cell>
          <cell r="EH87" t="e">
            <v>#VALUE!</v>
          </cell>
          <cell r="EI87" t="e">
            <v>#VALUE!</v>
          </cell>
          <cell r="EJ87" t="str">
            <v>n.a.</v>
          </cell>
          <cell r="EK87" t="e">
            <v>#VALUE!</v>
          </cell>
          <cell r="EL87" t="e">
            <v>#VALUE!</v>
          </cell>
          <cell r="EN87" t="e">
            <v>#VALUE!</v>
          </cell>
          <cell r="EO87" t="e">
            <v>#VALUE!</v>
          </cell>
          <cell r="EP87" t="e">
            <v>#VALUE!</v>
          </cell>
          <cell r="EQ87" t="e">
            <v>#VALUE!</v>
          </cell>
          <cell r="ER87" t="e">
            <v>#VALUE!</v>
          </cell>
          <cell r="ES87" t="e">
            <v>#VALUE!</v>
          </cell>
          <cell r="ET87" t="e">
            <v>#VALUE!</v>
          </cell>
        </row>
        <row r="88">
          <cell r="B88" t="str">
            <v>KODI CO.,LTD.</v>
          </cell>
          <cell r="C88" t="str">
            <v>exclude</v>
          </cell>
          <cell r="D88" t="str">
            <v>Independence(A+, A, A-, U)</v>
          </cell>
          <cell r="H88" t="str">
            <v/>
          </cell>
          <cell r="J88" t="str">
            <v>exclude</v>
          </cell>
          <cell r="K88" t="str">
            <v>Independence(A+, A, A-, U)</v>
          </cell>
          <cell r="M88" t="str">
            <v>KODI CO.,LTD.</v>
          </cell>
          <cell r="N88" t="str">
            <v>The company is a firm which is engaged in the manufacture of display systems and batteries. The company was established in the year 1992. It has its registered business address located in Gyeonggi-do, Republic of Korea with additional facility in Taiwan.The company is a leader in the display and semiconductor sector. It specializes in the manufacture of FPD (flat panels displays) and forklift storage batteries. The company is committed to continue to analyze the changes, create the future and strive to occupy the market.</v>
          </cell>
          <cell r="O88" t="str">
            <v>Manufacturing</v>
          </cell>
          <cell r="P88" t="str">
            <v>www.kodi.co.kr</v>
          </cell>
          <cell r="R88" t="str">
            <v>Republic of Korea</v>
          </cell>
          <cell r="S88" t="str">
            <v>080530</v>
          </cell>
          <cell r="T88" t="str">
            <v>B+</v>
          </cell>
          <cell r="U88" t="str">
            <v>2844</v>
          </cell>
          <cell r="V88" t="str">
            <v>Engaged in the manufacture of display systems and batteries</v>
          </cell>
          <cell r="W88" t="str">
            <v>- The company is engaged in Probe Unit, Probe Card manufacturing, Probe Card, Semiconductor inspection equipment, and Semiconductor production equipment manufacturing, which are inspection equipment for LCD and LED.- Most sales are generated through production of LCD panel inspection equipment and semiconductor manufacturing equipment, and other sales are generated through electric car chargers.- Subsidiaries include domestic company Techno Probe Korea Co., Ltd., Paros Vaccine Co., Ltd. and Kodis Electronics (Suzhou) Co., Ltd., China.</v>
          </cell>
          <cell r="X88" t="str">
            <v>KODI-S CO.,LTD.</v>
          </cell>
          <cell r="Z88" t="str">
            <v>KR1301110050847</v>
          </cell>
          <cell r="AA88">
            <v>55200192000</v>
          </cell>
          <cell r="AB88">
            <v>49250447000</v>
          </cell>
          <cell r="AC88">
            <v>58793472000</v>
          </cell>
          <cell r="AD88">
            <v>49308692000</v>
          </cell>
          <cell r="AE88">
            <v>55200192000</v>
          </cell>
          <cell r="AF88">
            <v>49250447000</v>
          </cell>
          <cell r="AG88">
            <v>58793472000</v>
          </cell>
          <cell r="AH88">
            <v>49308692000</v>
          </cell>
          <cell r="AI88" t="str">
            <v>n.a.</v>
          </cell>
          <cell r="AJ88" t="str">
            <v>n.a.</v>
          </cell>
          <cell r="AK88" t="str">
            <v>n.a.</v>
          </cell>
          <cell r="AL88" t="str">
            <v>n.a.</v>
          </cell>
          <cell r="AM88">
            <v>55200192000</v>
          </cell>
          <cell r="AN88">
            <v>49250447000</v>
          </cell>
          <cell r="AO88">
            <v>58793472000</v>
          </cell>
          <cell r="AP88">
            <v>49308692000</v>
          </cell>
          <cell r="AQ88" t="str">
            <v>n.a.</v>
          </cell>
          <cell r="AR88" t="str">
            <v>n.a.</v>
          </cell>
          <cell r="AS88" t="str">
            <v>n.a.</v>
          </cell>
          <cell r="AT88" t="str">
            <v>n.a.</v>
          </cell>
          <cell r="AU88">
            <v>-49527248000</v>
          </cell>
          <cell r="AV88">
            <v>-42037985000</v>
          </cell>
          <cell r="AW88">
            <v>-44510228000</v>
          </cell>
          <cell r="AX88">
            <v>-41845204000</v>
          </cell>
          <cell r="AY88">
            <v>-3158936000</v>
          </cell>
          <cell r="AZ88">
            <v>-1826282000</v>
          </cell>
          <cell r="BA88">
            <v>-548186000</v>
          </cell>
          <cell r="BB88">
            <v>-417369000</v>
          </cell>
          <cell r="BC88">
            <v>-6370328000</v>
          </cell>
          <cell r="BD88">
            <v>-6069152000</v>
          </cell>
          <cell r="BE88">
            <v>-10048653000</v>
          </cell>
          <cell r="BF88">
            <v>-5420255000</v>
          </cell>
          <cell r="BG88">
            <v>-3856320000</v>
          </cell>
          <cell r="BH88">
            <v>-682972000</v>
          </cell>
          <cell r="BI88">
            <v>3686405000</v>
          </cell>
          <cell r="BJ88">
            <v>1625864000</v>
          </cell>
          <cell r="BK88">
            <v>-1731879000</v>
          </cell>
          <cell r="BL88">
            <v>-1498904000</v>
          </cell>
          <cell r="BM88">
            <v>-1749883000</v>
          </cell>
          <cell r="BN88">
            <v>-1580964000</v>
          </cell>
          <cell r="BO88">
            <v>-775971000</v>
          </cell>
          <cell r="BP88">
            <v>-578982000</v>
          </cell>
          <cell r="BQ88">
            <v>-715336000</v>
          </cell>
          <cell r="BR88">
            <v>-548053000</v>
          </cell>
          <cell r="BS88">
            <v>-955908000</v>
          </cell>
          <cell r="BT88">
            <v>-919922000</v>
          </cell>
          <cell r="BU88">
            <v>-1034547000</v>
          </cell>
          <cell r="BV88">
            <v>-1032911000</v>
          </cell>
          <cell r="BW88">
            <v>-13343565000</v>
          </cell>
          <cell r="BX88">
            <v>-7330904000</v>
          </cell>
          <cell r="BY88">
            <v>-2955810000</v>
          </cell>
          <cell r="BZ88">
            <v>-6795761000</v>
          </cell>
          <cell r="CA88">
            <v>19692638000</v>
          </cell>
          <cell r="CB88">
            <v>31003565000</v>
          </cell>
          <cell r="CC88">
            <v>27289947000</v>
          </cell>
          <cell r="CD88">
            <v>33955994000</v>
          </cell>
          <cell r="CE88">
            <v>6005650000</v>
          </cell>
          <cell r="CF88">
            <v>4671430000</v>
          </cell>
          <cell r="CG88">
            <v>3829475000</v>
          </cell>
          <cell r="CH88">
            <v>4277513000</v>
          </cell>
          <cell r="CI88">
            <v>9082819000</v>
          </cell>
          <cell r="CJ88">
            <v>6270835000</v>
          </cell>
          <cell r="CK88">
            <v>8879226000</v>
          </cell>
          <cell r="CL88">
            <v>6194916000</v>
          </cell>
          <cell r="CM88">
            <v>771399000</v>
          </cell>
          <cell r="CN88">
            <v>11297828000</v>
          </cell>
          <cell r="CO88">
            <v>8372335000</v>
          </cell>
          <cell r="CP88">
            <v>15275081000</v>
          </cell>
          <cell r="CQ88">
            <v>3380298000</v>
          </cell>
          <cell r="CR88">
            <v>7446473000</v>
          </cell>
          <cell r="CS88">
            <v>5949096000</v>
          </cell>
          <cell r="CT88">
            <v>7492791000</v>
          </cell>
          <cell r="CU88" t="str">
            <v>n.a.</v>
          </cell>
          <cell r="CV88" t="str">
            <v>n.a.</v>
          </cell>
          <cell r="CW88" t="str">
            <v>n.a.</v>
          </cell>
          <cell r="CX88" t="str">
            <v>n.a.</v>
          </cell>
          <cell r="CY88">
            <v>12005758000</v>
          </cell>
          <cell r="CZ88">
            <v>8782783000</v>
          </cell>
          <cell r="DA88">
            <v>6282606000</v>
          </cell>
          <cell r="DB88">
            <v>6884851000</v>
          </cell>
          <cell r="DC88">
            <v>59559368000</v>
          </cell>
          <cell r="DD88">
            <v>68639639000</v>
          </cell>
          <cell r="DE88">
            <v>72195993000</v>
          </cell>
          <cell r="DF88">
            <v>75932355000</v>
          </cell>
          <cell r="DG88">
            <v>55200192000</v>
          </cell>
          <cell r="DH88">
            <v>-49527248000</v>
          </cell>
          <cell r="DI88">
            <v>-9529264000</v>
          </cell>
          <cell r="DJ88">
            <v>-1731879000</v>
          </cell>
          <cell r="DK88">
            <v>-5588199000</v>
          </cell>
          <cell r="DL88">
            <v>-0.101235137008219</v>
          </cell>
          <cell r="DM88">
            <v>-9.1928720403209901E-2</v>
          </cell>
          <cell r="DN88">
            <v>-3158936000</v>
          </cell>
          <cell r="DO88">
            <v>5338540000</v>
          </cell>
          <cell r="DP88">
            <v>10394270500</v>
          </cell>
          <cell r="DR88">
            <v>49250447000</v>
          </cell>
          <cell r="DS88">
            <v>-42037985000</v>
          </cell>
          <cell r="DT88">
            <v>-7895434000</v>
          </cell>
          <cell r="DU88">
            <v>-1498904000</v>
          </cell>
          <cell r="DV88">
            <v>-2181876000</v>
          </cell>
          <cell r="DW88">
            <v>-4.4301648673361303E-2</v>
          </cell>
          <cell r="DX88">
            <v>-4.24222720797581E-2</v>
          </cell>
          <cell r="DY88">
            <v>-1826282000</v>
          </cell>
          <cell r="DZ88">
            <v>4250452500</v>
          </cell>
          <cell r="EA88">
            <v>7532694500</v>
          </cell>
          <cell r="EC88">
            <v>58793472000</v>
          </cell>
          <cell r="ED88">
            <v>-44510228000</v>
          </cell>
          <cell r="EE88">
            <v>-10596839000</v>
          </cell>
          <cell r="EF88">
            <v>-1749883000</v>
          </cell>
          <cell r="EG88">
            <v>1936522000</v>
          </cell>
          <cell r="EH88">
            <v>3.2937704376431502E-2</v>
          </cell>
          <cell r="EI88">
            <v>3.40595476894206E-2</v>
          </cell>
          <cell r="EJ88">
            <v>-548186000</v>
          </cell>
          <cell r="EK88">
            <v>4053494000</v>
          </cell>
          <cell r="EL88">
            <v>6583728500</v>
          </cell>
          <cell r="EN88">
            <v>54414703666.666702</v>
          </cell>
          <cell r="EO88">
            <v>-45358487000</v>
          </cell>
          <cell r="EP88">
            <v>-9340512333.3333302</v>
          </cell>
          <cell r="EQ88">
            <v>-1660222000</v>
          </cell>
          <cell r="ER88">
            <v>-1944517666.6666701</v>
          </cell>
          <cell r="ES88">
            <v>-3.5735151266804398E-2</v>
          </cell>
          <cell r="ET88">
            <v>-3.4502209588133499E-2</v>
          </cell>
        </row>
        <row r="89">
          <cell r="B89" t="str">
            <v>KARYON INDUSTRIES BERHAD</v>
          </cell>
          <cell r="C89" t="str">
            <v>exclude</v>
          </cell>
          <cell r="D89" t="str">
            <v>Lev SDA/SDP</v>
          </cell>
          <cell r="H89" t="str">
            <v/>
          </cell>
          <cell r="J89" t="str">
            <v>exclude</v>
          </cell>
          <cell r="K89" t="str">
            <v>lev SDA/SDP</v>
          </cell>
          <cell r="M89" t="str">
            <v>KARYON INDUSTRIES BERHAD</v>
          </cell>
          <cell r="N89" t="str">
            <v>The company, based in Malaysia, operates as an investment holding company engaged in the provision of stock broking services and other related investment management services. It was incorporated in 2003 and has its registered head office in Johor Darul Ta'zim.The company holds a group engaged in the manufacture and trading of PVC, chemicals, and industrial products in Malaysia. The group also offers polymeric and oleochemical products; foam boosters, concentrated detergent pastes, washing detergents, and shampoos. Some of the company's subsidiaries are Hsing Lung Sdn. Bhd., a company engaged in the manufacturing and trading of polyvinyl chloride, chemicals and industrial products; Karyon (Malaysia) Sdn. Bhd., a company involved in the manufacturing of foam booster, concentrated detergent paste, washing detergent and shampoo; and Allbright Industries (M) Sdn. Bhd., a company engaged in the manufacturing and trading of plastic and industrial chemicals.</v>
          </cell>
          <cell r="O89" t="str">
            <v>Services</v>
          </cell>
          <cell r="P89" t="str">
            <v>www.karyongroup.com.my</v>
          </cell>
          <cell r="R89" t="str">
            <v>Malaysia</v>
          </cell>
          <cell r="S89" t="str">
            <v>0054</v>
          </cell>
          <cell r="T89" t="str">
            <v>A+</v>
          </cell>
          <cell r="U89" t="str">
            <v>2841</v>
          </cell>
          <cell r="V89" t="str">
            <v>Operates as an investment holding company engaged in the provision of stock broking services and other related investment management services</v>
          </cell>
          <cell r="W89" t="str">
            <v>Karyon Industries is principally an investment holding company. The principal activities of the subsidiaries are that of manufacture and trading of PVC, platic, industrial chemicals, foam booster, detergent and shampoo.</v>
          </cell>
          <cell r="Z89" t="str">
            <v>MY612797-T</v>
          </cell>
          <cell r="AA89">
            <v>187063000</v>
          </cell>
          <cell r="AB89">
            <v>188920000</v>
          </cell>
          <cell r="AC89">
            <v>137245000</v>
          </cell>
          <cell r="AD89">
            <v>154878000</v>
          </cell>
          <cell r="AE89">
            <v>186799000</v>
          </cell>
          <cell r="AF89">
            <v>188224000</v>
          </cell>
          <cell r="AG89">
            <v>136413000</v>
          </cell>
          <cell r="AH89">
            <v>153245000</v>
          </cell>
          <cell r="AI89">
            <v>93000</v>
          </cell>
          <cell r="AJ89">
            <v>88000</v>
          </cell>
          <cell r="AK89">
            <v>175000</v>
          </cell>
          <cell r="AL89">
            <v>253000</v>
          </cell>
          <cell r="AM89">
            <v>186892000</v>
          </cell>
          <cell r="AN89">
            <v>188312000</v>
          </cell>
          <cell r="AO89">
            <v>136588000</v>
          </cell>
          <cell r="AP89">
            <v>153498000</v>
          </cell>
          <cell r="AQ89">
            <v>171000</v>
          </cell>
          <cell r="AR89">
            <v>608000</v>
          </cell>
          <cell r="AS89">
            <v>657000</v>
          </cell>
          <cell r="AT89">
            <v>1380000</v>
          </cell>
          <cell r="AU89">
            <v>-161104000</v>
          </cell>
          <cell r="AV89">
            <v>-162517000</v>
          </cell>
          <cell r="AW89">
            <v>-114290000</v>
          </cell>
          <cell r="AX89">
            <v>-129171000</v>
          </cell>
          <cell r="AY89">
            <v>0</v>
          </cell>
          <cell r="AZ89">
            <v>0</v>
          </cell>
          <cell r="BA89">
            <v>0</v>
          </cell>
          <cell r="BB89">
            <v>0</v>
          </cell>
          <cell r="BC89">
            <v>-15323000</v>
          </cell>
          <cell r="BD89">
            <v>-14519000</v>
          </cell>
          <cell r="BE89">
            <v>-14283000</v>
          </cell>
          <cell r="BF89">
            <v>-14862000</v>
          </cell>
          <cell r="BG89">
            <v>10636000</v>
          </cell>
          <cell r="BH89">
            <v>11884000</v>
          </cell>
          <cell r="BI89">
            <v>8672000</v>
          </cell>
          <cell r="BJ89">
            <v>10845000</v>
          </cell>
          <cell r="BK89">
            <v>-1574000</v>
          </cell>
          <cell r="BL89">
            <v>-1523000</v>
          </cell>
          <cell r="BM89">
            <v>-1401000</v>
          </cell>
          <cell r="BN89">
            <v>-1352000</v>
          </cell>
          <cell r="BO89">
            <v>-1574000</v>
          </cell>
          <cell r="BP89">
            <v>-1523000</v>
          </cell>
          <cell r="BQ89">
            <v>-1401000</v>
          </cell>
          <cell r="BR89">
            <v>-1352000</v>
          </cell>
          <cell r="BS89">
            <v>0</v>
          </cell>
          <cell r="BT89">
            <v>0</v>
          </cell>
          <cell r="BU89">
            <v>0</v>
          </cell>
          <cell r="BV89">
            <v>0</v>
          </cell>
          <cell r="BW89">
            <v>6007000</v>
          </cell>
          <cell r="BX89">
            <v>7557000</v>
          </cell>
          <cell r="BY89">
            <v>4705000</v>
          </cell>
          <cell r="BZ89">
            <v>6837000</v>
          </cell>
          <cell r="CA89">
            <v>101802000</v>
          </cell>
          <cell r="CB89">
            <v>103347000</v>
          </cell>
          <cell r="CC89">
            <v>89840000</v>
          </cell>
          <cell r="CD89">
            <v>92595000</v>
          </cell>
          <cell r="CE89">
            <v>24269000</v>
          </cell>
          <cell r="CF89">
            <v>34018000</v>
          </cell>
          <cell r="CG89">
            <v>23198000</v>
          </cell>
          <cell r="CH89">
            <v>25123000</v>
          </cell>
          <cell r="CI89">
            <v>26625000</v>
          </cell>
          <cell r="CJ89">
            <v>36411000</v>
          </cell>
          <cell r="CK89">
            <v>26787000</v>
          </cell>
          <cell r="CL89">
            <v>24384000</v>
          </cell>
          <cell r="CM89">
            <v>336000</v>
          </cell>
          <cell r="CN89">
            <v>175000</v>
          </cell>
          <cell r="CO89">
            <v>180000</v>
          </cell>
          <cell r="CP89">
            <v>532000</v>
          </cell>
          <cell r="CQ89">
            <v>47868000</v>
          </cell>
          <cell r="CR89">
            <v>30758000</v>
          </cell>
          <cell r="CS89">
            <v>33659000</v>
          </cell>
          <cell r="CT89">
            <v>41718000</v>
          </cell>
          <cell r="CU89">
            <v>27719000</v>
          </cell>
          <cell r="CV89" t="str">
            <v>n.a.</v>
          </cell>
          <cell r="CW89" t="str">
            <v>n.a.</v>
          </cell>
          <cell r="CX89" t="str">
            <v>n.a.</v>
          </cell>
          <cell r="CY89">
            <v>6347000</v>
          </cell>
          <cell r="CZ89">
            <v>5740000</v>
          </cell>
          <cell r="DA89">
            <v>5515000</v>
          </cell>
          <cell r="DB89">
            <v>4760000</v>
          </cell>
          <cell r="DC89">
            <v>142782000</v>
          </cell>
          <cell r="DD89">
            <v>143890000</v>
          </cell>
          <cell r="DE89">
            <v>130415000</v>
          </cell>
          <cell r="DF89">
            <v>131847000</v>
          </cell>
          <cell r="DG89">
            <v>186892000</v>
          </cell>
          <cell r="DH89">
            <v>-161104000</v>
          </cell>
          <cell r="DI89">
            <v>-15323000</v>
          </cell>
          <cell r="DJ89">
            <v>-1574000</v>
          </cell>
          <cell r="DK89">
            <v>8891000</v>
          </cell>
          <cell r="DL89">
            <v>4.7572929820431001E-2</v>
          </cell>
          <cell r="DM89">
            <v>4.9949157589002299E-2</v>
          </cell>
          <cell r="DN89">
            <v>0</v>
          </cell>
          <cell r="DO89">
            <v>29143500</v>
          </cell>
          <cell r="DP89">
            <v>6043500</v>
          </cell>
          <cell r="DR89">
            <v>188312000</v>
          </cell>
          <cell r="DS89">
            <v>-162517000</v>
          </cell>
          <cell r="DT89">
            <v>-14519000</v>
          </cell>
          <cell r="DU89">
            <v>-1523000</v>
          </cell>
          <cell r="DV89">
            <v>9753000</v>
          </cell>
          <cell r="DW89">
            <v>5.1791707379242997E-2</v>
          </cell>
          <cell r="DX89">
            <v>5.4620601593870902E-2</v>
          </cell>
          <cell r="DY89">
            <v>0</v>
          </cell>
          <cell r="DZ89">
            <v>28608000</v>
          </cell>
          <cell r="EA89">
            <v>5627500</v>
          </cell>
          <cell r="EC89">
            <v>136588000</v>
          </cell>
          <cell r="ED89">
            <v>-114290000</v>
          </cell>
          <cell r="EE89">
            <v>-14283000</v>
          </cell>
          <cell r="EF89">
            <v>-1401000</v>
          </cell>
          <cell r="EG89">
            <v>6614000</v>
          </cell>
          <cell r="EH89">
            <v>4.8422994699387899E-2</v>
          </cell>
          <cell r="EI89">
            <v>5.0887100497022497E-2</v>
          </cell>
          <cell r="EJ89">
            <v>0</v>
          </cell>
          <cell r="EK89">
            <v>24160500</v>
          </cell>
          <cell r="EL89">
            <v>5137500</v>
          </cell>
          <cell r="EN89">
            <v>170597333.33333299</v>
          </cell>
          <cell r="EO89">
            <v>-145970333.33333299</v>
          </cell>
          <cell r="EP89">
            <v>-14708333.3333333</v>
          </cell>
          <cell r="EQ89">
            <v>-1499333.33333333</v>
          </cell>
          <cell r="ER89">
            <v>8419333.3333333302</v>
          </cell>
          <cell r="ES89">
            <v>4.9352080532716398E-2</v>
          </cell>
          <cell r="ET89">
            <v>5.1914151940049398E-2</v>
          </cell>
        </row>
        <row r="90">
          <cell r="B90" t="str">
            <v>MAYWUFA COMPANY LTD.</v>
          </cell>
          <cell r="C90" t="str">
            <v>include before</v>
          </cell>
          <cell r="H90">
            <v>0.187462640678874</v>
          </cell>
          <cell r="J90" t="str">
            <v>newly include</v>
          </cell>
          <cell r="K90">
            <v>0</v>
          </cell>
          <cell r="M90" t="str">
            <v>MAYWUFA COMPANY LTD.</v>
          </cell>
          <cell r="N90" t="str">
            <v>This company is engaged in the research and development, production and distribution of a wide range of pharmaceutical, hair and beauty products and other drugstore products. It also provides consultation of management of drugstore and the storage industry. The company was established in 1976, and headquartered in Taipei, Taiwan.The company's products include medicines, medical equipment, nutrition and health care food, shampoo, bath milk, hair dyeing products, scented soap, hair typing products and hair care products, among others. In addition to products, the company further offers cosmetic articles (coloring cream, hot oil, shampoo, shower gel, and power sunscreen lotion), health articles, sports equipment and related devices, vitamin pills, oral nutrition liquid, medical products, mineral substance food, article for babies, and general food.The company provides effective distribution channels and marketing for domestic and international pharmaceutical and biotechnological companies. It sells products for well-known global pharmaceutical companies, such as Novartis, Bristol-Myers Squibb, Novo Nordisk, Daiichi, Hisamitsu, Eli Lilly, and Kawasumi among others. The company has formed a strategic alliance with DKSH to provide logistics services with the most updated technology for 500 hospitals, 3,000 clinics, 5,000 pharmacies, 198 regional distributors and 7,380 general stores.</v>
          </cell>
          <cell r="O90" t="str">
            <v>Manufacturing; Wholesale</v>
          </cell>
          <cell r="P90" t="str">
            <v>www.maywufa.com.tw</v>
          </cell>
          <cell r="R90" t="str">
            <v>Taiwan, China</v>
          </cell>
          <cell r="S90" t="str">
            <v>1731</v>
          </cell>
          <cell r="T90" t="str">
            <v>A+</v>
          </cell>
          <cell r="U90" t="str">
            <v>2844</v>
          </cell>
          <cell r="V90" t="str">
            <v>Engaged in the research and development, production and distribution of a wide range of pharmaceutical, hair and beauty products and other drugstore products</v>
          </cell>
          <cell r="W90" t="str">
            <v>The Company  is a Taiwan-based company engaged in the distribution of pharmaceuticals and the manufacture, processing and distribution of hair care products. The Company's pharmaceuticals include medicines, medical equipment, nutrition and health care food products. Its hair care products include bath gel, shampoo, conditioners, hair coloring products and hair care products, among others. During the year ended December 31, 2013, the Company obtained approximately 74.15% and 25.85% of its total revenue from pharmaceuticals and hair care products, respectively. It operates its businesses principally in Taiwan.</v>
          </cell>
          <cell r="Z90" t="str">
            <v>TW14089976</v>
          </cell>
          <cell r="AA90">
            <v>1260196000</v>
          </cell>
          <cell r="AB90">
            <v>1315173000</v>
          </cell>
          <cell r="AC90">
            <v>1084166000</v>
          </cell>
          <cell r="AD90">
            <v>1123352000</v>
          </cell>
          <cell r="AE90">
            <v>1245105000</v>
          </cell>
          <cell r="AF90">
            <v>1289211000</v>
          </cell>
          <cell r="AG90">
            <v>1075820000</v>
          </cell>
          <cell r="AH90">
            <v>1120102000</v>
          </cell>
          <cell r="AI90" t="str">
            <v>n.a.</v>
          </cell>
          <cell r="AJ90">
            <v>0</v>
          </cell>
          <cell r="AK90">
            <v>-10495000</v>
          </cell>
          <cell r="AL90">
            <v>-19239000</v>
          </cell>
          <cell r="AM90">
            <v>1245105000</v>
          </cell>
          <cell r="AN90">
            <v>1289211000</v>
          </cell>
          <cell r="AO90">
            <v>1065325000</v>
          </cell>
          <cell r="AP90">
            <v>1100863000</v>
          </cell>
          <cell r="AQ90">
            <v>15091000</v>
          </cell>
          <cell r="AR90">
            <v>25962000</v>
          </cell>
          <cell r="AS90">
            <v>18841000</v>
          </cell>
          <cell r="AT90">
            <v>22489000</v>
          </cell>
          <cell r="AU90">
            <v>-399267000</v>
          </cell>
          <cell r="AV90">
            <v>-398742000</v>
          </cell>
          <cell r="AW90">
            <v>-355065000</v>
          </cell>
          <cell r="AX90">
            <v>-391524000</v>
          </cell>
          <cell r="AY90">
            <v>0</v>
          </cell>
          <cell r="AZ90">
            <v>0</v>
          </cell>
          <cell r="BA90">
            <v>0</v>
          </cell>
          <cell r="BB90">
            <v>0</v>
          </cell>
          <cell r="BC90">
            <v>-618050000</v>
          </cell>
          <cell r="BD90">
            <v>-642547000</v>
          </cell>
          <cell r="BE90">
            <v>-505692000</v>
          </cell>
          <cell r="BF90">
            <v>-516259000</v>
          </cell>
          <cell r="BG90">
            <v>242879000</v>
          </cell>
          <cell r="BH90">
            <v>273884000</v>
          </cell>
          <cell r="BI90">
            <v>223409000</v>
          </cell>
          <cell r="BJ90">
            <v>215569000</v>
          </cell>
          <cell r="BK90">
            <v>-29281000</v>
          </cell>
          <cell r="BL90">
            <v>-48739000</v>
          </cell>
          <cell r="BM90">
            <v>-33989000</v>
          </cell>
          <cell r="BN90">
            <v>-45172000</v>
          </cell>
          <cell r="BO90">
            <v>-28243000</v>
          </cell>
          <cell r="BP90">
            <v>-48072000</v>
          </cell>
          <cell r="BQ90">
            <v>-33331000</v>
          </cell>
          <cell r="BR90">
            <v>-43366000</v>
          </cell>
          <cell r="BS90">
            <v>-1038000</v>
          </cell>
          <cell r="BT90">
            <v>-667000</v>
          </cell>
          <cell r="BU90">
            <v>-658000</v>
          </cell>
          <cell r="BV90">
            <v>-1806000</v>
          </cell>
          <cell r="BW90">
            <v>161830000</v>
          </cell>
          <cell r="BX90">
            <v>164321000</v>
          </cell>
          <cell r="BY90">
            <v>171002000</v>
          </cell>
          <cell r="BZ90">
            <v>100605000</v>
          </cell>
          <cell r="CA90">
            <v>1048954000</v>
          </cell>
          <cell r="CB90">
            <v>1366710000</v>
          </cell>
          <cell r="CC90">
            <v>1262305000</v>
          </cell>
          <cell r="CD90">
            <v>1575658000</v>
          </cell>
          <cell r="CE90">
            <v>232375000</v>
          </cell>
          <cell r="CF90">
            <v>238186000</v>
          </cell>
          <cell r="CG90">
            <v>167545000</v>
          </cell>
          <cell r="CH90">
            <v>192201000</v>
          </cell>
          <cell r="CI90">
            <v>205688000</v>
          </cell>
          <cell r="CJ90">
            <v>217496000</v>
          </cell>
          <cell r="CK90">
            <v>228760000</v>
          </cell>
          <cell r="CL90">
            <v>608376000</v>
          </cell>
          <cell r="CM90">
            <v>25083000</v>
          </cell>
          <cell r="CN90">
            <v>29519000</v>
          </cell>
          <cell r="CO90">
            <v>32789000</v>
          </cell>
          <cell r="CP90">
            <v>75900000</v>
          </cell>
          <cell r="CQ90">
            <v>584378000</v>
          </cell>
          <cell r="CR90">
            <v>879670000</v>
          </cell>
          <cell r="CS90">
            <v>831295000</v>
          </cell>
          <cell r="CT90">
            <v>697455000</v>
          </cell>
          <cell r="CU90">
            <v>406874000</v>
          </cell>
          <cell r="CV90">
            <v>641661000</v>
          </cell>
          <cell r="CW90">
            <v>504507000</v>
          </cell>
          <cell r="CX90">
            <v>561762000</v>
          </cell>
          <cell r="CY90">
            <v>228437000</v>
          </cell>
          <cell r="CZ90">
            <v>3508000</v>
          </cell>
          <cell r="DA90">
            <v>4594000</v>
          </cell>
          <cell r="DB90">
            <v>11888000</v>
          </cell>
          <cell r="DC90">
            <v>2529909000</v>
          </cell>
          <cell r="DD90">
            <v>2692439000</v>
          </cell>
          <cell r="DE90">
            <v>2476266000</v>
          </cell>
          <cell r="DF90">
            <v>2735161000</v>
          </cell>
          <cell r="DG90">
            <v>1245105000</v>
          </cell>
          <cell r="DH90">
            <v>-399267000</v>
          </cell>
          <cell r="DI90">
            <v>-618050000</v>
          </cell>
          <cell r="DJ90">
            <v>-29281000</v>
          </cell>
          <cell r="DK90">
            <v>198507000</v>
          </cell>
          <cell r="DL90">
            <v>0.15942992759646801</v>
          </cell>
          <cell r="DM90">
            <v>0.18966881266732799</v>
          </cell>
          <cell r="DN90">
            <v>0</v>
          </cell>
          <cell r="DO90">
            <v>235280500</v>
          </cell>
          <cell r="DP90">
            <v>115972500</v>
          </cell>
          <cell r="DR90">
            <v>1289211000</v>
          </cell>
          <cell r="DS90">
            <v>-398742000</v>
          </cell>
          <cell r="DT90">
            <v>-642547000</v>
          </cell>
          <cell r="DU90">
            <v>-48739000</v>
          </cell>
          <cell r="DV90">
            <v>199183000</v>
          </cell>
          <cell r="DW90">
            <v>0.15449992282101199</v>
          </cell>
          <cell r="DX90">
            <v>0.18273200321459601</v>
          </cell>
          <cell r="DY90">
            <v>0</v>
          </cell>
          <cell r="DZ90">
            <v>202865500</v>
          </cell>
          <cell r="EA90">
            <v>4051000</v>
          </cell>
          <cell r="EC90">
            <v>1065325000</v>
          </cell>
          <cell r="ED90">
            <v>-355065000</v>
          </cell>
          <cell r="EE90">
            <v>-505692000</v>
          </cell>
          <cell r="EF90">
            <v>-33989000</v>
          </cell>
          <cell r="EG90">
            <v>170579000</v>
          </cell>
          <cell r="EH90">
            <v>0.160119212446906</v>
          </cell>
          <cell r="EI90">
            <v>0.190645166337709</v>
          </cell>
          <cell r="EJ90">
            <v>0</v>
          </cell>
          <cell r="EK90">
            <v>179873000</v>
          </cell>
          <cell r="EL90">
            <v>8241000</v>
          </cell>
          <cell r="EN90">
            <v>1199880333.3333299</v>
          </cell>
          <cell r="EO90">
            <v>-384358000</v>
          </cell>
          <cell r="EP90">
            <v>-588763000</v>
          </cell>
          <cell r="EQ90">
            <v>-37336333.333333299</v>
          </cell>
          <cell r="ER90">
            <v>189423000</v>
          </cell>
          <cell r="ES90">
            <v>0.15786824297200699</v>
          </cell>
          <cell r="ET90">
            <v>0.187462640678874</v>
          </cell>
        </row>
        <row r="91">
          <cell r="B91" t="str">
            <v>INNATURE BERHAD</v>
          </cell>
          <cell r="C91" t="str">
            <v>exclude</v>
          </cell>
          <cell r="D91" t="str">
            <v>Independence(A+, A, A-, U)</v>
          </cell>
          <cell r="H91" t="str">
            <v/>
          </cell>
          <cell r="J91" t="str">
            <v>exclude</v>
          </cell>
          <cell r="K91" t="str">
            <v>Independence(A+, A, A-, U)</v>
          </cell>
          <cell r="M91" t="str">
            <v>INNATURE BERHAD</v>
          </cell>
          <cell r="N91" t="str">
            <v>This company operates as an investment holding firm. It was incorporated in 1994 and is based in Selangor, Malaysia. The company handles the administrative affairs and services of a holding company and grants management services to its subsidiaries. It also provides financial support and control function for the board. In addition, it is responsible for managing the group and its overall legal structure, tax planning, financial and equity structures. Furthermore, the company is involved in matters of policy, strategic planning, marketing, selecting and manning senior management positions, approving investments and budgets, and the overall ongoing monitoring of the group companies' performance.</v>
          </cell>
          <cell r="O91" t="str">
            <v>Services</v>
          </cell>
          <cell r="R91" t="str">
            <v>Malaysia</v>
          </cell>
          <cell r="S91" t="str">
            <v>5295</v>
          </cell>
          <cell r="T91" t="str">
            <v>D</v>
          </cell>
          <cell r="U91" t="str">
            <v>2844</v>
          </cell>
          <cell r="V91" t="str">
            <v>Operates as an investment holding firm</v>
          </cell>
          <cell r="W91" t="str">
            <v>The Company's principal activity - engaged in providing c.</v>
          </cell>
          <cell r="Z91" t="str">
            <v>MY320598-X</v>
          </cell>
          <cell r="AA91">
            <v>149678000</v>
          </cell>
          <cell r="AB91">
            <v>131947000</v>
          </cell>
          <cell r="AC91">
            <v>155382000</v>
          </cell>
          <cell r="AD91">
            <v>192250000</v>
          </cell>
          <cell r="AE91">
            <v>149398000</v>
          </cell>
          <cell r="AF91">
            <v>131920000</v>
          </cell>
          <cell r="AG91">
            <v>155357000</v>
          </cell>
          <cell r="AH91">
            <v>191684000</v>
          </cell>
          <cell r="AI91" t="str">
            <v>n.a.</v>
          </cell>
          <cell r="AJ91" t="str">
            <v>n.a.</v>
          </cell>
          <cell r="AK91" t="str">
            <v>n.a.</v>
          </cell>
          <cell r="AL91" t="str">
            <v>n.a.</v>
          </cell>
          <cell r="AM91">
            <v>149398000</v>
          </cell>
          <cell r="AN91">
            <v>131920000</v>
          </cell>
          <cell r="AO91">
            <v>155357000</v>
          </cell>
          <cell r="AP91">
            <v>191684000</v>
          </cell>
          <cell r="AQ91">
            <v>280000</v>
          </cell>
          <cell r="AR91">
            <v>27000</v>
          </cell>
          <cell r="AS91">
            <v>25000</v>
          </cell>
          <cell r="AT91">
            <v>566000</v>
          </cell>
          <cell r="AU91">
            <v>-50455000</v>
          </cell>
          <cell r="AV91">
            <v>-46901000</v>
          </cell>
          <cell r="AW91">
            <v>-51075000</v>
          </cell>
          <cell r="AX91">
            <v>-62404000</v>
          </cell>
          <cell r="AY91">
            <v>0</v>
          </cell>
          <cell r="AZ91">
            <v>0</v>
          </cell>
          <cell r="BA91">
            <v>0</v>
          </cell>
          <cell r="BB91">
            <v>0</v>
          </cell>
          <cell r="BC91">
            <v>-53549000</v>
          </cell>
          <cell r="BD91">
            <v>-44132000</v>
          </cell>
          <cell r="BE91">
            <v>-53474000</v>
          </cell>
          <cell r="BF91">
            <v>-63430000</v>
          </cell>
          <cell r="BG91">
            <v>45674000</v>
          </cell>
          <cell r="BH91">
            <v>40914000</v>
          </cell>
          <cell r="BI91">
            <v>50833000</v>
          </cell>
          <cell r="BJ91">
            <v>66416000</v>
          </cell>
          <cell r="BK91">
            <v>-17820000</v>
          </cell>
          <cell r="BL91">
            <v>-20245000</v>
          </cell>
          <cell r="BM91">
            <v>-21420000</v>
          </cell>
          <cell r="BN91">
            <v>-21048000</v>
          </cell>
          <cell r="BO91">
            <v>-17437000</v>
          </cell>
          <cell r="BP91">
            <v>-19924000</v>
          </cell>
          <cell r="BQ91">
            <v>-21119000</v>
          </cell>
          <cell r="BR91">
            <v>-20831000</v>
          </cell>
          <cell r="BS91">
            <v>-383000</v>
          </cell>
          <cell r="BT91">
            <v>-321000</v>
          </cell>
          <cell r="BU91">
            <v>-301000</v>
          </cell>
          <cell r="BV91">
            <v>-217000</v>
          </cell>
          <cell r="BW91">
            <v>21335000</v>
          </cell>
          <cell r="BX91">
            <v>15051000</v>
          </cell>
          <cell r="BY91">
            <v>20183000</v>
          </cell>
          <cell r="BZ91">
            <v>30151000</v>
          </cell>
          <cell r="CA91">
            <v>94915000</v>
          </cell>
          <cell r="CB91">
            <v>95231000</v>
          </cell>
          <cell r="CC91">
            <v>93562000</v>
          </cell>
          <cell r="CD91">
            <v>57046000</v>
          </cell>
          <cell r="CE91">
            <v>28767000</v>
          </cell>
          <cell r="CF91">
            <v>35041000</v>
          </cell>
          <cell r="CG91">
            <v>34415000</v>
          </cell>
          <cell r="CH91">
            <v>33776000</v>
          </cell>
          <cell r="CI91">
            <v>3698000</v>
          </cell>
          <cell r="CJ91">
            <v>3990000</v>
          </cell>
          <cell r="CK91">
            <v>3315000</v>
          </cell>
          <cell r="CL91">
            <v>3378000</v>
          </cell>
          <cell r="CM91">
            <v>1765000</v>
          </cell>
          <cell r="CN91">
            <v>1673000</v>
          </cell>
          <cell r="CO91">
            <v>1450000</v>
          </cell>
          <cell r="CP91">
            <v>1799000</v>
          </cell>
          <cell r="CQ91">
            <v>58927000</v>
          </cell>
          <cell r="CR91">
            <v>53806000</v>
          </cell>
          <cell r="CS91">
            <v>53495000</v>
          </cell>
          <cell r="CT91">
            <v>17491000</v>
          </cell>
          <cell r="CU91">
            <v>41357000</v>
          </cell>
          <cell r="CV91">
            <v>42507000</v>
          </cell>
          <cell r="CW91">
            <v>29528000</v>
          </cell>
          <cell r="CX91">
            <v>46000</v>
          </cell>
          <cell r="CY91">
            <v>21490000</v>
          </cell>
          <cell r="CZ91">
            <v>39631000</v>
          </cell>
          <cell r="DA91">
            <v>39001000</v>
          </cell>
          <cell r="DB91">
            <v>36115000</v>
          </cell>
          <cell r="DC91">
            <v>182177000</v>
          </cell>
          <cell r="DD91">
            <v>183807000</v>
          </cell>
          <cell r="DE91">
            <v>188237000</v>
          </cell>
          <cell r="DF91">
            <v>155397000</v>
          </cell>
          <cell r="DG91">
            <v>149398000</v>
          </cell>
          <cell r="DH91">
            <v>-50455000</v>
          </cell>
          <cell r="DI91">
            <v>-53549000</v>
          </cell>
          <cell r="DJ91">
            <v>-17820000</v>
          </cell>
          <cell r="DK91">
            <v>27574000</v>
          </cell>
          <cell r="DL91">
            <v>0.18456739715391099</v>
          </cell>
          <cell r="DM91">
            <v>0.22634292093512001</v>
          </cell>
          <cell r="DN91">
            <v>0</v>
          </cell>
          <cell r="DO91">
            <v>31904000</v>
          </cell>
          <cell r="DP91">
            <v>30560500</v>
          </cell>
          <cell r="DR91">
            <v>131920000</v>
          </cell>
          <cell r="DS91">
            <v>-46901000</v>
          </cell>
          <cell r="DT91">
            <v>-44132000</v>
          </cell>
          <cell r="DU91">
            <v>-20245000</v>
          </cell>
          <cell r="DV91">
            <v>20642000</v>
          </cell>
          <cell r="DW91">
            <v>0.156473620375985</v>
          </cell>
          <cell r="DX91">
            <v>0.18549937993134299</v>
          </cell>
          <cell r="DY91">
            <v>0</v>
          </cell>
          <cell r="DZ91">
            <v>34728000</v>
          </cell>
          <cell r="EA91">
            <v>39316000</v>
          </cell>
          <cell r="EC91">
            <v>155357000</v>
          </cell>
          <cell r="ED91">
            <v>-51075000</v>
          </cell>
          <cell r="EE91">
            <v>-53474000</v>
          </cell>
          <cell r="EF91">
            <v>-21420000</v>
          </cell>
          <cell r="EG91">
            <v>29388000</v>
          </cell>
          <cell r="EH91">
            <v>0.189164311875229</v>
          </cell>
          <cell r="EI91">
            <v>0.23329549333566199</v>
          </cell>
          <cell r="EJ91">
            <v>0</v>
          </cell>
          <cell r="EK91">
            <v>34095500</v>
          </cell>
          <cell r="EL91">
            <v>37558000</v>
          </cell>
          <cell r="EN91">
            <v>145558333.33333299</v>
          </cell>
          <cell r="EO91">
            <v>-49477000</v>
          </cell>
          <cell r="EP91">
            <v>-50385000</v>
          </cell>
          <cell r="EQ91">
            <v>-19828333.333333299</v>
          </cell>
          <cell r="ER91">
            <v>25868000</v>
          </cell>
          <cell r="ES91">
            <v>0.17771569244861701</v>
          </cell>
          <cell r="ET91">
            <v>0.21612438765592301</v>
          </cell>
        </row>
        <row r="92">
          <cell r="B92" t="str">
            <v>OCEANUS GROUP LIMITED</v>
          </cell>
          <cell r="C92" t="str">
            <v>exclude</v>
          </cell>
          <cell r="D92" t="str">
            <v>Lev SDA/SDP</v>
          </cell>
          <cell r="H92" t="str">
            <v/>
          </cell>
          <cell r="J92" t="str">
            <v>exclude</v>
          </cell>
          <cell r="K92" t="str">
            <v>lev SDA/SDP</v>
          </cell>
          <cell r="M92" t="str">
            <v>OCEANUS GROUP LIMITED</v>
          </cell>
          <cell r="N92" t="str">
            <v>This company is a marine aquaculture specialist focusing on large-scale, land-based, industrialized production and sale of Japanese abalones. It was incorporated in November 1998 and has its registered business office of the company is located in Singapore, Singapore.The company is engaged in the sale of aquaculture products. It operates through live marine products segment. The company produces abalones with a production capacity of approximately 26,000 abalone tanks. Its products are canned abalone and dry abalone. It sells live marine products and processed marine products. Its total caged Abalone population is over 8,220 million units. It works with an Australian processor for the supply of abalone meat for canning and making dried abalones. It also invests in research and development to breed abalone and premium seafood, such as fish, prawn and sea cucumber. It is diversifying its business units into fast-moving consumer goods, such as canned abalone, premium seafood products and frozen seafood products. Its farms are located along the coastal lines of Fujian and Guangdong provinces in the People's Republic of China.</v>
          </cell>
          <cell r="O92" t="str">
            <v>Manufacturing; Wholesale; Services</v>
          </cell>
          <cell r="P92" t="str">
            <v>www.oceanus.com.sg</v>
          </cell>
          <cell r="R92" t="str">
            <v>Singapore</v>
          </cell>
          <cell r="S92" t="str">
            <v>579</v>
          </cell>
          <cell r="T92" t="str">
            <v>A+</v>
          </cell>
          <cell r="U92" t="str">
            <v>2844</v>
          </cell>
          <cell r="V92" t="str">
            <v>A marine aquaculture specialist focusing on large-scale, land-based, industrialized production and sale of Japanese abalones</v>
          </cell>
          <cell r="W92" t="str">
            <v>The Company is selling abalone juveniles</v>
          </cell>
          <cell r="X92" t="str">
            <v>TR NETWORKS LTD</v>
          </cell>
          <cell r="Z92" t="str">
            <v>SG199805793D</v>
          </cell>
          <cell r="AA92">
            <v>235909000</v>
          </cell>
          <cell r="AB92">
            <v>144009000</v>
          </cell>
          <cell r="AC92">
            <v>467719144.23162198</v>
          </cell>
          <cell r="AD92">
            <v>54435536.3785135</v>
          </cell>
          <cell r="AE92">
            <v>234501000</v>
          </cell>
          <cell r="AF92">
            <v>140370000</v>
          </cell>
          <cell r="AG92">
            <v>455075414.48562801</v>
          </cell>
          <cell r="AH92">
            <v>48258638.1480629</v>
          </cell>
          <cell r="AI92" t="str">
            <v>n.a.</v>
          </cell>
          <cell r="AJ92" t="str">
            <v>n.a.</v>
          </cell>
          <cell r="AK92" t="str">
            <v>n.a.</v>
          </cell>
          <cell r="AL92" t="str">
            <v>n.a.</v>
          </cell>
          <cell r="AM92">
            <v>234501000</v>
          </cell>
          <cell r="AN92">
            <v>140370000</v>
          </cell>
          <cell r="AO92">
            <v>455075414.48562801</v>
          </cell>
          <cell r="AP92">
            <v>48258638.1480629</v>
          </cell>
          <cell r="AQ92">
            <v>1408000</v>
          </cell>
          <cell r="AR92">
            <v>3639000</v>
          </cell>
          <cell r="AS92">
            <v>12643729.7459947</v>
          </cell>
          <cell r="AT92">
            <v>6176898.2304506097</v>
          </cell>
          <cell r="AU92">
            <v>-216129000</v>
          </cell>
          <cell r="AV92">
            <v>-130144000</v>
          </cell>
          <cell r="AW92">
            <v>-408958917.796758</v>
          </cell>
          <cell r="AX92">
            <v>-39696036.1510235</v>
          </cell>
          <cell r="AY92">
            <v>0</v>
          </cell>
          <cell r="AZ92">
            <v>0</v>
          </cell>
          <cell r="BA92">
            <v>0</v>
          </cell>
          <cell r="BB92">
            <v>0</v>
          </cell>
          <cell r="BC92">
            <v>-13813000</v>
          </cell>
          <cell r="BD92">
            <v>-6394000</v>
          </cell>
          <cell r="BE92">
            <v>-19978872.413334802</v>
          </cell>
          <cell r="BF92">
            <v>-31968430.472290099</v>
          </cell>
          <cell r="BG92">
            <v>5967000</v>
          </cell>
          <cell r="BH92">
            <v>7471000</v>
          </cell>
          <cell r="BI92">
            <v>38781354.021530099</v>
          </cell>
          <cell r="BJ92">
            <v>-17228930.244800098</v>
          </cell>
          <cell r="BK92">
            <v>-3943000</v>
          </cell>
          <cell r="BL92">
            <v>-2588000</v>
          </cell>
          <cell r="BM92">
            <v>-11867707.2400833</v>
          </cell>
          <cell r="BN92">
            <v>-16243530.8629482</v>
          </cell>
          <cell r="BO92">
            <v>-3943000</v>
          </cell>
          <cell r="BP92">
            <v>-2588000</v>
          </cell>
          <cell r="BQ92">
            <v>-11867707.2400833</v>
          </cell>
          <cell r="BR92">
            <v>-12747956.213641999</v>
          </cell>
          <cell r="BS92">
            <v>0</v>
          </cell>
          <cell r="BT92">
            <v>0</v>
          </cell>
          <cell r="BU92">
            <v>0</v>
          </cell>
          <cell r="BV92">
            <v>-3495574.64930622</v>
          </cell>
          <cell r="BW92">
            <v>-13160000</v>
          </cell>
          <cell r="BX92">
            <v>7054000</v>
          </cell>
          <cell r="BY92">
            <v>35934290.560352303</v>
          </cell>
          <cell r="BZ92">
            <v>-24634984.546297502</v>
          </cell>
          <cell r="CA92">
            <v>143991000</v>
          </cell>
          <cell r="CB92">
            <v>123243000</v>
          </cell>
          <cell r="CC92">
            <v>252434684.072593</v>
          </cell>
          <cell r="CD92">
            <v>105271771.85699999</v>
          </cell>
          <cell r="CE92">
            <v>36563000</v>
          </cell>
          <cell r="CF92">
            <v>37403000</v>
          </cell>
          <cell r="CG92">
            <v>72614946.715561897</v>
          </cell>
          <cell r="CH92">
            <v>2951011.8330196398</v>
          </cell>
          <cell r="CI92">
            <v>78086000</v>
          </cell>
          <cell r="CJ92">
            <v>40671000</v>
          </cell>
          <cell r="CK92">
            <v>80187344.671333596</v>
          </cell>
          <cell r="CL92">
            <v>5398951.3500412097</v>
          </cell>
          <cell r="CM92">
            <v>5167000</v>
          </cell>
          <cell r="CN92">
            <v>5884000</v>
          </cell>
          <cell r="CO92">
            <v>1705272.3856013101</v>
          </cell>
          <cell r="CP92">
            <v>3620046.15017172</v>
          </cell>
          <cell r="CQ92">
            <v>24175000</v>
          </cell>
          <cell r="CR92">
            <v>38917000</v>
          </cell>
          <cell r="CS92">
            <v>91372942.957176402</v>
          </cell>
          <cell r="CT92">
            <v>93146173.147685096</v>
          </cell>
          <cell r="CU92">
            <v>13875000</v>
          </cell>
          <cell r="CV92">
            <v>1704000</v>
          </cell>
          <cell r="CW92">
            <v>34609615.1999432</v>
          </cell>
          <cell r="CX92">
            <v>5217430.4112790199</v>
          </cell>
          <cell r="CY92">
            <v>3110000</v>
          </cell>
          <cell r="CZ92">
            <v>2327000</v>
          </cell>
          <cell r="DA92">
            <v>2367610.0658058799</v>
          </cell>
          <cell r="DB92">
            <v>34753480.304155797</v>
          </cell>
          <cell r="DC92">
            <v>166756000</v>
          </cell>
          <cell r="DD92">
            <v>144060000</v>
          </cell>
          <cell r="DE92">
            <v>347173686.43439102</v>
          </cell>
          <cell r="DF92">
            <v>210507239.52624699</v>
          </cell>
          <cell r="DG92">
            <v>234501000</v>
          </cell>
          <cell r="DH92">
            <v>-216129000</v>
          </cell>
          <cell r="DI92">
            <v>-13813000</v>
          </cell>
          <cell r="DJ92">
            <v>-3943000</v>
          </cell>
          <cell r="DK92">
            <v>616000</v>
          </cell>
          <cell r="DL92">
            <v>2.6268544697037499E-3</v>
          </cell>
          <cell r="DM92">
            <v>2.63377300810227E-3</v>
          </cell>
          <cell r="DN92">
            <v>0</v>
          </cell>
          <cell r="DO92">
            <v>36983000</v>
          </cell>
          <cell r="DP92">
            <v>2718500</v>
          </cell>
          <cell r="DR92">
            <v>140370000</v>
          </cell>
          <cell r="DS92">
            <v>-130144000</v>
          </cell>
          <cell r="DT92">
            <v>-6394000</v>
          </cell>
          <cell r="DU92">
            <v>-2588000</v>
          </cell>
          <cell r="DV92">
            <v>1244000</v>
          </cell>
          <cell r="DW92">
            <v>8.8622925126451493E-3</v>
          </cell>
          <cell r="DX92">
            <v>8.9415350114284906E-3</v>
          </cell>
          <cell r="DY92">
            <v>0</v>
          </cell>
          <cell r="DZ92">
            <v>55008973.357780904</v>
          </cell>
          <cell r="EA92">
            <v>2347305.0329029402</v>
          </cell>
          <cell r="EC92">
            <v>455075414.48562801</v>
          </cell>
          <cell r="ED92">
            <v>-408958917.796758</v>
          </cell>
          <cell r="EE92">
            <v>-19978872.413334802</v>
          </cell>
          <cell r="EF92">
            <v>-11867707.2400833</v>
          </cell>
          <cell r="EG92">
            <v>14269917.0354519</v>
          </cell>
          <cell r="EH92">
            <v>3.1357257679106201E-2</v>
          </cell>
          <cell r="EI92">
            <v>3.2372366311209197E-2</v>
          </cell>
          <cell r="EJ92">
            <v>0</v>
          </cell>
          <cell r="EK92">
            <v>37782979.2742908</v>
          </cell>
          <cell r="EL92">
            <v>18560545.184980799</v>
          </cell>
          <cell r="EN92">
            <v>276648804.82854301</v>
          </cell>
          <cell r="EO92">
            <v>-251743972.598919</v>
          </cell>
          <cell r="EP92">
            <v>-13395290.8044449</v>
          </cell>
          <cell r="EQ92">
            <v>-6132902.4133610995</v>
          </cell>
          <cell r="ER92">
            <v>5376639.01181731</v>
          </cell>
          <cell r="ES92">
            <v>1.94348897156797E-2</v>
          </cell>
          <cell r="ET92">
            <v>1.98200909983881E-2</v>
          </cell>
        </row>
        <row r="93">
          <cell r="B93" t="str">
            <v>NOW COS CO.,LTD.</v>
          </cell>
          <cell r="C93" t="str">
            <v>exclude</v>
          </cell>
          <cell r="D93" t="str">
            <v>Independence(A+, A, A-, U)</v>
          </cell>
          <cell r="H93" t="str">
            <v/>
          </cell>
          <cell r="J93" t="str">
            <v>exclude</v>
          </cell>
          <cell r="K93" t="str">
            <v>Independence(A+, A, A-, U)</v>
          </cell>
          <cell r="M93" t="str">
            <v>NOW COS CO.,LTD.</v>
          </cell>
          <cell r="N93" t="str">
            <v>This company is an entity based in Republic of Korea that is engaged in the manufacture and wholesale trade of cosmetics, toiletries and other related products. It started its operations in 2000, and has its registered business office located in Sejong-Si, Republic of Korea. The company offers a wide range of cosmetics, including primers, foundations, powders, concealers, shine control, make-up removers, eye shadows, eye liners, mascara, faux lashes, eye brows, glosses, lipsticks, plumpers, tints and stains, pencils, treatments, and brushes and applicators. In addition, it also offers styling tools, such as curling and flat irons, dryers, and brushers; and haircare products, including shampoos and conditioners. Further, the company provides bath and body products, such as body cleansers and moisturizers, body treatments, and suncare products, as well as nail and pedicure products. These are offered to the general consumers. The company has its active operations in Republic of Korea.</v>
          </cell>
          <cell r="O93" t="str">
            <v>Manufacturing</v>
          </cell>
          <cell r="P93" t="str">
            <v>www.nowcos.com</v>
          </cell>
          <cell r="R93" t="str">
            <v>Republic of Korea</v>
          </cell>
          <cell r="S93" t="str">
            <v>257990</v>
          </cell>
          <cell r="T93" t="str">
            <v>D</v>
          </cell>
          <cell r="U93" t="str">
            <v>2844</v>
          </cell>
          <cell r="V93" t="str">
            <v>Engaged in the manufacture and wholesale trade of cosmetics, toiletries and other related products</v>
          </cell>
          <cell r="W93" t="str">
            <v>Engaged in the manufacture and wholesale trade of cosmetics, toiletries and other related products [source: Bureau van Dijk]</v>
          </cell>
          <cell r="Z93" t="str">
            <v>KR1211110074525</v>
          </cell>
          <cell r="AA93">
            <v>42348412000</v>
          </cell>
          <cell r="AB93">
            <v>42462784000</v>
          </cell>
          <cell r="AC93">
            <v>47956928000</v>
          </cell>
          <cell r="AD93">
            <v>36210533000</v>
          </cell>
          <cell r="AE93">
            <v>42348412000</v>
          </cell>
          <cell r="AF93">
            <v>42462784000</v>
          </cell>
          <cell r="AG93">
            <v>47956928000</v>
          </cell>
          <cell r="AH93">
            <v>36210533000</v>
          </cell>
          <cell r="AI93" t="str">
            <v>n.a.</v>
          </cell>
          <cell r="AJ93" t="str">
            <v>n.a.</v>
          </cell>
          <cell r="AK93" t="str">
            <v>n.a.</v>
          </cell>
          <cell r="AL93" t="str">
            <v>n.a.</v>
          </cell>
          <cell r="AM93">
            <v>42348412000</v>
          </cell>
          <cell r="AN93">
            <v>42462784000</v>
          </cell>
          <cell r="AO93">
            <v>47956928000</v>
          </cell>
          <cell r="AP93">
            <v>36210533000</v>
          </cell>
          <cell r="AQ93" t="str">
            <v>n.a.</v>
          </cell>
          <cell r="AR93" t="str">
            <v>n.a.</v>
          </cell>
          <cell r="AS93" t="str">
            <v>n.a.</v>
          </cell>
          <cell r="AT93" t="str">
            <v>n.a.</v>
          </cell>
          <cell r="AU93">
            <v>-36716562000</v>
          </cell>
          <cell r="AV93">
            <v>-35769686000</v>
          </cell>
          <cell r="AW93">
            <v>-37765109000</v>
          </cell>
          <cell r="AX93">
            <v>-29718424000</v>
          </cell>
          <cell r="AY93">
            <v>-1660995000</v>
          </cell>
          <cell r="AZ93">
            <v>-1829245000</v>
          </cell>
          <cell r="BA93">
            <v>-1946184000</v>
          </cell>
          <cell r="BB93">
            <v>-1285176000</v>
          </cell>
          <cell r="BC93">
            <v>-4961534000</v>
          </cell>
          <cell r="BD93">
            <v>-4128013000</v>
          </cell>
          <cell r="BE93">
            <v>-4123687000</v>
          </cell>
          <cell r="BF93">
            <v>-3965826000</v>
          </cell>
          <cell r="BG93">
            <v>-990679000</v>
          </cell>
          <cell r="BH93">
            <v>735840000</v>
          </cell>
          <cell r="BI93">
            <v>4121948000</v>
          </cell>
          <cell r="BJ93">
            <v>1241107000</v>
          </cell>
          <cell r="BK93">
            <v>-482634000</v>
          </cell>
          <cell r="BL93">
            <v>-432587000</v>
          </cell>
          <cell r="BM93">
            <v>-434212000</v>
          </cell>
          <cell r="BN93">
            <v>-345421000</v>
          </cell>
          <cell r="BO93">
            <v>-464688000</v>
          </cell>
          <cell r="BP93">
            <v>-395304000</v>
          </cell>
          <cell r="BQ93">
            <v>-390497000</v>
          </cell>
          <cell r="BR93">
            <v>-297518000</v>
          </cell>
          <cell r="BS93">
            <v>-17946000</v>
          </cell>
          <cell r="BT93">
            <v>-37283000</v>
          </cell>
          <cell r="BU93">
            <v>-43715000</v>
          </cell>
          <cell r="BV93">
            <v>-47903000</v>
          </cell>
          <cell r="BW93">
            <v>-1246421000</v>
          </cell>
          <cell r="BX93">
            <v>337983000</v>
          </cell>
          <cell r="BY93">
            <v>1844290000</v>
          </cell>
          <cell r="BZ93">
            <v>742225000</v>
          </cell>
          <cell r="CA93">
            <v>19203843000</v>
          </cell>
          <cell r="CB93">
            <v>11699704000</v>
          </cell>
          <cell r="CC93">
            <v>14366078000</v>
          </cell>
          <cell r="CD93">
            <v>11615260000</v>
          </cell>
          <cell r="CE93">
            <v>4043567000</v>
          </cell>
          <cell r="CF93">
            <v>5288693000</v>
          </cell>
          <cell r="CG93">
            <v>4508790000</v>
          </cell>
          <cell r="CH93">
            <v>4571413000</v>
          </cell>
          <cell r="CI93">
            <v>4067258000</v>
          </cell>
          <cell r="CJ93">
            <v>3949325000</v>
          </cell>
          <cell r="CK93">
            <v>5000707000</v>
          </cell>
          <cell r="CL93">
            <v>3797014000</v>
          </cell>
          <cell r="CM93">
            <v>2848099000</v>
          </cell>
          <cell r="CN93">
            <v>678797000</v>
          </cell>
          <cell r="CO93">
            <v>190191000</v>
          </cell>
          <cell r="CP93">
            <v>573006000</v>
          </cell>
          <cell r="CQ93">
            <v>8130843000</v>
          </cell>
          <cell r="CR93">
            <v>1503709000</v>
          </cell>
          <cell r="CS93">
            <v>4554338000</v>
          </cell>
          <cell r="CT93">
            <v>1899437000</v>
          </cell>
          <cell r="CU93">
            <v>318062000</v>
          </cell>
          <cell r="CV93" t="str">
            <v>n.a.</v>
          </cell>
          <cell r="CW93" t="str">
            <v>n.a.</v>
          </cell>
          <cell r="CX93" t="str">
            <v>n.a.</v>
          </cell>
          <cell r="CY93">
            <v>1748029000</v>
          </cell>
          <cell r="CZ93">
            <v>1626728000</v>
          </cell>
          <cell r="DA93">
            <v>1519425000</v>
          </cell>
          <cell r="DB93">
            <v>1325215000</v>
          </cell>
          <cell r="DC93">
            <v>39390613000</v>
          </cell>
          <cell r="DD93">
            <v>31414458000</v>
          </cell>
          <cell r="DE93">
            <v>35194641000</v>
          </cell>
          <cell r="DF93">
            <v>28738196000</v>
          </cell>
          <cell r="DG93">
            <v>42348412000</v>
          </cell>
          <cell r="DH93">
            <v>-36716562000</v>
          </cell>
          <cell r="DI93">
            <v>-6622529000</v>
          </cell>
          <cell r="DJ93">
            <v>-482634000</v>
          </cell>
          <cell r="DK93">
            <v>-1473313000</v>
          </cell>
          <cell r="DL93">
            <v>-3.4790277378051397E-2</v>
          </cell>
          <cell r="DM93">
            <v>-3.3620607130367401E-2</v>
          </cell>
          <cell r="DN93">
            <v>-1660995000</v>
          </cell>
          <cell r="DO93">
            <v>4666130000</v>
          </cell>
          <cell r="DP93">
            <v>1687378500</v>
          </cell>
          <cell r="DR93">
            <v>42462784000</v>
          </cell>
          <cell r="DS93">
            <v>-35769686000</v>
          </cell>
          <cell r="DT93">
            <v>-5957258000</v>
          </cell>
          <cell r="DU93">
            <v>-432587000</v>
          </cell>
          <cell r="DV93">
            <v>303253000</v>
          </cell>
          <cell r="DW93">
            <v>7.1416184110773299E-3</v>
          </cell>
          <cell r="DX93">
            <v>7.1929879865124703E-3</v>
          </cell>
          <cell r="DY93">
            <v>-1829245000</v>
          </cell>
          <cell r="DZ93">
            <v>4898741500</v>
          </cell>
          <cell r="EA93">
            <v>1573076500</v>
          </cell>
          <cell r="EC93">
            <v>47956928000</v>
          </cell>
          <cell r="ED93">
            <v>-37765109000</v>
          </cell>
          <cell r="EE93">
            <v>-6069871000</v>
          </cell>
          <cell r="EF93">
            <v>-434212000</v>
          </cell>
          <cell r="EG93">
            <v>3687736000</v>
          </cell>
          <cell r="EH93">
            <v>7.6896835426989801E-2</v>
          </cell>
          <cell r="EI93">
            <v>8.3302536897443297E-2</v>
          </cell>
          <cell r="EJ93">
            <v>-1946184000</v>
          </cell>
          <cell r="EK93">
            <v>4540101500</v>
          </cell>
          <cell r="EL93">
            <v>1422320000</v>
          </cell>
          <cell r="EN93">
            <v>44256041333.333298</v>
          </cell>
          <cell r="EO93">
            <v>-36750452333.333298</v>
          </cell>
          <cell r="EP93">
            <v>-6216552666.6666698</v>
          </cell>
          <cell r="EQ93">
            <v>-449811000</v>
          </cell>
          <cell r="ER93">
            <v>839225333.33333302</v>
          </cell>
          <cell r="ES93">
            <v>1.8962955294901999E-2</v>
          </cell>
          <cell r="ET93">
            <v>1.93294997342351E-2</v>
          </cell>
        </row>
        <row r="94">
          <cell r="B94" t="str">
            <v>ADJUVANT HOLDINGS CO.,LTD.</v>
          </cell>
          <cell r="C94" t="str">
            <v>exclude</v>
          </cell>
          <cell r="D94" t="str">
            <v>Lev SDA/SDP</v>
          </cell>
          <cell r="H94" t="str">
            <v/>
          </cell>
          <cell r="J94" t="str">
            <v>exclude</v>
          </cell>
          <cell r="K94" t="str">
            <v>lev SDA/SDP</v>
          </cell>
          <cell r="M94" t="str">
            <v>ADJUVANT HOLDINGS CO.,LTD.</v>
          </cell>
          <cell r="N94" t="str">
            <v>The company is a firm based in Japan that is engaged in the research, development, manufacture, and sale of cosmetic products. It was incorporated in 1998 and has its registered business office strategically located in Kobe-Shi. It provides skin care products, including cleansing products, facial cleansers, lotions, essence, masks, moisturizing creams, makeup bases, and makeup products; hair care products comprising shampoos, scalp lotions, and scalp cleansing and styling products; and other products, such as body care products, and supplements. The company sells its products to salons directly, as well as through agents. It has its active operations within the country.</v>
          </cell>
          <cell r="O94" t="str">
            <v>Manufacturing</v>
          </cell>
          <cell r="P94" t="str">
            <v>www.adjuvant.co.jp</v>
          </cell>
          <cell r="R94" t="str">
            <v>Japan</v>
          </cell>
          <cell r="S94" t="str">
            <v>4929</v>
          </cell>
          <cell r="T94" t="str">
            <v>A+</v>
          </cell>
          <cell r="U94" t="str">
            <v>2844</v>
          </cell>
          <cell r="V94" t="str">
            <v>Engaged in the research, development, manufacture, and sale of cosmetic products</v>
          </cell>
          <cell r="W94" t="str">
            <v>The Company is mainly engaged in the planning, research and development, and sale of adjuvant cosmetics for beauty salons, barbers and esthetic salons, as well as the provision of related services.</v>
          </cell>
          <cell r="X94" t="str">
            <v>ADJUVANT COSME JAPAN CO LTD</v>
          </cell>
          <cell r="Z94" t="str">
            <v>JP2140001015675</v>
          </cell>
          <cell r="AA94">
            <v>4377402000</v>
          </cell>
          <cell r="AB94">
            <v>4427063000</v>
          </cell>
          <cell r="AC94">
            <v>4885682000</v>
          </cell>
          <cell r="AD94">
            <v>4674081000</v>
          </cell>
          <cell r="AE94">
            <v>4377402000</v>
          </cell>
          <cell r="AF94">
            <v>4427063000</v>
          </cell>
          <cell r="AG94">
            <v>4885682000</v>
          </cell>
          <cell r="AH94">
            <v>4674081000</v>
          </cell>
          <cell r="AI94" t="str">
            <v>n.a.</v>
          </cell>
          <cell r="AJ94" t="str">
            <v>n.a.</v>
          </cell>
          <cell r="AK94" t="str">
            <v>n.a.</v>
          </cell>
          <cell r="AL94" t="str">
            <v>n.a.</v>
          </cell>
          <cell r="AM94">
            <v>4377402000</v>
          </cell>
          <cell r="AN94">
            <v>4427063000</v>
          </cell>
          <cell r="AO94">
            <v>4885682000</v>
          </cell>
          <cell r="AP94">
            <v>4674081000</v>
          </cell>
          <cell r="AQ94" t="str">
            <v>n.a.</v>
          </cell>
          <cell r="AR94" t="str">
            <v>n.a.</v>
          </cell>
          <cell r="AS94" t="str">
            <v>n.a.</v>
          </cell>
          <cell r="AT94" t="str">
            <v>n.a.</v>
          </cell>
          <cell r="AU94">
            <v>-1352901000</v>
          </cell>
          <cell r="AV94">
            <v>-1375005000</v>
          </cell>
          <cell r="AW94">
            <v>-1777539000</v>
          </cell>
          <cell r="AX94">
            <v>-1746331000</v>
          </cell>
          <cell r="AY94">
            <v>-181025000</v>
          </cell>
          <cell r="AZ94">
            <v>-173458000</v>
          </cell>
          <cell r="BA94">
            <v>-151917000</v>
          </cell>
          <cell r="BB94">
            <v>-161264000</v>
          </cell>
          <cell r="BC94">
            <v>-2502215000</v>
          </cell>
          <cell r="BD94">
            <v>-2377944000</v>
          </cell>
          <cell r="BE94">
            <v>-2552648000</v>
          </cell>
          <cell r="BF94">
            <v>-2833508000</v>
          </cell>
          <cell r="BG94">
            <v>341261000</v>
          </cell>
          <cell r="BH94">
            <v>500656000</v>
          </cell>
          <cell r="BI94">
            <v>403578000</v>
          </cell>
          <cell r="BJ94">
            <v>-67022000</v>
          </cell>
          <cell r="BK94">
            <v>-108574000</v>
          </cell>
          <cell r="BL94">
            <v>-111469000</v>
          </cell>
          <cell r="BM94">
            <v>-153896000</v>
          </cell>
          <cell r="BN94">
            <v>-117597000</v>
          </cell>
          <cell r="BO94">
            <v>-108574000</v>
          </cell>
          <cell r="BP94">
            <v>-111469000</v>
          </cell>
          <cell r="BQ94">
            <v>-153307000</v>
          </cell>
          <cell r="BR94">
            <v>-117597000</v>
          </cell>
          <cell r="BS94">
            <v>0</v>
          </cell>
          <cell r="BT94">
            <v>0</v>
          </cell>
          <cell r="BU94">
            <v>-589000</v>
          </cell>
          <cell r="BV94">
            <v>0</v>
          </cell>
          <cell r="BW94">
            <v>403643000</v>
          </cell>
          <cell r="BX94">
            <v>393179000</v>
          </cell>
          <cell r="BY94">
            <v>142381000</v>
          </cell>
          <cell r="BZ94">
            <v>-227928000</v>
          </cell>
          <cell r="CA94">
            <v>3339446000</v>
          </cell>
          <cell r="CB94">
            <v>3244406000</v>
          </cell>
          <cell r="CC94">
            <v>2723604000</v>
          </cell>
          <cell r="CD94">
            <v>2747807000</v>
          </cell>
          <cell r="CE94">
            <v>1221467000</v>
          </cell>
          <cell r="CF94">
            <v>1032284000</v>
          </cell>
          <cell r="CG94">
            <v>712447000</v>
          </cell>
          <cell r="CH94">
            <v>736823000</v>
          </cell>
          <cell r="CI94">
            <v>433665000</v>
          </cell>
          <cell r="CJ94">
            <v>374259000</v>
          </cell>
          <cell r="CK94">
            <v>382071000</v>
          </cell>
          <cell r="CL94">
            <v>450332000</v>
          </cell>
          <cell r="CM94">
            <v>156303000</v>
          </cell>
          <cell r="CN94">
            <v>93791000</v>
          </cell>
          <cell r="CO94">
            <v>159237000</v>
          </cell>
          <cell r="CP94">
            <v>82339000</v>
          </cell>
          <cell r="CQ94">
            <v>1528011000</v>
          </cell>
          <cell r="CR94">
            <v>1744072000</v>
          </cell>
          <cell r="CS94">
            <v>1469849000</v>
          </cell>
          <cell r="CT94">
            <v>1478313000</v>
          </cell>
          <cell r="CU94" t="str">
            <v>n.a.</v>
          </cell>
          <cell r="CV94" t="str">
            <v>n.a.</v>
          </cell>
          <cell r="CW94" t="str">
            <v>n.a.</v>
          </cell>
          <cell r="CX94">
            <v>0</v>
          </cell>
          <cell r="CY94">
            <v>327789000</v>
          </cell>
          <cell r="CZ94">
            <v>322348000</v>
          </cell>
          <cell r="DA94">
            <v>283692000</v>
          </cell>
          <cell r="DB94">
            <v>300939000</v>
          </cell>
          <cell r="DC94">
            <v>5551595000</v>
          </cell>
          <cell r="DD94">
            <v>5661751000</v>
          </cell>
          <cell r="DE94">
            <v>5096048000</v>
          </cell>
          <cell r="DF94">
            <v>5250788000</v>
          </cell>
          <cell r="DG94">
            <v>4377402000</v>
          </cell>
          <cell r="DH94">
            <v>-1352901000</v>
          </cell>
          <cell r="DI94">
            <v>-2683240000</v>
          </cell>
          <cell r="DJ94">
            <v>-108574000</v>
          </cell>
          <cell r="DK94">
            <v>232687000</v>
          </cell>
          <cell r="DL94">
            <v>5.3156415609075899E-2</v>
          </cell>
          <cell r="DM94">
            <v>5.6140651407877301E-2</v>
          </cell>
          <cell r="DN94">
            <v>-181025000</v>
          </cell>
          <cell r="DO94">
            <v>1126875500</v>
          </cell>
          <cell r="DP94">
            <v>325068500</v>
          </cell>
          <cell r="DR94">
            <v>4427063000</v>
          </cell>
          <cell r="DS94">
            <v>-1375005000</v>
          </cell>
          <cell r="DT94">
            <v>-2551402000</v>
          </cell>
          <cell r="DU94">
            <v>-111469000</v>
          </cell>
          <cell r="DV94">
            <v>389187000</v>
          </cell>
          <cell r="DW94">
            <v>8.7910879063614E-2</v>
          </cell>
          <cell r="DX94">
            <v>9.6384089060684394E-2</v>
          </cell>
          <cell r="DY94">
            <v>-173458000</v>
          </cell>
          <cell r="DZ94">
            <v>872365500</v>
          </cell>
          <cell r="EA94">
            <v>303020000</v>
          </cell>
          <cell r="EC94">
            <v>4885682000</v>
          </cell>
          <cell r="ED94">
            <v>-1777539000</v>
          </cell>
          <cell r="EE94">
            <v>-2704565000</v>
          </cell>
          <cell r="EF94">
            <v>-153896000</v>
          </cell>
          <cell r="EG94">
            <v>249682000</v>
          </cell>
          <cell r="EH94">
            <v>5.1104840634326999E-2</v>
          </cell>
          <cell r="EI94">
            <v>5.3857204486626398E-2</v>
          </cell>
          <cell r="EJ94">
            <v>-151917000</v>
          </cell>
          <cell r="EK94">
            <v>724635000</v>
          </cell>
          <cell r="EL94">
            <v>292315500</v>
          </cell>
          <cell r="EN94">
            <v>4563382333.3333302</v>
          </cell>
          <cell r="EO94">
            <v>-1501815000</v>
          </cell>
          <cell r="EP94">
            <v>-2646402333.3333302</v>
          </cell>
          <cell r="EQ94">
            <v>-124646333.333333</v>
          </cell>
          <cell r="ER94">
            <v>290518666.66666597</v>
          </cell>
          <cell r="ES94">
            <v>6.3663012530106394E-2</v>
          </cell>
          <cell r="ET94">
            <v>6.7991560070837606E-2</v>
          </cell>
        </row>
        <row r="95">
          <cell r="B95" t="str">
            <v>DR.WU SKINCARE CO., LTD.</v>
          </cell>
          <cell r="C95" t="str">
            <v>exclude</v>
          </cell>
          <cell r="D95" t="str">
            <v>Independence(A+, A, A-, U)</v>
          </cell>
          <cell r="H95" t="str">
            <v/>
          </cell>
          <cell r="J95" t="str">
            <v>exclude</v>
          </cell>
          <cell r="K95" t="str">
            <v>Independence(A+, A, A-, U)</v>
          </cell>
          <cell r="M95" t="str">
            <v>DR.WU SKINCARE CO., LTD.</v>
          </cell>
          <cell r="N95" t="str">
            <v>The company is engaged in developing skincare products. It was incorporated in the year 2003. Its registered head office is strategically located in the city of Taipei, Taiwan.The company offers cleansers, masks, serums, moisturizers, toners, supplements, and sunscreen and eye care products, as well as makeup, treatment, and body products. Its businesses include corporate management consulting, hospital management consulting, beauty salon, slimming beauty, nutrition consulting, electronic information providing, wholesale of cosmetics, intellectual property rights, international trading, among others.</v>
          </cell>
          <cell r="O95" t="str">
            <v>Manufacturing</v>
          </cell>
          <cell r="P95" t="str">
            <v>www.drwu.com</v>
          </cell>
          <cell r="R95" t="str">
            <v>Taiwan, China</v>
          </cell>
          <cell r="S95" t="str">
            <v>6523</v>
          </cell>
          <cell r="T95" t="str">
            <v>B+</v>
          </cell>
          <cell r="U95" t="str">
            <v>2844</v>
          </cell>
          <cell r="V95" t="str">
            <v>Engaged in developing skincare products</v>
          </cell>
          <cell r="W95" t="str">
            <v>The Company is engaged in the provision of cosmetics related products. Its businesses include corporate management consulting, hospital management consulting, beauty salon, slimming beauty, nutrition consulting, electronic information providing, wholesale of cosmetics, intellectual property rights, international trading, among others.</v>
          </cell>
          <cell r="Z95" t="str">
            <v>TW80167706</v>
          </cell>
          <cell r="AA95">
            <v>927832000</v>
          </cell>
          <cell r="AB95">
            <v>1106448000</v>
          </cell>
          <cell r="AC95">
            <v>764804000</v>
          </cell>
          <cell r="AD95">
            <v>1014902000</v>
          </cell>
          <cell r="AE95">
            <v>926791000</v>
          </cell>
          <cell r="AF95">
            <v>1106011000</v>
          </cell>
          <cell r="AG95">
            <v>764630000</v>
          </cell>
          <cell r="AH95">
            <v>1014212000</v>
          </cell>
          <cell r="AI95" t="str">
            <v>n.a.</v>
          </cell>
          <cell r="AJ95" t="str">
            <v>n.a.</v>
          </cell>
          <cell r="AK95" t="str">
            <v>n.a.</v>
          </cell>
          <cell r="AL95" t="str">
            <v>n.a.</v>
          </cell>
          <cell r="AM95">
            <v>926791000</v>
          </cell>
          <cell r="AN95">
            <v>1106011000</v>
          </cell>
          <cell r="AO95">
            <v>764630000</v>
          </cell>
          <cell r="AP95">
            <v>1014212000</v>
          </cell>
          <cell r="AQ95">
            <v>1041000</v>
          </cell>
          <cell r="AR95">
            <v>437000</v>
          </cell>
          <cell r="AS95">
            <v>174000</v>
          </cell>
          <cell r="AT95">
            <v>690000</v>
          </cell>
          <cell r="AU95">
            <v>-259011000</v>
          </cell>
          <cell r="AV95">
            <v>-399490000</v>
          </cell>
          <cell r="AW95">
            <v>-235612000</v>
          </cell>
          <cell r="AX95">
            <v>-286790000</v>
          </cell>
          <cell r="AY95">
            <v>-7240000</v>
          </cell>
          <cell r="AZ95">
            <v>-10021000</v>
          </cell>
          <cell r="BA95">
            <v>-11352000</v>
          </cell>
          <cell r="BB95">
            <v>-12154000</v>
          </cell>
          <cell r="BC95">
            <v>-278217000</v>
          </cell>
          <cell r="BD95">
            <v>-307893000</v>
          </cell>
          <cell r="BE95">
            <v>-266416000</v>
          </cell>
          <cell r="BF95">
            <v>-447901000</v>
          </cell>
          <cell r="BG95">
            <v>383364000</v>
          </cell>
          <cell r="BH95">
            <v>389044000</v>
          </cell>
          <cell r="BI95">
            <v>251424000</v>
          </cell>
          <cell r="BJ95">
            <v>268057000</v>
          </cell>
          <cell r="BK95">
            <v>-9765000</v>
          </cell>
          <cell r="BL95">
            <v>-12161000</v>
          </cell>
          <cell r="BM95">
            <v>-14000000</v>
          </cell>
          <cell r="BN95">
            <v>-23542000</v>
          </cell>
          <cell r="BO95">
            <v>-9563000</v>
          </cell>
          <cell r="BP95">
            <v>-10357000</v>
          </cell>
          <cell r="BQ95">
            <v>-12038000</v>
          </cell>
          <cell r="BR95">
            <v>-21364000</v>
          </cell>
          <cell r="BS95">
            <v>-202000</v>
          </cell>
          <cell r="BT95">
            <v>-1804000</v>
          </cell>
          <cell r="BU95">
            <v>-1962000</v>
          </cell>
          <cell r="BV95">
            <v>-2178000</v>
          </cell>
          <cell r="BW95">
            <v>339981000</v>
          </cell>
          <cell r="BX95">
            <v>296242000</v>
          </cell>
          <cell r="BY95">
            <v>661110000</v>
          </cell>
          <cell r="BZ95">
            <v>191797000</v>
          </cell>
          <cell r="CA95">
            <v>1619570000</v>
          </cell>
          <cell r="CB95">
            <v>1690867000</v>
          </cell>
          <cell r="CC95">
            <v>2124985000</v>
          </cell>
          <cell r="CD95">
            <v>1930155000</v>
          </cell>
          <cell r="CE95">
            <v>115202000</v>
          </cell>
          <cell r="CF95">
            <v>115180000</v>
          </cell>
          <cell r="CG95">
            <v>103015000</v>
          </cell>
          <cell r="CH95">
            <v>102231000</v>
          </cell>
          <cell r="CI95">
            <v>125448000</v>
          </cell>
          <cell r="CJ95">
            <v>143641000</v>
          </cell>
          <cell r="CK95">
            <v>97168000</v>
          </cell>
          <cell r="CL95">
            <v>123440000</v>
          </cell>
          <cell r="CM95">
            <v>8956000</v>
          </cell>
          <cell r="CN95">
            <v>9598000</v>
          </cell>
          <cell r="CO95">
            <v>312099000</v>
          </cell>
          <cell r="CP95">
            <v>1046627000</v>
          </cell>
          <cell r="CQ95">
            <v>1366120000</v>
          </cell>
          <cell r="CR95">
            <v>1414606000</v>
          </cell>
          <cell r="CS95">
            <v>1604267000</v>
          </cell>
          <cell r="CT95">
            <v>650346000</v>
          </cell>
          <cell r="CU95">
            <v>714570000</v>
          </cell>
          <cell r="CV95">
            <v>385953000</v>
          </cell>
          <cell r="CW95">
            <v>891912000</v>
          </cell>
          <cell r="CX95">
            <v>23315000</v>
          </cell>
          <cell r="CY95" t="str">
            <v>n.a.</v>
          </cell>
          <cell r="CZ95">
            <v>117000</v>
          </cell>
          <cell r="DA95">
            <v>1000000</v>
          </cell>
          <cell r="DB95">
            <v>1272000</v>
          </cell>
          <cell r="DC95">
            <v>1783235000</v>
          </cell>
          <cell r="DD95">
            <v>1831044000</v>
          </cell>
          <cell r="DE95">
            <v>2264946000</v>
          </cell>
          <cell r="DF95">
            <v>2052534000</v>
          </cell>
          <cell r="DG95">
            <v>926791000</v>
          </cell>
          <cell r="DH95">
            <v>-259011000</v>
          </cell>
          <cell r="DI95">
            <v>-285457000</v>
          </cell>
          <cell r="DJ95">
            <v>-9765000</v>
          </cell>
          <cell r="DK95">
            <v>372558000</v>
          </cell>
          <cell r="DL95">
            <v>0.40198707151882102</v>
          </cell>
          <cell r="DM95">
            <v>0.67220465039071997</v>
          </cell>
          <cell r="DN95">
            <v>-7240000</v>
          </cell>
          <cell r="DO95">
            <v>115191000</v>
          </cell>
          <cell r="DP95" t="e">
            <v>#VALUE!</v>
          </cell>
          <cell r="DR95">
            <v>1106011000</v>
          </cell>
          <cell r="DS95">
            <v>-399490000</v>
          </cell>
          <cell r="DT95">
            <v>-317914000</v>
          </cell>
          <cell r="DU95">
            <v>-12161000</v>
          </cell>
          <cell r="DV95">
            <v>376446000</v>
          </cell>
          <cell r="DW95">
            <v>0.340363703435138</v>
          </cell>
          <cell r="DX95">
            <v>0.51598692371481603</v>
          </cell>
          <cell r="DY95">
            <v>-10021000</v>
          </cell>
          <cell r="DZ95">
            <v>109097500</v>
          </cell>
          <cell r="EA95">
            <v>558500</v>
          </cell>
          <cell r="EC95">
            <v>764630000</v>
          </cell>
          <cell r="ED95">
            <v>-235612000</v>
          </cell>
          <cell r="EE95">
            <v>-277768000</v>
          </cell>
          <cell r="EF95">
            <v>-14000000</v>
          </cell>
          <cell r="EG95">
            <v>237250000</v>
          </cell>
          <cell r="EH95">
            <v>0.31028078940141002</v>
          </cell>
          <cell r="EI95">
            <v>0.44986537221737599</v>
          </cell>
          <cell r="EJ95">
            <v>-11352000</v>
          </cell>
          <cell r="EK95">
            <v>102623000</v>
          </cell>
          <cell r="EL95">
            <v>1136000</v>
          </cell>
          <cell r="EN95">
            <v>932477333.33333302</v>
          </cell>
          <cell r="EO95">
            <v>-298037666.66666698</v>
          </cell>
          <cell r="EP95">
            <v>-293713000</v>
          </cell>
          <cell r="EQ95">
            <v>-11975333.3333333</v>
          </cell>
          <cell r="ER95">
            <v>328751333.33333302</v>
          </cell>
          <cell r="ES95">
            <v>0.35255691648626297</v>
          </cell>
          <cell r="ET95">
            <v>0.54453731218025003</v>
          </cell>
        </row>
        <row r="96">
          <cell r="B96" t="str">
            <v>SEWHA P&amp;C INC.</v>
          </cell>
          <cell r="C96" t="str">
            <v>exclude</v>
          </cell>
          <cell r="D96" t="str">
            <v>Lev SDA/SDP</v>
          </cell>
          <cell r="H96" t="str">
            <v/>
          </cell>
          <cell r="J96" t="str">
            <v>exclude</v>
          </cell>
          <cell r="K96" t="str">
            <v>lev SDA/SDP</v>
          </cell>
          <cell r="M96" t="str">
            <v>SEWHA P&amp;C INC.</v>
          </cell>
          <cell r="N96" t="str">
            <v>This company, with registered head office located in Seoul, Republic of Korea, is engaged in acquiring and merging other companies of growth-oriented industries. It focuses its merger targets in software and relevant service, mobile industries, displayer industries, game industries, new energy, electronic and telecommunication industries, and bio and medical industries. The company was incorporated in 2016.</v>
          </cell>
          <cell r="O96" t="str">
            <v>Services</v>
          </cell>
          <cell r="P96" t="str">
            <v>www.sewha.co.kr</v>
          </cell>
          <cell r="R96" t="str">
            <v>Republic of Korea</v>
          </cell>
          <cell r="S96" t="str">
            <v>252500</v>
          </cell>
          <cell r="T96" t="str">
            <v>A-</v>
          </cell>
          <cell r="U96" t="str">
            <v>2844</v>
          </cell>
          <cell r="V96" t="str">
            <v>Engaged in acquiring and merging other companies of growth-oriented industries</v>
          </cell>
          <cell r="W96" t="str">
            <v>- A specialized manufacturer and distributor of hair dye and hair care, with its headquarters and factory in Jincheon, Chungcheongbuk-do, Seoul, and merged with IBKS GMBS in September, 2017 and listed on KOSDAQ.- Major products are hair dye, which has various types of hair dye production technology. Company is also expanding its product line with launch of hair care products, and OEM / ODM business in hair dye and hair cosmetics.- Main brands are Richena, High Speedy, Lahenne, Moremo, etc., and OEM and ODM business is conducted for AMOREPACIFIC, Cosmos, Korean cosmetics.</v>
          </cell>
          <cell r="X96" t="str">
            <v>IBKSGMB SPECIAL PURPOSE ACQUISITION COMPANY</v>
          </cell>
          <cell r="Z96" t="str">
            <v>KR1101116153095</v>
          </cell>
          <cell r="AA96">
            <v>37918740000</v>
          </cell>
          <cell r="AB96">
            <v>39660421000</v>
          </cell>
          <cell r="AC96">
            <v>36598990000</v>
          </cell>
          <cell r="AD96">
            <v>29231952000</v>
          </cell>
          <cell r="AE96">
            <v>37918740000</v>
          </cell>
          <cell r="AF96">
            <v>39660421000</v>
          </cell>
          <cell r="AG96">
            <v>36598990000</v>
          </cell>
          <cell r="AH96">
            <v>29231952000</v>
          </cell>
          <cell r="AI96" t="str">
            <v>n.a.</v>
          </cell>
          <cell r="AJ96" t="str">
            <v>n.a.</v>
          </cell>
          <cell r="AK96" t="str">
            <v>n.a.</v>
          </cell>
          <cell r="AL96" t="str">
            <v>n.a.</v>
          </cell>
          <cell r="AM96">
            <v>37918740000</v>
          </cell>
          <cell r="AN96">
            <v>39660421000</v>
          </cell>
          <cell r="AO96">
            <v>36598990000</v>
          </cell>
          <cell r="AP96">
            <v>29231952000</v>
          </cell>
          <cell r="AQ96" t="str">
            <v>n.a.</v>
          </cell>
          <cell r="AR96" t="str">
            <v>n.a.</v>
          </cell>
          <cell r="AS96" t="str">
            <v>n.a.</v>
          </cell>
          <cell r="AT96" t="str">
            <v>n.a.</v>
          </cell>
          <cell r="AU96">
            <v>-17574070000</v>
          </cell>
          <cell r="AV96">
            <v>-17914526000</v>
          </cell>
          <cell r="AW96">
            <v>-18799482000</v>
          </cell>
          <cell r="AX96">
            <v>-17634633000</v>
          </cell>
          <cell r="AY96">
            <v>-790051000</v>
          </cell>
          <cell r="AZ96">
            <v>-762029000</v>
          </cell>
          <cell r="BA96">
            <v>-114507000</v>
          </cell>
          <cell r="BB96">
            <v>-25855000</v>
          </cell>
          <cell r="BC96">
            <v>-18614072000</v>
          </cell>
          <cell r="BD96">
            <v>-15405017000</v>
          </cell>
          <cell r="BE96">
            <v>-12287547000</v>
          </cell>
          <cell r="BF96">
            <v>-10889935000</v>
          </cell>
          <cell r="BG96">
            <v>940547000</v>
          </cell>
          <cell r="BH96">
            <v>5578849000</v>
          </cell>
          <cell r="BI96">
            <v>5397454000</v>
          </cell>
          <cell r="BJ96">
            <v>681529000</v>
          </cell>
          <cell r="BK96">
            <v>-115527000</v>
          </cell>
          <cell r="BL96">
            <v>-138573000</v>
          </cell>
          <cell r="BM96">
            <v>-180679000</v>
          </cell>
          <cell r="BN96">
            <v>-169444000</v>
          </cell>
          <cell r="BO96">
            <v>-77725000</v>
          </cell>
          <cell r="BP96">
            <v>-90451000</v>
          </cell>
          <cell r="BQ96">
            <v>-118728000</v>
          </cell>
          <cell r="BR96">
            <v>-120113000</v>
          </cell>
          <cell r="BS96">
            <v>-37802000</v>
          </cell>
          <cell r="BT96">
            <v>-48122000</v>
          </cell>
          <cell r="BU96">
            <v>-61951000</v>
          </cell>
          <cell r="BV96">
            <v>-49331000</v>
          </cell>
          <cell r="BW96">
            <v>1320271000</v>
          </cell>
          <cell r="BX96">
            <v>4865851000</v>
          </cell>
          <cell r="BY96">
            <v>4281389000</v>
          </cell>
          <cell r="BZ96">
            <v>595313000</v>
          </cell>
          <cell r="CA96">
            <v>29725976000</v>
          </cell>
          <cell r="CB96">
            <v>29874327000</v>
          </cell>
          <cell r="CC96">
            <v>21459297000</v>
          </cell>
          <cell r="CD96">
            <v>16664934000</v>
          </cell>
          <cell r="CE96">
            <v>5375522000</v>
          </cell>
          <cell r="CF96">
            <v>5389182000</v>
          </cell>
          <cell r="CG96">
            <v>5397813000</v>
          </cell>
          <cell r="CH96">
            <v>5414091000</v>
          </cell>
          <cell r="CI96">
            <v>4358084000</v>
          </cell>
          <cell r="CJ96">
            <v>6109535000</v>
          </cell>
          <cell r="CK96">
            <v>5372993000</v>
          </cell>
          <cell r="CL96">
            <v>6857568000</v>
          </cell>
          <cell r="CM96">
            <v>15000000000</v>
          </cell>
          <cell r="CN96" t="str">
            <v>n.a.</v>
          </cell>
          <cell r="CO96">
            <v>220000000</v>
          </cell>
          <cell r="CP96">
            <v>220000000</v>
          </cell>
          <cell r="CQ96">
            <v>4568245000</v>
          </cell>
          <cell r="CR96">
            <v>18261952000</v>
          </cell>
          <cell r="CS96">
            <v>10139019000</v>
          </cell>
          <cell r="CT96">
            <v>3169217000</v>
          </cell>
          <cell r="CU96">
            <v>2530819000</v>
          </cell>
          <cell r="CV96">
            <v>14484533000</v>
          </cell>
          <cell r="CW96" t="str">
            <v>n.a.</v>
          </cell>
          <cell r="CX96" t="str">
            <v>n.a.</v>
          </cell>
          <cell r="CY96">
            <v>776671000</v>
          </cell>
          <cell r="CZ96">
            <v>894203000</v>
          </cell>
          <cell r="DA96">
            <v>692188000</v>
          </cell>
          <cell r="DB96">
            <v>614493000</v>
          </cell>
          <cell r="DC96">
            <v>40716625000</v>
          </cell>
          <cell r="DD96">
            <v>41090974000</v>
          </cell>
          <cell r="DE96">
            <v>33753675000</v>
          </cell>
          <cell r="DF96">
            <v>29486062000</v>
          </cell>
          <cell r="DG96">
            <v>37918740000</v>
          </cell>
          <cell r="DH96">
            <v>-17574070000</v>
          </cell>
          <cell r="DI96">
            <v>-19404123000</v>
          </cell>
          <cell r="DJ96">
            <v>-115527000</v>
          </cell>
          <cell r="DK96">
            <v>825020000</v>
          </cell>
          <cell r="DL96">
            <v>2.1757579497631001E-2</v>
          </cell>
          <cell r="DM96">
            <v>2.22415007176417E-2</v>
          </cell>
          <cell r="DN96">
            <v>-790051000</v>
          </cell>
          <cell r="DO96">
            <v>5382352000</v>
          </cell>
          <cell r="DP96">
            <v>835437000</v>
          </cell>
          <cell r="DR96">
            <v>39660421000</v>
          </cell>
          <cell r="DS96">
            <v>-17914526000</v>
          </cell>
          <cell r="DT96">
            <v>-16167046000</v>
          </cell>
          <cell r="DU96">
            <v>-138573000</v>
          </cell>
          <cell r="DV96">
            <v>5440276000</v>
          </cell>
          <cell r="DW96">
            <v>0.13717141328378701</v>
          </cell>
          <cell r="DX96">
            <v>0.15897875359674801</v>
          </cell>
          <cell r="DY96">
            <v>-762029000</v>
          </cell>
          <cell r="DZ96">
            <v>5393497500</v>
          </cell>
          <cell r="EA96">
            <v>793195500</v>
          </cell>
          <cell r="EC96">
            <v>36598990000</v>
          </cell>
          <cell r="ED96">
            <v>-18799482000</v>
          </cell>
          <cell r="EE96">
            <v>-12402054000</v>
          </cell>
          <cell r="EF96">
            <v>-180679000</v>
          </cell>
          <cell r="EG96">
            <v>5216775000</v>
          </cell>
          <cell r="EH96">
            <v>0.142538769512492</v>
          </cell>
          <cell r="EI96">
            <v>0.166233486068463</v>
          </cell>
          <cell r="EJ96">
            <v>-114507000</v>
          </cell>
          <cell r="EK96">
            <v>5405952000</v>
          </cell>
          <cell r="EL96">
            <v>653340500</v>
          </cell>
          <cell r="EN96">
            <v>38059383666.666702</v>
          </cell>
          <cell r="EO96">
            <v>-18096026000</v>
          </cell>
          <cell r="EP96">
            <v>-15991074333.3333</v>
          </cell>
          <cell r="EQ96">
            <v>-144926333.33333299</v>
          </cell>
          <cell r="ER96">
            <v>3827357000</v>
          </cell>
          <cell r="ES96">
            <v>0.100562768791027</v>
          </cell>
          <cell r="ET96">
            <v>0.11180632211083399</v>
          </cell>
        </row>
        <row r="97">
          <cell r="B97" t="str">
            <v>COLORAY INTERNATIONAL INVESTMENT CO LIMITED</v>
          </cell>
          <cell r="C97" t="str">
            <v>exclude</v>
          </cell>
          <cell r="D97" t="str">
            <v>Independence(A+, A, A-, U)</v>
          </cell>
          <cell r="H97" t="str">
            <v/>
          </cell>
          <cell r="J97" t="e">
            <v>#N/A</v>
          </cell>
          <cell r="K97" t="e">
            <v>#N/A</v>
          </cell>
          <cell r="M97" t="str">
            <v>COLORAY INTERNATIONAL INVESTMENT CO LIMITED</v>
          </cell>
          <cell r="N97" t="str">
            <v>This firm is a Hong Kong based holding company whose subsidiaries are engaged in the manufacture of nacreous pigments. It was incorporated in 2013. It conducts business from its registered head office located in Hong Kong SAR, China. The company handles the administrative affairs and grants management services to its subsidiaries. It also provides financial support and control function for the board. In addition, the company is involved in matters of policy, strategic planning, marketing, selecting and manning senior management positions, approving investments and budgets, and the overall ongoing monitoring of the group companies' performance. Further, the company is responsible for managing the group and its overall legal structure, tax planning, financial and equity structures.</v>
          </cell>
          <cell r="O97" t="str">
            <v>Services</v>
          </cell>
          <cell r="R97" t="str">
            <v>Hong Kong SAR, China</v>
          </cell>
          <cell r="S97" t="str">
            <v>900310</v>
          </cell>
          <cell r="T97" t="str">
            <v>D</v>
          </cell>
          <cell r="U97" t="str">
            <v>2844</v>
          </cell>
          <cell r="V97" t="str">
            <v>Hong Kong based holding company whose subsidiaries are engaged in the manufacture of nacreous pigments</v>
          </cell>
          <cell r="W97" t="str">
            <v>The Company is an investment holding company principally engaged in the manufacture and distribution of cosmetics grade pearlescent pigments.</v>
          </cell>
          <cell r="Z97" t="str">
            <v>HK42121FK</v>
          </cell>
          <cell r="AA97">
            <v>203296000</v>
          </cell>
          <cell r="AB97">
            <v>318559000</v>
          </cell>
          <cell r="AC97">
            <v>432728000</v>
          </cell>
          <cell r="AD97">
            <v>302996000</v>
          </cell>
          <cell r="AE97">
            <v>202832000</v>
          </cell>
          <cell r="AF97">
            <v>317950000</v>
          </cell>
          <cell r="AG97">
            <v>431516000</v>
          </cell>
          <cell r="AH97">
            <v>301701000</v>
          </cell>
          <cell r="AI97" t="str">
            <v>n.a.</v>
          </cell>
          <cell r="AJ97" t="str">
            <v>n.a.</v>
          </cell>
          <cell r="AK97" t="str">
            <v>n.a.</v>
          </cell>
          <cell r="AL97" t="str">
            <v>n.a.</v>
          </cell>
          <cell r="AM97">
            <v>202832000</v>
          </cell>
          <cell r="AN97">
            <v>317950000</v>
          </cell>
          <cell r="AO97">
            <v>431516000</v>
          </cell>
          <cell r="AP97">
            <v>301701000</v>
          </cell>
          <cell r="AQ97">
            <v>464000</v>
          </cell>
          <cell r="AR97">
            <v>609000</v>
          </cell>
          <cell r="AS97">
            <v>1212000</v>
          </cell>
          <cell r="AT97">
            <v>1295000</v>
          </cell>
          <cell r="AU97">
            <v>-83418000</v>
          </cell>
          <cell r="AV97">
            <v>-94472000</v>
          </cell>
          <cell r="AW97">
            <v>-197026000</v>
          </cell>
          <cell r="AX97">
            <v>-84266000</v>
          </cell>
          <cell r="AY97">
            <v>-11195000</v>
          </cell>
          <cell r="AZ97">
            <v>-9608000</v>
          </cell>
          <cell r="BA97">
            <v>-9311000</v>
          </cell>
          <cell r="BB97">
            <v>-9190000</v>
          </cell>
          <cell r="BC97">
            <v>-23691000</v>
          </cell>
          <cell r="BD97">
            <v>-28297000</v>
          </cell>
          <cell r="BE97">
            <v>-46297000</v>
          </cell>
          <cell r="BF97">
            <v>-33433000</v>
          </cell>
          <cell r="BG97">
            <v>84992000</v>
          </cell>
          <cell r="BH97">
            <v>186182000</v>
          </cell>
          <cell r="BI97">
            <v>180094000</v>
          </cell>
          <cell r="BJ97">
            <v>176107000</v>
          </cell>
          <cell r="BK97">
            <v>-26948000</v>
          </cell>
          <cell r="BL97">
            <v>-20586000</v>
          </cell>
          <cell r="BM97">
            <v>-13582000</v>
          </cell>
          <cell r="BN97">
            <v>-10936000</v>
          </cell>
          <cell r="BO97">
            <v>-26936000</v>
          </cell>
          <cell r="BP97">
            <v>-20586000</v>
          </cell>
          <cell r="BQ97">
            <v>-13294000</v>
          </cell>
          <cell r="BR97">
            <v>-10648000</v>
          </cell>
          <cell r="BS97">
            <v>-12000</v>
          </cell>
          <cell r="BT97">
            <v>0</v>
          </cell>
          <cell r="BU97">
            <v>-288000</v>
          </cell>
          <cell r="BV97">
            <v>-288000</v>
          </cell>
          <cell r="BW97">
            <v>60546000</v>
          </cell>
          <cell r="BX97">
            <v>136754000</v>
          </cell>
          <cell r="BY97">
            <v>129069000</v>
          </cell>
          <cell r="BZ97">
            <v>143555000</v>
          </cell>
          <cell r="CA97">
            <v>1019558000</v>
          </cell>
          <cell r="CB97">
            <v>999713000</v>
          </cell>
          <cell r="CC97">
            <v>834853000</v>
          </cell>
          <cell r="CD97">
            <v>685584000</v>
          </cell>
          <cell r="CE97">
            <v>49027000</v>
          </cell>
          <cell r="CF97">
            <v>47780000</v>
          </cell>
          <cell r="CG97">
            <v>39007000</v>
          </cell>
          <cell r="CH97">
            <v>49043000</v>
          </cell>
          <cell r="CI97">
            <v>69406000</v>
          </cell>
          <cell r="CJ97">
            <v>88929000</v>
          </cell>
          <cell r="CK97">
            <v>119785000</v>
          </cell>
          <cell r="CL97">
            <v>65062000</v>
          </cell>
          <cell r="CM97">
            <v>294000</v>
          </cell>
          <cell r="CN97">
            <v>575000</v>
          </cell>
          <cell r="CO97">
            <v>2349000</v>
          </cell>
          <cell r="CP97">
            <v>1455000</v>
          </cell>
          <cell r="CQ97">
            <v>899938000</v>
          </cell>
          <cell r="CR97">
            <v>860723000</v>
          </cell>
          <cell r="CS97">
            <v>672504000</v>
          </cell>
          <cell r="CT97">
            <v>567598000</v>
          </cell>
          <cell r="CU97">
            <v>3598000</v>
          </cell>
          <cell r="CV97">
            <v>123387000</v>
          </cell>
          <cell r="CW97">
            <v>80933000</v>
          </cell>
          <cell r="CX97">
            <v>62786000</v>
          </cell>
          <cell r="CY97">
            <v>954000</v>
          </cell>
          <cell r="CZ97">
            <v>2427000</v>
          </cell>
          <cell r="DA97">
            <v>37433000</v>
          </cell>
          <cell r="DB97">
            <v>166988000</v>
          </cell>
          <cell r="DC97">
            <v>1412863000</v>
          </cell>
          <cell r="DD97">
            <v>1344818000</v>
          </cell>
          <cell r="DE97">
            <v>1183385000</v>
          </cell>
          <cell r="DF97">
            <v>1010894000</v>
          </cell>
          <cell r="DG97">
            <v>202832000</v>
          </cell>
          <cell r="DH97">
            <v>-83418000</v>
          </cell>
          <cell r="DI97">
            <v>-34886000</v>
          </cell>
          <cell r="DJ97">
            <v>-26948000</v>
          </cell>
          <cell r="DK97">
            <v>57580000</v>
          </cell>
          <cell r="DL97">
            <v>0.28388025558097302</v>
          </cell>
          <cell r="DM97">
            <v>0.39641450720127802</v>
          </cell>
          <cell r="DN97">
            <v>-11195000</v>
          </cell>
          <cell r="DO97">
            <v>48403500</v>
          </cell>
          <cell r="DP97">
            <v>1690500</v>
          </cell>
          <cell r="DR97">
            <v>317950000</v>
          </cell>
          <cell r="DS97">
            <v>-94472000</v>
          </cell>
          <cell r="DT97">
            <v>-37905000</v>
          </cell>
          <cell r="DU97">
            <v>-20586000</v>
          </cell>
          <cell r="DV97">
            <v>164987000</v>
          </cell>
          <cell r="DW97">
            <v>0.51890863343293003</v>
          </cell>
          <cell r="DX97">
            <v>1.0786072448892901</v>
          </cell>
          <cell r="DY97">
            <v>-9608000</v>
          </cell>
          <cell r="DZ97">
            <v>43393500</v>
          </cell>
          <cell r="EA97">
            <v>19930000</v>
          </cell>
          <cell r="EC97">
            <v>431516000</v>
          </cell>
          <cell r="ED97">
            <v>-197026000</v>
          </cell>
          <cell r="EE97">
            <v>-55608000</v>
          </cell>
          <cell r="EF97">
            <v>-13582000</v>
          </cell>
          <cell r="EG97">
            <v>165300000</v>
          </cell>
          <cell r="EH97">
            <v>0.383068067000992</v>
          </cell>
          <cell r="EI97">
            <v>0.62092436217207103</v>
          </cell>
          <cell r="EJ97">
            <v>-9311000</v>
          </cell>
          <cell r="EK97">
            <v>44025000</v>
          </cell>
          <cell r="EL97">
            <v>102210500</v>
          </cell>
          <cell r="EN97">
            <v>317432666.66666698</v>
          </cell>
          <cell r="EO97">
            <v>-124972000</v>
          </cell>
          <cell r="EP97">
            <v>-42799666.666666701</v>
          </cell>
          <cell r="EQ97">
            <v>-20372000</v>
          </cell>
          <cell r="ER97">
            <v>129289000</v>
          </cell>
          <cell r="ES97">
            <v>0.40729582546639798</v>
          </cell>
          <cell r="ET97">
            <v>0.68718231280705699</v>
          </cell>
        </row>
        <row r="98">
          <cell r="B98" t="str">
            <v>IVY COSMETICS CORPORATION</v>
          </cell>
          <cell r="C98" t="str">
            <v>exclude</v>
          </cell>
          <cell r="D98" t="str">
            <v>Insufficient financial data</v>
          </cell>
          <cell r="H98" t="str">
            <v/>
          </cell>
          <cell r="J98" t="str">
            <v>exclude</v>
          </cell>
          <cell r="K98" t="str">
            <v>Independence(A+, A, A-, U)</v>
          </cell>
          <cell r="M98" t="str">
            <v>IVY COSMETICS CORPORATION</v>
          </cell>
          <cell r="N98" t="str">
            <v>This company is engaged in the production of comprehensive cosmetics, hair care and skin care products. It was founded in December 1975 and conducts business from its registered business address located in Tokyo, Japan. The company's operations are carried out through the following business divisions: Door-to-Door Cosmetics Marketing and Direct Cosmetics Marketing. Its Door-to-Door Cosmetics Marketing division has active interests in developing, manufacturing and selling cosmetic products, non-pharmaceutical products, beauty supplements and other cosmetics products. This division also provides products for skin care, makeup, hair care, men's cosmetic products, beauty supplements and beauty-related products. Its products are marketed under the brand names, namely Ateur, Basic EX, BLANCREER, IVYMAKE, RHABIESTHE, ITN and New Clean QII. Its Cosmetics Marketing division has active interests in the development and direct sale of cosmetic, non-pharmaceutical and other products.</v>
          </cell>
          <cell r="O98" t="str">
            <v>Manufacturing</v>
          </cell>
          <cell r="P98" t="str">
            <v>www.ivy.co.jp</v>
          </cell>
          <cell r="R98" t="str">
            <v>Japan</v>
          </cell>
          <cell r="S98" t="str">
            <v>4918</v>
          </cell>
          <cell r="T98" t="str">
            <v>A+</v>
          </cell>
          <cell r="U98" t="str">
            <v>2844</v>
          </cell>
          <cell r="V98" t="str">
            <v>Engaged in the production of comprehensive cosmetics, hair care and skin care products</v>
          </cell>
          <cell r="W98" t="str">
            <v>Cosmetics maker with skin-care products as mainline.</v>
          </cell>
          <cell r="Z98" t="str">
            <v>JP3010401000784</v>
          </cell>
          <cell r="AA98" t="str">
            <v>n.a.</v>
          </cell>
          <cell r="AB98" t="str">
            <v>n.a.</v>
          </cell>
          <cell r="AC98" t="str">
            <v>n.a.</v>
          </cell>
          <cell r="AD98" t="str">
            <v>n.a.</v>
          </cell>
          <cell r="AE98" t="str">
            <v>n.a.</v>
          </cell>
          <cell r="AF98" t="str">
            <v>n.a.</v>
          </cell>
          <cell r="AG98" t="str">
            <v>n.a.</v>
          </cell>
          <cell r="AH98" t="str">
            <v>n.a.</v>
          </cell>
          <cell r="AI98" t="str">
            <v>n.a.</v>
          </cell>
          <cell r="AJ98" t="str">
            <v>n.a.</v>
          </cell>
          <cell r="AK98" t="str">
            <v>n.a.</v>
          </cell>
          <cell r="AL98" t="str">
            <v>n.a.</v>
          </cell>
          <cell r="AM98" t="str">
            <v>n.a.</v>
          </cell>
          <cell r="AN98" t="str">
            <v>n.a.</v>
          </cell>
          <cell r="AO98" t="str">
            <v>n.a.</v>
          </cell>
          <cell r="AP98" t="str">
            <v>n.a.</v>
          </cell>
          <cell r="AQ98" t="str">
            <v>n.a.</v>
          </cell>
          <cell r="AR98" t="str">
            <v>n.a.</v>
          </cell>
          <cell r="AS98" t="str">
            <v>n.a.</v>
          </cell>
          <cell r="AT98" t="str">
            <v>n.a.</v>
          </cell>
          <cell r="AU98" t="str">
            <v>n.a.</v>
          </cell>
          <cell r="AV98" t="str">
            <v>n.a.</v>
          </cell>
          <cell r="AW98" t="str">
            <v>n.a.</v>
          </cell>
          <cell r="AX98" t="str">
            <v>n.a.</v>
          </cell>
          <cell r="AY98" t="str">
            <v>n.a.</v>
          </cell>
          <cell r="AZ98" t="str">
            <v>n.a.</v>
          </cell>
          <cell r="BA98" t="str">
            <v>n.a.</v>
          </cell>
          <cell r="BB98" t="str">
            <v>n.a.</v>
          </cell>
          <cell r="BC98" t="str">
            <v>n.a.</v>
          </cell>
          <cell r="BD98" t="str">
            <v>n.a.</v>
          </cell>
          <cell r="BE98" t="str">
            <v>n.a.</v>
          </cell>
          <cell r="BF98" t="str">
            <v>n.a.</v>
          </cell>
          <cell r="BG98" t="str">
            <v>n.a.</v>
          </cell>
          <cell r="BH98" t="str">
            <v>n.a.</v>
          </cell>
          <cell r="BI98" t="str">
            <v>n.a.</v>
          </cell>
          <cell r="BJ98" t="str">
            <v>n.a.</v>
          </cell>
          <cell r="BK98" t="str">
            <v>n.a.</v>
          </cell>
          <cell r="BL98" t="str">
            <v>n.a.</v>
          </cell>
          <cell r="BM98" t="str">
            <v>n.a.</v>
          </cell>
          <cell r="BN98" t="str">
            <v>n.a.</v>
          </cell>
          <cell r="BO98" t="str">
            <v>n.a.</v>
          </cell>
          <cell r="BP98" t="str">
            <v>n.a.</v>
          </cell>
          <cell r="BQ98" t="str">
            <v>n.a.</v>
          </cell>
          <cell r="BR98" t="str">
            <v>n.a.</v>
          </cell>
          <cell r="BS98" t="str">
            <v>n.a.</v>
          </cell>
          <cell r="BT98" t="str">
            <v>n.a.</v>
          </cell>
          <cell r="BU98" t="str">
            <v>n.a.</v>
          </cell>
          <cell r="BV98" t="str">
            <v>n.a.</v>
          </cell>
          <cell r="BW98" t="str">
            <v>n.a.</v>
          </cell>
          <cell r="BX98" t="str">
            <v>n.a.</v>
          </cell>
          <cell r="BY98" t="str">
            <v>n.a.</v>
          </cell>
          <cell r="BZ98" t="str">
            <v>n.a.</v>
          </cell>
          <cell r="CA98" t="str">
            <v>n.a.</v>
          </cell>
          <cell r="CB98" t="str">
            <v>n.a.</v>
          </cell>
          <cell r="CC98" t="str">
            <v>n.a.</v>
          </cell>
          <cell r="CD98" t="str">
            <v>n.a.</v>
          </cell>
          <cell r="CE98" t="str">
            <v>n.a.</v>
          </cell>
          <cell r="CF98" t="str">
            <v>n.a.</v>
          </cell>
          <cell r="CG98" t="str">
            <v>n.a.</v>
          </cell>
          <cell r="CH98" t="str">
            <v>n.a.</v>
          </cell>
          <cell r="CI98" t="str">
            <v>n.a.</v>
          </cell>
          <cell r="CJ98" t="str">
            <v>n.a.</v>
          </cell>
          <cell r="CK98" t="str">
            <v>n.a.</v>
          </cell>
          <cell r="CL98" t="str">
            <v>n.a.</v>
          </cell>
          <cell r="CM98" t="str">
            <v>n.a.</v>
          </cell>
          <cell r="CN98" t="str">
            <v>n.a.</v>
          </cell>
          <cell r="CO98" t="str">
            <v>n.a.</v>
          </cell>
          <cell r="CP98" t="str">
            <v>n.a.</v>
          </cell>
          <cell r="CQ98" t="str">
            <v>n.a.</v>
          </cell>
          <cell r="CR98" t="str">
            <v>n.a.</v>
          </cell>
          <cell r="CS98" t="str">
            <v>n.a.</v>
          </cell>
          <cell r="CT98" t="str">
            <v>n.a.</v>
          </cell>
          <cell r="CU98" t="str">
            <v>n.a.</v>
          </cell>
          <cell r="CV98" t="str">
            <v>n.a.</v>
          </cell>
          <cell r="CW98" t="str">
            <v>n.a.</v>
          </cell>
          <cell r="CX98" t="str">
            <v>n.a.</v>
          </cell>
          <cell r="CY98" t="str">
            <v>n.a.</v>
          </cell>
          <cell r="CZ98" t="str">
            <v>n.a.</v>
          </cell>
          <cell r="DA98" t="str">
            <v>n.a.</v>
          </cell>
          <cell r="DB98" t="str">
            <v>n.a.</v>
          </cell>
          <cell r="DC98" t="str">
            <v>n.a.</v>
          </cell>
          <cell r="DD98" t="str">
            <v>n.a.</v>
          </cell>
          <cell r="DE98" t="str">
            <v>n.a.</v>
          </cell>
          <cell r="DF98" t="str">
            <v>n.a.</v>
          </cell>
          <cell r="DG98" t="str">
            <v>无数据</v>
          </cell>
          <cell r="DH98" t="str">
            <v>n.a.</v>
          </cell>
          <cell r="DI98" t="str">
            <v>n.a.</v>
          </cell>
          <cell r="DJ98" t="str">
            <v>n.a.</v>
          </cell>
          <cell r="DK98" t="str">
            <v>无数据</v>
          </cell>
          <cell r="DL98" t="e">
            <v>#VALUE!</v>
          </cell>
          <cell r="DM98" t="e">
            <v>#VALUE!</v>
          </cell>
          <cell r="DN98" t="str">
            <v>n.a.</v>
          </cell>
          <cell r="DO98" t="e">
            <v>#VALUE!</v>
          </cell>
          <cell r="DP98" t="e">
            <v>#VALUE!</v>
          </cell>
          <cell r="DR98" t="str">
            <v>无数据</v>
          </cell>
          <cell r="DS98" t="str">
            <v>n.a.</v>
          </cell>
          <cell r="DT98" t="str">
            <v>n.a.</v>
          </cell>
          <cell r="DU98" t="str">
            <v>n.a.</v>
          </cell>
          <cell r="DV98" t="str">
            <v>无数据</v>
          </cell>
          <cell r="DW98" t="e">
            <v>#VALUE!</v>
          </cell>
          <cell r="DX98" t="e">
            <v>#VALUE!</v>
          </cell>
          <cell r="DY98" t="str">
            <v>n.a.</v>
          </cell>
          <cell r="DZ98" t="e">
            <v>#VALUE!</v>
          </cell>
          <cell r="EA98" t="e">
            <v>#VALUE!</v>
          </cell>
          <cell r="EC98" t="str">
            <v>无数据</v>
          </cell>
          <cell r="ED98" t="str">
            <v>n.a.</v>
          </cell>
          <cell r="EE98" t="str">
            <v>n.a.</v>
          </cell>
          <cell r="EF98" t="str">
            <v>n.a.</v>
          </cell>
          <cell r="EG98" t="str">
            <v>无数据</v>
          </cell>
          <cell r="EH98" t="e">
            <v>#VALUE!</v>
          </cell>
          <cell r="EI98" t="e">
            <v>#VALUE!</v>
          </cell>
          <cell r="EJ98" t="str">
            <v>n.a.</v>
          </cell>
          <cell r="EK98" t="e">
            <v>#VALUE!</v>
          </cell>
          <cell r="EL98" t="e">
            <v>#VALUE!</v>
          </cell>
          <cell r="EN98" t="e">
            <v>#VALUE!</v>
          </cell>
          <cell r="EO98" t="e">
            <v>#VALUE!</v>
          </cell>
          <cell r="EP98" t="e">
            <v>#VALUE!</v>
          </cell>
          <cell r="EQ98" t="e">
            <v>#VALUE!</v>
          </cell>
          <cell r="ER98" t="e">
            <v>#VALUE!</v>
          </cell>
          <cell r="ES98" t="e">
            <v>#VALUE!</v>
          </cell>
          <cell r="ET98" t="e">
            <v>#VALUE!</v>
          </cell>
        </row>
        <row r="99">
          <cell r="B99" t="str">
            <v>OUTIN FUTURES CO.,LTD.</v>
          </cell>
          <cell r="C99" t="str">
            <v>exclude</v>
          </cell>
          <cell r="D99" t="str">
            <v>Consecutive loss</v>
          </cell>
          <cell r="H99" t="str">
            <v/>
          </cell>
          <cell r="J99" t="str">
            <v>exclude</v>
          </cell>
          <cell r="K99" t="str">
            <v>Independence(A+, A, A-, U)</v>
          </cell>
          <cell r="M99" t="str">
            <v>OUTIN FUTURES CO.,LTD.</v>
          </cell>
          <cell r="N99" t="str">
            <v>This company operates as a design and cosmetic development company worldwide. It was founded in 2000 and has its registered office in Seoul, Republic of Korea.The companyy provides package design solutions, product development, and research and development services to the beauty and health industry. The company offers professional ODM services for sheet masks, hydrogel masks and patches, skin care and sun care products, and face make up. It also provides emotional, beauty, and health branding services ranging from concept development to delivering final products.</v>
          </cell>
          <cell r="O99" t="str">
            <v>Manufacturing; Services</v>
          </cell>
          <cell r="P99" t="str">
            <v>www.outinco.com</v>
          </cell>
          <cell r="R99" t="str">
            <v>Republic of Korea</v>
          </cell>
          <cell r="S99" t="str">
            <v>227610</v>
          </cell>
          <cell r="T99" t="str">
            <v>A-</v>
          </cell>
          <cell r="U99" t="str">
            <v>2844</v>
          </cell>
          <cell r="V99" t="str">
            <v>Operates as a design and cosmetic development company worldwide</v>
          </cell>
          <cell r="W99" t="str">
            <v>- Established in December 2000 with the main business purpose of cosmetics research and development, sales business and industrial design business, it is engaged in cosmetics business of cosmetics ODM and neogen.- It has secured it''s own production facility infrastructure through the CGMP certified Chungju plant. It is also launching domestic home shopping, H &amp; B store, and US Cellular, and establishing and expanding global distribution channels.- It has been selected as an official design partner of domestic cosmetics companies such as AMOREPACIFIC and has secured a design competence with a history of winning the World Design Awards including the Red Dot Awards.</v>
          </cell>
          <cell r="Z99" t="str">
            <v>KR1101112131821</v>
          </cell>
          <cell r="AA99">
            <v>35044593000</v>
          </cell>
          <cell r="AB99">
            <v>43911332000</v>
          </cell>
          <cell r="AC99">
            <v>40415612000</v>
          </cell>
          <cell r="AD99">
            <v>54122517000</v>
          </cell>
          <cell r="AE99">
            <v>35044593000</v>
          </cell>
          <cell r="AF99">
            <v>43911332000</v>
          </cell>
          <cell r="AG99">
            <v>40415612000</v>
          </cell>
          <cell r="AH99">
            <v>54122517000</v>
          </cell>
          <cell r="AI99" t="str">
            <v>n.a.</v>
          </cell>
          <cell r="AJ99" t="str">
            <v>n.a.</v>
          </cell>
          <cell r="AK99" t="str">
            <v>n.a.</v>
          </cell>
          <cell r="AL99" t="str">
            <v>n.a.</v>
          </cell>
          <cell r="AM99">
            <v>35044593000</v>
          </cell>
          <cell r="AN99">
            <v>43911332000</v>
          </cell>
          <cell r="AO99">
            <v>40415612000</v>
          </cell>
          <cell r="AP99">
            <v>54122517000</v>
          </cell>
          <cell r="AQ99" t="str">
            <v>n.a.</v>
          </cell>
          <cell r="AR99" t="str">
            <v>n.a.</v>
          </cell>
          <cell r="AS99" t="str">
            <v>n.a.</v>
          </cell>
          <cell r="AT99" t="str">
            <v>n.a.</v>
          </cell>
          <cell r="AU99">
            <v>-25406841000</v>
          </cell>
          <cell r="AV99">
            <v>-28903505000</v>
          </cell>
          <cell r="AW99">
            <v>-25076125000</v>
          </cell>
          <cell r="AX99">
            <v>-34817845000</v>
          </cell>
          <cell r="AY99" t="str">
            <v>n.a.</v>
          </cell>
          <cell r="AZ99" t="str">
            <v>n.a.</v>
          </cell>
          <cell r="BA99" t="str">
            <v>n.a.</v>
          </cell>
          <cell r="BB99" t="str">
            <v>n.a.</v>
          </cell>
          <cell r="BC99">
            <v>-18393796000</v>
          </cell>
          <cell r="BD99">
            <v>-21697511000</v>
          </cell>
          <cell r="BE99">
            <v>-19994995000</v>
          </cell>
          <cell r="BF99">
            <v>-38809421000</v>
          </cell>
          <cell r="BG99">
            <v>-8756044000</v>
          </cell>
          <cell r="BH99">
            <v>-6689684000</v>
          </cell>
          <cell r="BI99">
            <v>-4655508000</v>
          </cell>
          <cell r="BJ99">
            <v>-19504749000</v>
          </cell>
          <cell r="BK99">
            <v>-936767000</v>
          </cell>
          <cell r="BL99">
            <v>-1031773000</v>
          </cell>
          <cell r="BM99">
            <v>-1227644000</v>
          </cell>
          <cell r="BN99">
            <v>-1158956000</v>
          </cell>
          <cell r="BO99">
            <v>-743667000</v>
          </cell>
          <cell r="BP99">
            <v>-796376000</v>
          </cell>
          <cell r="BQ99">
            <v>-1004746000</v>
          </cell>
          <cell r="BR99">
            <v>-960715000</v>
          </cell>
          <cell r="BS99">
            <v>-193100000</v>
          </cell>
          <cell r="BT99">
            <v>-235397000</v>
          </cell>
          <cell r="BU99">
            <v>-222898000</v>
          </cell>
          <cell r="BV99">
            <v>-198241000</v>
          </cell>
          <cell r="BW99">
            <v>-17165776000</v>
          </cell>
          <cell r="BX99">
            <v>-8319579000</v>
          </cell>
          <cell r="BY99">
            <v>-12860819000</v>
          </cell>
          <cell r="BZ99">
            <v>-18581896000</v>
          </cell>
          <cell r="CA99">
            <v>31199350000</v>
          </cell>
          <cell r="CB99">
            <v>30336883000</v>
          </cell>
          <cell r="CC99">
            <v>31589403000</v>
          </cell>
          <cell r="CD99">
            <v>29508072000</v>
          </cell>
          <cell r="CE99">
            <v>9085753000</v>
          </cell>
          <cell r="CF99">
            <v>11206999000</v>
          </cell>
          <cell r="CG99">
            <v>14688093000</v>
          </cell>
          <cell r="CH99">
            <v>13467996000</v>
          </cell>
          <cell r="CI99">
            <v>3151939000</v>
          </cell>
          <cell r="CJ99">
            <v>3641853000</v>
          </cell>
          <cell r="CK99">
            <v>7165897000</v>
          </cell>
          <cell r="CL99">
            <v>2770151000</v>
          </cell>
          <cell r="CM99">
            <v>16246030000</v>
          </cell>
          <cell r="CN99">
            <v>10991681000</v>
          </cell>
          <cell r="CO99">
            <v>6305040000</v>
          </cell>
          <cell r="CP99">
            <v>5342364000</v>
          </cell>
          <cell r="CQ99">
            <v>1392469000</v>
          </cell>
          <cell r="CR99">
            <v>3751030000</v>
          </cell>
          <cell r="CS99">
            <v>2627971000</v>
          </cell>
          <cell r="CT99">
            <v>6617694000</v>
          </cell>
          <cell r="CU99" t="str">
            <v>n.a.</v>
          </cell>
          <cell r="CV99" t="str">
            <v>n.a.</v>
          </cell>
          <cell r="CW99" t="str">
            <v>n.a.</v>
          </cell>
          <cell r="CX99" t="str">
            <v>n.a.</v>
          </cell>
          <cell r="CY99">
            <v>1345866000</v>
          </cell>
          <cell r="CZ99">
            <v>1406253000</v>
          </cell>
          <cell r="DA99">
            <v>1591604000</v>
          </cell>
          <cell r="DB99">
            <v>4102200000</v>
          </cell>
          <cell r="DC99">
            <v>58434792000</v>
          </cell>
          <cell r="DD99">
            <v>50535705000</v>
          </cell>
          <cell r="DE99">
            <v>53599247000</v>
          </cell>
          <cell r="DF99">
            <v>54307215000</v>
          </cell>
          <cell r="DG99">
            <v>35044593000</v>
          </cell>
          <cell r="DH99">
            <v>-25406841000</v>
          </cell>
          <cell r="DI99">
            <v>-18393796000</v>
          </cell>
          <cell r="DJ99">
            <v>-936767000</v>
          </cell>
          <cell r="DK99">
            <v>-9692811000</v>
          </cell>
          <cell r="DL99">
            <v>-0.27658506406394801</v>
          </cell>
          <cell r="DM99">
            <v>-0.21666011286662901</v>
          </cell>
          <cell r="DN99" t="str">
            <v>n.a.</v>
          </cell>
          <cell r="DO99">
            <v>10146376000</v>
          </cell>
          <cell r="DP99">
            <v>1376059500</v>
          </cell>
          <cell r="DR99">
            <v>43911332000</v>
          </cell>
          <cell r="DS99">
            <v>-28903505000</v>
          </cell>
          <cell r="DT99">
            <v>-21697511000</v>
          </cell>
          <cell r="DU99">
            <v>-1031773000</v>
          </cell>
          <cell r="DV99">
            <v>-7721457000</v>
          </cell>
          <cell r="DW99">
            <v>-0.175842012717811</v>
          </cell>
          <cell r="DX99">
            <v>-0.14954561141370801</v>
          </cell>
          <cell r="DY99" t="str">
            <v>n.a.</v>
          </cell>
          <cell r="DZ99">
            <v>12947546000</v>
          </cell>
          <cell r="EA99">
            <v>1498928500</v>
          </cell>
          <cell r="EC99">
            <v>40415612000</v>
          </cell>
          <cell r="ED99">
            <v>-25076125000</v>
          </cell>
          <cell r="EE99">
            <v>-19994995000</v>
          </cell>
          <cell r="EF99">
            <v>-1227644000</v>
          </cell>
          <cell r="EG99">
            <v>-5883152000</v>
          </cell>
          <cell r="EH99">
            <v>-0.14556632224200899</v>
          </cell>
          <cell r="EI99">
            <v>-0.12706931010080499</v>
          </cell>
          <cell r="EJ99" t="str">
            <v>n.a.</v>
          </cell>
          <cell r="EK99">
            <v>14078044500</v>
          </cell>
          <cell r="EL99">
            <v>2846902000</v>
          </cell>
          <cell r="EN99">
            <v>39790512333.333298</v>
          </cell>
          <cell r="EO99">
            <v>-26462157000</v>
          </cell>
          <cell r="EP99">
            <v>-20028767333.333302</v>
          </cell>
          <cell r="EQ99">
            <v>-1065394666.66667</v>
          </cell>
          <cell r="ER99">
            <v>-7765806666.6666603</v>
          </cell>
          <cell r="ES99">
            <v>-0.195167295198687</v>
          </cell>
          <cell r="ET99">
            <v>-0.163297051369065</v>
          </cell>
        </row>
        <row r="100">
          <cell r="B100" t="str">
            <v>ROJUKISS INTERNATIONAL PUBLIC COMPANY LIMITED</v>
          </cell>
          <cell r="C100" t="str">
            <v>exclude</v>
          </cell>
          <cell r="D100" t="str">
            <v>Independence(A+, A, A-, U)</v>
          </cell>
          <cell r="H100" t="str">
            <v/>
          </cell>
          <cell r="J100" t="str">
            <v>exclude</v>
          </cell>
          <cell r="K100" t="str">
            <v>Independence(A+, A, A-, U)</v>
          </cell>
          <cell r="M100" t="str">
            <v>ROJUKISS INTERNATIONAL PUBLIC COMPANY LIMITED</v>
          </cell>
          <cell r="N100" t="str">
            <v>This company, formerly known as Agenz Co, is engaged in soap, cleaning compound, and toilet preparation manufacturing. It conducts business from its registered head office located in Huai Khwang, Bangkok, Thailand. The company was founded in March 2007.The company's business operation specialises in the manufacture of a wide range of skin care products, cosmetic products, and food supplements. It sells its products in Thailand and abroad such as Laos, Cambodia and Indonesia under various brands. In addition, the company aims to be the future leader in beauty and health in Asia. Further, the company has a state-of-the-art plant and facilities capable of producing soap and cleaning compounds, as well as employs staff and trained persons with specialised technical skills in manufacturing.</v>
          </cell>
          <cell r="O100" t="str">
            <v>Manufacturing</v>
          </cell>
          <cell r="P100" t="str">
            <v>www.rojukiss.com</v>
          </cell>
          <cell r="R100" t="str">
            <v>Thailand</v>
          </cell>
          <cell r="S100" t="str">
            <v>KISS</v>
          </cell>
          <cell r="T100" t="str">
            <v>B+</v>
          </cell>
          <cell r="U100" t="str">
            <v>2844</v>
          </cell>
          <cell r="V100" t="str">
            <v>Engaged in soap, cleaning compound, and toilet preparation manufacturing</v>
          </cell>
          <cell r="W100" t="str">
            <v>The Company is service Wholesale and retail of cosmetic products and various types.</v>
          </cell>
          <cell r="X100" t="str">
            <v>AISANCE CO LTD</v>
          </cell>
          <cell r="Z100" t="str">
            <v>TH0107563000185</v>
          </cell>
          <cell r="AA100">
            <v>940063000</v>
          </cell>
          <cell r="AB100">
            <v>776050000</v>
          </cell>
          <cell r="AC100">
            <v>966249000</v>
          </cell>
          <cell r="AD100">
            <v>1140576000</v>
          </cell>
          <cell r="AE100">
            <v>932329000</v>
          </cell>
          <cell r="AF100">
            <v>772267000</v>
          </cell>
          <cell r="AG100">
            <v>964983000</v>
          </cell>
          <cell r="AH100">
            <v>1138014000</v>
          </cell>
          <cell r="AI100" t="str">
            <v>n.a.</v>
          </cell>
          <cell r="AJ100" t="str">
            <v>n.a.</v>
          </cell>
          <cell r="AK100" t="str">
            <v>n.a.</v>
          </cell>
          <cell r="AL100" t="str">
            <v>n.a.</v>
          </cell>
          <cell r="AM100">
            <v>932329000</v>
          </cell>
          <cell r="AN100">
            <v>772267000</v>
          </cell>
          <cell r="AO100">
            <v>964983000</v>
          </cell>
          <cell r="AP100">
            <v>1138014000</v>
          </cell>
          <cell r="AQ100">
            <v>7734000</v>
          </cell>
          <cell r="AR100">
            <v>3783000</v>
          </cell>
          <cell r="AS100">
            <v>1266000</v>
          </cell>
          <cell r="AT100">
            <v>2562000</v>
          </cell>
          <cell r="AU100">
            <v>-430871000</v>
          </cell>
          <cell r="AV100">
            <v>-344427000</v>
          </cell>
          <cell r="AW100">
            <v>-381288000</v>
          </cell>
          <cell r="AX100">
            <v>-455434000</v>
          </cell>
          <cell r="AY100">
            <v>0</v>
          </cell>
          <cell r="AZ100">
            <v>0</v>
          </cell>
          <cell r="BA100">
            <v>0</v>
          </cell>
          <cell r="BB100">
            <v>0</v>
          </cell>
          <cell r="BC100">
            <v>-317058000</v>
          </cell>
          <cell r="BD100">
            <v>-271229000</v>
          </cell>
          <cell r="BE100">
            <v>-330820000</v>
          </cell>
          <cell r="BF100">
            <v>-440291000</v>
          </cell>
          <cell r="BG100">
            <v>192134000</v>
          </cell>
          <cell r="BH100">
            <v>160394000</v>
          </cell>
          <cell r="BI100">
            <v>254141000</v>
          </cell>
          <cell r="BJ100">
            <v>244851000</v>
          </cell>
          <cell r="BK100">
            <v>-16908000</v>
          </cell>
          <cell r="BL100">
            <v>-14142000</v>
          </cell>
          <cell r="BM100">
            <v>-18249000</v>
          </cell>
          <cell r="BN100">
            <v>-10523000</v>
          </cell>
          <cell r="BO100">
            <v>-10087000</v>
          </cell>
          <cell r="BP100">
            <v>-12479000</v>
          </cell>
          <cell r="BQ100">
            <v>-12124000</v>
          </cell>
          <cell r="BR100">
            <v>-8128000</v>
          </cell>
          <cell r="BS100">
            <v>-6821000</v>
          </cell>
          <cell r="BT100">
            <v>-1663000</v>
          </cell>
          <cell r="BU100">
            <v>-6125000</v>
          </cell>
          <cell r="BV100">
            <v>-2395000</v>
          </cell>
          <cell r="BW100">
            <v>123709000</v>
          </cell>
          <cell r="BX100">
            <v>118573000</v>
          </cell>
          <cell r="BY100">
            <v>167992000</v>
          </cell>
          <cell r="BZ100">
            <v>190139000</v>
          </cell>
          <cell r="CA100">
            <v>1225353000</v>
          </cell>
          <cell r="CB100">
            <v>969949000</v>
          </cell>
          <cell r="CC100">
            <v>719470000</v>
          </cell>
          <cell r="CD100">
            <v>664773000</v>
          </cell>
          <cell r="CE100">
            <v>132161000</v>
          </cell>
          <cell r="CF100">
            <v>73556000</v>
          </cell>
          <cell r="CG100">
            <v>97243000</v>
          </cell>
          <cell r="CH100">
            <v>132251000</v>
          </cell>
          <cell r="CI100">
            <v>295703000</v>
          </cell>
          <cell r="CJ100">
            <v>164232000</v>
          </cell>
          <cell r="CK100">
            <v>226552000</v>
          </cell>
          <cell r="CL100">
            <v>430113000</v>
          </cell>
          <cell r="CM100">
            <v>123345000</v>
          </cell>
          <cell r="CN100">
            <v>95260000</v>
          </cell>
          <cell r="CO100">
            <v>109275000</v>
          </cell>
          <cell r="CP100">
            <v>4113000</v>
          </cell>
          <cell r="CQ100">
            <v>611714000</v>
          </cell>
          <cell r="CR100">
            <v>626239000</v>
          </cell>
          <cell r="CS100">
            <v>265309000</v>
          </cell>
          <cell r="CT100">
            <v>88513000</v>
          </cell>
          <cell r="CU100">
            <v>100600000</v>
          </cell>
          <cell r="CV100" t="str">
            <v>n.a.</v>
          </cell>
          <cell r="CW100" t="str">
            <v>n.a.</v>
          </cell>
          <cell r="CX100" t="str">
            <v>n.a.</v>
          </cell>
          <cell r="CY100">
            <v>64574000</v>
          </cell>
          <cell r="CZ100">
            <v>26327000</v>
          </cell>
          <cell r="DA100">
            <v>83923000</v>
          </cell>
          <cell r="DB100">
            <v>79327000</v>
          </cell>
          <cell r="DC100">
            <v>1297083000</v>
          </cell>
          <cell r="DD100">
            <v>1048732000</v>
          </cell>
          <cell r="DE100">
            <v>835999000</v>
          </cell>
          <cell r="DF100">
            <v>768795000</v>
          </cell>
          <cell r="DG100">
            <v>932329000</v>
          </cell>
          <cell r="DH100">
            <v>-430871000</v>
          </cell>
          <cell r="DI100">
            <v>-317058000</v>
          </cell>
          <cell r="DJ100">
            <v>-16908000</v>
          </cell>
          <cell r="DK100">
            <v>167492000</v>
          </cell>
          <cell r="DL100">
            <v>0.179649029473501</v>
          </cell>
          <cell r="DM100">
            <v>0.218990451560267</v>
          </cell>
          <cell r="DN100">
            <v>0</v>
          </cell>
          <cell r="DO100">
            <v>102858500</v>
          </cell>
          <cell r="DP100">
            <v>45450500</v>
          </cell>
          <cell r="DR100">
            <v>772267000</v>
          </cell>
          <cell r="DS100">
            <v>-344427000</v>
          </cell>
          <cell r="DT100">
            <v>-271229000</v>
          </cell>
          <cell r="DU100">
            <v>-14142000</v>
          </cell>
          <cell r="DV100">
            <v>142469000</v>
          </cell>
          <cell r="DW100">
            <v>0.18448153294132699</v>
          </cell>
          <cell r="DX100">
            <v>0.22621380188568399</v>
          </cell>
          <cell r="DY100">
            <v>0</v>
          </cell>
          <cell r="DZ100">
            <v>85399500</v>
          </cell>
          <cell r="EA100">
            <v>55125000</v>
          </cell>
          <cell r="EC100">
            <v>964983000</v>
          </cell>
          <cell r="ED100">
            <v>-381288000</v>
          </cell>
          <cell r="EE100">
            <v>-330820000</v>
          </cell>
          <cell r="EF100">
            <v>-18249000</v>
          </cell>
          <cell r="EG100">
            <v>234626000</v>
          </cell>
          <cell r="EH100">
            <v>0.243140034591283</v>
          </cell>
          <cell r="EI100">
            <v>0.32124837579430299</v>
          </cell>
          <cell r="EJ100">
            <v>0</v>
          </cell>
          <cell r="EK100">
            <v>114747000</v>
          </cell>
          <cell r="EL100">
            <v>81625000</v>
          </cell>
          <cell r="EN100">
            <v>889859666.66666698</v>
          </cell>
          <cell r="EO100">
            <v>-385528666.66666698</v>
          </cell>
          <cell r="EP100">
            <v>-306369000</v>
          </cell>
          <cell r="EQ100">
            <v>-16433000</v>
          </cell>
          <cell r="ER100">
            <v>181529000</v>
          </cell>
          <cell r="ES100">
            <v>0.203997334411156</v>
          </cell>
          <cell r="ET100">
            <v>0.25627720010240002</v>
          </cell>
        </row>
        <row r="101">
          <cell r="B101" t="str">
            <v>NFC CORPORATION</v>
          </cell>
          <cell r="C101" t="str">
            <v>exclude</v>
          </cell>
          <cell r="D101" t="str">
            <v>Independence(A+, A, A-, U)</v>
          </cell>
          <cell r="H101" t="str">
            <v/>
          </cell>
          <cell r="J101" t="str">
            <v>exclude</v>
          </cell>
          <cell r="K101" t="str">
            <v>Independence(A+, A, A-, U)</v>
          </cell>
          <cell r="M101" t="str">
            <v>NFC CORPORATION</v>
          </cell>
          <cell r="N101" t="str">
            <v>This company is engaged in the manufacture of cosmetic raw materials. It is headquartered in Incheon City, Republic of Korea and has its own laboratory and manufacturing facilities. Founded in 2007, it has grown consistently for the last decade. It has developed cutting edge technology that can stabilise insoluble materials such as Ceramide, Sphingolipids and UV-filters, so that they can easily be applied to cosmetic products. The company provides not only cosmetic raw materials but also their guide formulations along with application guides.</v>
          </cell>
          <cell r="O101" t="str">
            <v>Manufacturing</v>
          </cell>
          <cell r="P101" t="str">
            <v>www.nfccosmetic.co.kr</v>
          </cell>
          <cell r="R101" t="str">
            <v>Republic of Korea</v>
          </cell>
          <cell r="S101" t="str">
            <v>265740</v>
          </cell>
          <cell r="T101" t="str">
            <v>B+</v>
          </cell>
          <cell r="U101" t="str">
            <v>2844</v>
          </cell>
          <cell r="V101" t="str">
            <v>Engaged in the manufacture of cosmetic raw materials</v>
          </cell>
          <cell r="W101" t="str">
            <v>Engaged in the manufacture of cosmetic raw materials [source: Bureau van Dijk]</v>
          </cell>
          <cell r="Z101" t="str">
            <v>KR1201110608755</v>
          </cell>
          <cell r="AA101">
            <v>31478133000</v>
          </cell>
          <cell r="AB101">
            <v>40414882000</v>
          </cell>
          <cell r="AC101">
            <v>33324513000</v>
          </cell>
          <cell r="AD101">
            <v>32859674000</v>
          </cell>
          <cell r="AE101">
            <v>31478133000</v>
          </cell>
          <cell r="AF101">
            <v>40414882000</v>
          </cell>
          <cell r="AG101">
            <v>33324513000</v>
          </cell>
          <cell r="AH101">
            <v>32859674000</v>
          </cell>
          <cell r="AI101" t="str">
            <v>n.a.</v>
          </cell>
          <cell r="AJ101" t="str">
            <v>n.a.</v>
          </cell>
          <cell r="AK101" t="str">
            <v>n.a.</v>
          </cell>
          <cell r="AL101" t="str">
            <v>n.a.</v>
          </cell>
          <cell r="AM101">
            <v>31478133000</v>
          </cell>
          <cell r="AN101">
            <v>40414882000</v>
          </cell>
          <cell r="AO101">
            <v>33324513000</v>
          </cell>
          <cell r="AP101">
            <v>32859674000</v>
          </cell>
          <cell r="AQ101" t="str">
            <v>n.a.</v>
          </cell>
          <cell r="AR101" t="str">
            <v>n.a.</v>
          </cell>
          <cell r="AS101" t="str">
            <v>n.a.</v>
          </cell>
          <cell r="AT101" t="str">
            <v>n.a.</v>
          </cell>
          <cell r="AU101">
            <v>-24184073000</v>
          </cell>
          <cell r="AV101">
            <v>-28001585000</v>
          </cell>
          <cell r="AW101">
            <v>-22831466000</v>
          </cell>
          <cell r="AX101">
            <v>-21301553000</v>
          </cell>
          <cell r="AY101" t="str">
            <v>n.a.</v>
          </cell>
          <cell r="AZ101">
            <v>-860707000</v>
          </cell>
          <cell r="BA101">
            <v>-683251000</v>
          </cell>
          <cell r="BB101">
            <v>-534491000</v>
          </cell>
          <cell r="BC101">
            <v>-4640716000</v>
          </cell>
          <cell r="BD101">
            <v>-5348792000</v>
          </cell>
          <cell r="BE101">
            <v>-4836337000</v>
          </cell>
          <cell r="BF101">
            <v>-3678078000</v>
          </cell>
          <cell r="BG101">
            <v>2653344000</v>
          </cell>
          <cell r="BH101">
            <v>6203798000</v>
          </cell>
          <cell r="BI101">
            <v>4973459000</v>
          </cell>
          <cell r="BJ101">
            <v>7345552000</v>
          </cell>
          <cell r="BK101">
            <v>-381124000</v>
          </cell>
          <cell r="BL101">
            <v>-439840000</v>
          </cell>
          <cell r="BM101">
            <v>-417862000</v>
          </cell>
          <cell r="BN101">
            <v>-524455000</v>
          </cell>
          <cell r="BO101">
            <v>-381124000</v>
          </cell>
          <cell r="BP101">
            <v>-439840000</v>
          </cell>
          <cell r="BQ101">
            <v>-391276000</v>
          </cell>
          <cell r="BR101">
            <v>-513986000</v>
          </cell>
          <cell r="BS101" t="str">
            <v>n.a.</v>
          </cell>
          <cell r="BT101" t="str">
            <v>n.a.</v>
          </cell>
          <cell r="BU101">
            <v>-26586000</v>
          </cell>
          <cell r="BV101">
            <v>-10469000</v>
          </cell>
          <cell r="BW101">
            <v>1872127000</v>
          </cell>
          <cell r="BX101">
            <v>6144235000</v>
          </cell>
          <cell r="BY101">
            <v>765103000</v>
          </cell>
          <cell r="BZ101">
            <v>6572367000</v>
          </cell>
          <cell r="CA101">
            <v>27704858000</v>
          </cell>
          <cell r="CB101">
            <v>22285938000</v>
          </cell>
          <cell r="CC101">
            <v>32692568000</v>
          </cell>
          <cell r="CD101">
            <v>16193148000</v>
          </cell>
          <cell r="CE101">
            <v>6826552000</v>
          </cell>
          <cell r="CF101">
            <v>6451026000</v>
          </cell>
          <cell r="CG101">
            <v>6020147000</v>
          </cell>
          <cell r="CH101">
            <v>6252980000</v>
          </cell>
          <cell r="CI101">
            <v>3661265000</v>
          </cell>
          <cell r="CJ101">
            <v>3413176000</v>
          </cell>
          <cell r="CK101">
            <v>3081421000</v>
          </cell>
          <cell r="CL101">
            <v>4500405000</v>
          </cell>
          <cell r="CM101">
            <v>81828000</v>
          </cell>
          <cell r="CN101">
            <v>18180000</v>
          </cell>
          <cell r="CO101">
            <v>276067000</v>
          </cell>
          <cell r="CP101">
            <v>1125438000</v>
          </cell>
          <cell r="CQ101">
            <v>16701526000</v>
          </cell>
          <cell r="CR101">
            <v>12068048000</v>
          </cell>
          <cell r="CS101">
            <v>22997974000</v>
          </cell>
          <cell r="CT101">
            <v>4246485000</v>
          </cell>
          <cell r="CU101" t="str">
            <v>n.a.</v>
          </cell>
          <cell r="CV101" t="str">
            <v>n.a.</v>
          </cell>
          <cell r="CW101" t="str">
            <v>n.a.</v>
          </cell>
          <cell r="CX101" t="str">
            <v>n.a.</v>
          </cell>
          <cell r="CY101">
            <v>1155715000</v>
          </cell>
          <cell r="CZ101">
            <v>635085000</v>
          </cell>
          <cell r="DA101">
            <v>634658000</v>
          </cell>
          <cell r="DB101">
            <v>6292419000</v>
          </cell>
          <cell r="DC101">
            <v>73414055000</v>
          </cell>
          <cell r="DD101">
            <v>68311170000</v>
          </cell>
          <cell r="DE101">
            <v>77109200000</v>
          </cell>
          <cell r="DF101">
            <v>53292312000</v>
          </cell>
          <cell r="DG101">
            <v>31478133000</v>
          </cell>
          <cell r="DH101">
            <v>-24184073000</v>
          </cell>
          <cell r="DI101">
            <v>-4640716000</v>
          </cell>
          <cell r="DJ101">
            <v>-381124000</v>
          </cell>
          <cell r="DK101">
            <v>2272220000</v>
          </cell>
          <cell r="DL101">
            <v>7.2184077753277204E-2</v>
          </cell>
          <cell r="DM101">
            <v>7.7799998924875199E-2</v>
          </cell>
          <cell r="DN101" t="str">
            <v>n.a.</v>
          </cell>
          <cell r="DO101">
            <v>6638789000</v>
          </cell>
          <cell r="DP101">
            <v>895400000</v>
          </cell>
          <cell r="DR101">
            <v>40414882000</v>
          </cell>
          <cell r="DS101">
            <v>-28001585000</v>
          </cell>
          <cell r="DT101">
            <v>-6209499000</v>
          </cell>
          <cell r="DU101">
            <v>-439840000</v>
          </cell>
          <cell r="DV101">
            <v>5763958000</v>
          </cell>
          <cell r="DW101">
            <v>0.142619691429509</v>
          </cell>
          <cell r="DX101">
            <v>0.16634355839977</v>
          </cell>
          <cell r="DY101">
            <v>-860707000</v>
          </cell>
          <cell r="DZ101">
            <v>6235586500</v>
          </cell>
          <cell r="EA101">
            <v>634871500</v>
          </cell>
          <cell r="EC101">
            <v>33324513000</v>
          </cell>
          <cell r="ED101">
            <v>-22831466000</v>
          </cell>
          <cell r="EE101">
            <v>-5519588000</v>
          </cell>
          <cell r="EF101">
            <v>-417862000</v>
          </cell>
          <cell r="EG101">
            <v>4555597000</v>
          </cell>
          <cell r="EH101">
            <v>0.13670408326747299</v>
          </cell>
          <cell r="EI101">
            <v>0.15835136089242999</v>
          </cell>
          <cell r="EJ101">
            <v>-683251000</v>
          </cell>
          <cell r="EK101">
            <v>6136563500</v>
          </cell>
          <cell r="EL101">
            <v>3463538500</v>
          </cell>
          <cell r="EN101">
            <v>35072509333.333298</v>
          </cell>
          <cell r="EO101">
            <v>-25005708000</v>
          </cell>
          <cell r="EP101">
            <v>-5456601000</v>
          </cell>
          <cell r="EQ101">
            <v>-412942000</v>
          </cell>
          <cell r="ER101">
            <v>4197258333.3333402</v>
          </cell>
          <cell r="ES101">
            <v>0.119673739151142</v>
          </cell>
          <cell r="ET101">
            <v>0.135942484591731</v>
          </cell>
        </row>
        <row r="102">
          <cell r="B102" t="str">
            <v>GENIC CO,.LTD.</v>
          </cell>
          <cell r="C102" t="str">
            <v>exclude</v>
          </cell>
          <cell r="D102" t="str">
            <v>Independence(A+, A, A-, U)</v>
          </cell>
          <cell r="H102" t="str">
            <v/>
          </cell>
          <cell r="J102" t="str">
            <v>exclude</v>
          </cell>
          <cell r="K102" t="str">
            <v>Independence(A+, A, A-, U)</v>
          </cell>
          <cell r="M102" t="str">
            <v>GENIC CO,.LTD.</v>
          </cell>
          <cell r="N102" t="str">
            <v>The company is engaged in the manufacture and sale of cosmetics and toilet preparations in the Republic of Korea and internationally. It was founded in September of 2001 and has its registered head office in the city of Seoul in the Republic of Korea.The company's products are soluble hydrogel and essence masks as well as eye patches and medical biopatches. Product brands include Lasante, Sante Nouveau, Puretree and Lasante Day Spa. As part of its business, it provides product development and overseas business consulting services. The company's quality management system is certified according to ISO9001 standards. The company has its plant in Seoul, which covers an area of 3,685m3.</v>
          </cell>
          <cell r="O102" t="str">
            <v>Manufacturing</v>
          </cell>
          <cell r="P102" t="str">
            <v>www.genic21.com</v>
          </cell>
          <cell r="R102" t="str">
            <v>Republic of Korea</v>
          </cell>
          <cell r="S102" t="str">
            <v>123330</v>
          </cell>
          <cell r="T102" t="str">
            <v>B-</v>
          </cell>
          <cell r="U102" t="str">
            <v>2844</v>
          </cell>
          <cell r="V102" t="str">
            <v>Engaged in the manufacture and sale of cosmetics and toilet preparations</v>
          </cell>
          <cell r="W102" t="str">
            <v>- The company was established in Septebmer, 2001 with major business purpose of developing, manufacturing, and selling of mask packs for skin care, functional cosmetics and pharmaceutical patches.- Company have patent of manufacturing technology of water-soluble hydrogel mask pack. Company manufacture its own brand products based on mask pack production technology and conduct OEM / ODM business for domestic and overseas cosmetics brands.- In-house brands include functional cosmetics, such as Cellera and Skin Science. They also include Rasitte, a skin care product line, Pairte Nubo, a mask pack product, and Puretree, a basic cosmetics product line.</v>
          </cell>
          <cell r="Z102" t="str">
            <v>KR1345110052677</v>
          </cell>
          <cell r="AA102">
            <v>31448829000</v>
          </cell>
          <cell r="AB102">
            <v>38408414000</v>
          </cell>
          <cell r="AC102">
            <v>42131838000</v>
          </cell>
          <cell r="AD102">
            <v>43150788000</v>
          </cell>
          <cell r="AE102">
            <v>31448829000</v>
          </cell>
          <cell r="AF102">
            <v>38408414000</v>
          </cell>
          <cell r="AG102">
            <v>42131838000</v>
          </cell>
          <cell r="AH102">
            <v>43150788000</v>
          </cell>
          <cell r="AI102" t="str">
            <v>n.a.</v>
          </cell>
          <cell r="AJ102" t="str">
            <v>n.a.</v>
          </cell>
          <cell r="AK102" t="str">
            <v>n.a.</v>
          </cell>
          <cell r="AL102" t="str">
            <v>n.a.</v>
          </cell>
          <cell r="AM102">
            <v>31448829000</v>
          </cell>
          <cell r="AN102">
            <v>38408414000</v>
          </cell>
          <cell r="AO102">
            <v>42131838000</v>
          </cell>
          <cell r="AP102">
            <v>43150788000</v>
          </cell>
          <cell r="AQ102" t="str">
            <v>n.a.</v>
          </cell>
          <cell r="AR102" t="str">
            <v>n.a.</v>
          </cell>
          <cell r="AS102" t="str">
            <v>n.a.</v>
          </cell>
          <cell r="AT102" t="str">
            <v>n.a.</v>
          </cell>
          <cell r="AU102">
            <v>-28750291000</v>
          </cell>
          <cell r="AV102">
            <v>-31490847000</v>
          </cell>
          <cell r="AW102">
            <v>-33036166000</v>
          </cell>
          <cell r="AX102">
            <v>-35970641000</v>
          </cell>
          <cell r="AY102">
            <v>-1059124000</v>
          </cell>
          <cell r="AZ102">
            <v>-1134048000</v>
          </cell>
          <cell r="BA102">
            <v>-929270000</v>
          </cell>
          <cell r="BB102">
            <v>-949062000</v>
          </cell>
          <cell r="BC102">
            <v>-4584764000</v>
          </cell>
          <cell r="BD102">
            <v>-9453158000</v>
          </cell>
          <cell r="BE102">
            <v>-6732971000</v>
          </cell>
          <cell r="BF102">
            <v>-6932971000</v>
          </cell>
          <cell r="BG102">
            <v>-2945350000</v>
          </cell>
          <cell r="BH102">
            <v>-3669639000</v>
          </cell>
          <cell r="BI102">
            <v>1433431000</v>
          </cell>
          <cell r="BJ102">
            <v>-701886000</v>
          </cell>
          <cell r="BK102">
            <v>-227966000</v>
          </cell>
          <cell r="BL102">
            <v>-274245000</v>
          </cell>
          <cell r="BM102">
            <v>-393159000</v>
          </cell>
          <cell r="BN102">
            <v>-444646000</v>
          </cell>
          <cell r="BO102">
            <v>-196865000</v>
          </cell>
          <cell r="BP102">
            <v>-197389000</v>
          </cell>
          <cell r="BQ102">
            <v>-233218000</v>
          </cell>
          <cell r="BR102">
            <v>-264686000</v>
          </cell>
          <cell r="BS102">
            <v>-31101000</v>
          </cell>
          <cell r="BT102">
            <v>-76856000</v>
          </cell>
          <cell r="BU102">
            <v>-159941000</v>
          </cell>
          <cell r="BV102">
            <v>-179960000</v>
          </cell>
          <cell r="BW102">
            <v>-3340028000</v>
          </cell>
          <cell r="BX102">
            <v>-4330612000</v>
          </cell>
          <cell r="BY102">
            <v>-4353443000</v>
          </cell>
          <cell r="BZ102">
            <v>-11959235000</v>
          </cell>
          <cell r="CA102">
            <v>15452057000</v>
          </cell>
          <cell r="CB102">
            <v>29541355000</v>
          </cell>
          <cell r="CC102">
            <v>21254310000</v>
          </cell>
          <cell r="CD102">
            <v>27123796000</v>
          </cell>
          <cell r="CE102">
            <v>4451963000</v>
          </cell>
          <cell r="CF102">
            <v>6269606000</v>
          </cell>
          <cell r="CG102">
            <v>7211076000</v>
          </cell>
          <cell r="CH102">
            <v>7368310000</v>
          </cell>
          <cell r="CI102">
            <v>3468473000</v>
          </cell>
          <cell r="CJ102">
            <v>4883190000</v>
          </cell>
          <cell r="CK102">
            <v>5827525000</v>
          </cell>
          <cell r="CL102">
            <v>7692285000</v>
          </cell>
          <cell r="CM102">
            <v>3609082000</v>
          </cell>
          <cell r="CN102">
            <v>295094000</v>
          </cell>
          <cell r="CO102">
            <v>133352000</v>
          </cell>
          <cell r="CP102">
            <v>367443000</v>
          </cell>
          <cell r="CQ102">
            <v>3353955000</v>
          </cell>
          <cell r="CR102">
            <v>17193155000</v>
          </cell>
          <cell r="CS102">
            <v>5443342000</v>
          </cell>
          <cell r="CT102">
            <v>9063087000</v>
          </cell>
          <cell r="CU102" t="str">
            <v>n.a.</v>
          </cell>
          <cell r="CV102" t="str">
            <v>n.a.</v>
          </cell>
          <cell r="CW102" t="str">
            <v>n.a.</v>
          </cell>
          <cell r="CX102" t="str">
            <v>n.a.</v>
          </cell>
          <cell r="CY102">
            <v>10028990000</v>
          </cell>
          <cell r="CZ102">
            <v>9779225000</v>
          </cell>
          <cell r="DA102">
            <v>10347404000</v>
          </cell>
          <cell r="DB102">
            <v>10356670000</v>
          </cell>
          <cell r="DC102">
            <v>30356303000</v>
          </cell>
          <cell r="DD102">
            <v>45410705000</v>
          </cell>
          <cell r="DE102">
            <v>50097357000</v>
          </cell>
          <cell r="DF102">
            <v>58148662000</v>
          </cell>
          <cell r="DG102">
            <v>31448829000</v>
          </cell>
          <cell r="DH102">
            <v>-28750291000</v>
          </cell>
          <cell r="DI102">
            <v>-5643888000</v>
          </cell>
          <cell r="DJ102">
            <v>-227966000</v>
          </cell>
          <cell r="DK102">
            <v>-3173316000</v>
          </cell>
          <cell r="DL102">
            <v>-0.100904106795201</v>
          </cell>
          <cell r="DM102">
            <v>-9.1655672980400296E-2</v>
          </cell>
          <cell r="DN102">
            <v>-1059124000</v>
          </cell>
          <cell r="DO102">
            <v>5360784500</v>
          </cell>
          <cell r="DP102">
            <v>9904107500</v>
          </cell>
          <cell r="DR102">
            <v>38408414000</v>
          </cell>
          <cell r="DS102">
            <v>-31490847000</v>
          </cell>
          <cell r="DT102">
            <v>-10587206000</v>
          </cell>
          <cell r="DU102">
            <v>-274245000</v>
          </cell>
          <cell r="DV102">
            <v>-3943884000</v>
          </cell>
          <cell r="DW102">
            <v>-0.10268281319817101</v>
          </cell>
          <cell r="DX102">
            <v>-9.3120897477629194E-2</v>
          </cell>
          <cell r="DY102">
            <v>-1134048000</v>
          </cell>
          <cell r="DZ102">
            <v>6740341000</v>
          </cell>
          <cell r="EA102">
            <v>10063314500</v>
          </cell>
          <cell r="EC102">
            <v>42131838000</v>
          </cell>
          <cell r="ED102">
            <v>-33036166000</v>
          </cell>
          <cell r="EE102">
            <v>-7662241000</v>
          </cell>
          <cell r="EF102">
            <v>-393159000</v>
          </cell>
          <cell r="EG102">
            <v>1040272000</v>
          </cell>
          <cell r="EH102">
            <v>2.4690876291701299E-2</v>
          </cell>
          <cell r="EI102">
            <v>2.5315949263165102E-2</v>
          </cell>
          <cell r="EJ102">
            <v>-929270000</v>
          </cell>
          <cell r="EK102">
            <v>7289693000</v>
          </cell>
          <cell r="EL102">
            <v>10352037000</v>
          </cell>
          <cell r="EN102">
            <v>37329693666.666702</v>
          </cell>
          <cell r="EO102">
            <v>-31092434666.666698</v>
          </cell>
          <cell r="EP102">
            <v>-7964445000</v>
          </cell>
          <cell r="EQ102">
            <v>-298456666.66666698</v>
          </cell>
          <cell r="ER102">
            <v>-2025642666.6666701</v>
          </cell>
          <cell r="ES102">
            <v>-5.4263575928442602E-2</v>
          </cell>
          <cell r="ET102">
            <v>-5.1470597265636499E-2</v>
          </cell>
        </row>
        <row r="103">
          <cell r="B103" t="str">
            <v>KOREA MIRACLE PEOPLE COMPANY LTD.</v>
          </cell>
          <cell r="C103" t="str">
            <v>exclude</v>
          </cell>
          <cell r="D103" t="str">
            <v>Independence(A+, A, A-, U)</v>
          </cell>
          <cell r="H103" t="str">
            <v/>
          </cell>
          <cell r="J103" t="str">
            <v>exclude</v>
          </cell>
          <cell r="K103" t="str">
            <v>Independence(A+, A, A-, U)</v>
          </cell>
          <cell r="M103" t="str">
            <v>KOREA MIRACLE PEOPLE COMPANY LTD.</v>
          </cell>
          <cell r="N103" t="str">
            <v>This company is engaged in the manufacture and trade of soaps and detergents. It started its operations in June 2014. The registered business office of the company is located in Pocheon-si, Republic of Korea.The company is principally involved in producing laundry and cleaning agents, as well as cleaning and polishing preparations. It also produces cleaning compounds and toilet preparation products. These products are offered to residential, commercial and industrial customers. The company has its active operations within the country.</v>
          </cell>
          <cell r="O103" t="str">
            <v>Manufacturing</v>
          </cell>
          <cell r="P103" t="str">
            <v>www.kmpc.co.kr</v>
          </cell>
          <cell r="R103" t="str">
            <v>Republic of Korea</v>
          </cell>
          <cell r="S103" t="str">
            <v>331660</v>
          </cell>
          <cell r="T103" t="str">
            <v>D</v>
          </cell>
          <cell r="U103" t="str">
            <v>2841</v>
          </cell>
          <cell r="V103" t="str">
            <v>Engaged in the manufacture and trade of soaps and detergents</v>
          </cell>
          <cell r="W103" t="str">
            <v>Engaged in the manufacture and trade of soaps and detergents [source: Bureau van Dijk]</v>
          </cell>
          <cell r="X103" t="str">
            <v>LEEHOGYEONG CO.</v>
          </cell>
          <cell r="Z103" t="str">
            <v>KR2844110077460</v>
          </cell>
          <cell r="AA103">
            <v>29945359000</v>
          </cell>
          <cell r="AB103">
            <v>22463884000</v>
          </cell>
          <cell r="AC103">
            <v>31754532000</v>
          </cell>
          <cell r="AD103">
            <v>22768889000</v>
          </cell>
          <cell r="AE103">
            <v>29945359000</v>
          </cell>
          <cell r="AF103">
            <v>22463884000</v>
          </cell>
          <cell r="AG103">
            <v>31754532000</v>
          </cell>
          <cell r="AH103">
            <v>22768889000</v>
          </cell>
          <cell r="AI103" t="str">
            <v>n.a.</v>
          </cell>
          <cell r="AJ103" t="str">
            <v>n.a.</v>
          </cell>
          <cell r="AK103" t="str">
            <v>n.a.</v>
          </cell>
          <cell r="AL103" t="str">
            <v>n.a.</v>
          </cell>
          <cell r="AM103">
            <v>29945359000</v>
          </cell>
          <cell r="AN103">
            <v>22463884000</v>
          </cell>
          <cell r="AO103">
            <v>31754532000</v>
          </cell>
          <cell r="AP103">
            <v>22768889000</v>
          </cell>
          <cell r="AQ103" t="str">
            <v>n.a.</v>
          </cell>
          <cell r="AR103" t="str">
            <v>n.a.</v>
          </cell>
          <cell r="AS103" t="str">
            <v>n.a.</v>
          </cell>
          <cell r="AT103" t="str">
            <v>n.a.</v>
          </cell>
          <cell r="AU103">
            <v>-19771446000</v>
          </cell>
          <cell r="AV103">
            <v>-14364154000</v>
          </cell>
          <cell r="AW103">
            <v>-17761401000</v>
          </cell>
          <cell r="AX103">
            <v>-10599944000</v>
          </cell>
          <cell r="AY103">
            <v>-555087000</v>
          </cell>
          <cell r="AZ103">
            <v>-809668000</v>
          </cell>
          <cell r="BA103">
            <v>-790044000</v>
          </cell>
          <cell r="BB103">
            <v>-424136000</v>
          </cell>
          <cell r="BC103">
            <v>-8941983000</v>
          </cell>
          <cell r="BD103">
            <v>-9204828000</v>
          </cell>
          <cell r="BE103">
            <v>-11467927000</v>
          </cell>
          <cell r="BF103">
            <v>-14096175000</v>
          </cell>
          <cell r="BG103">
            <v>676843000</v>
          </cell>
          <cell r="BH103">
            <v>-1914766000</v>
          </cell>
          <cell r="BI103">
            <v>1735160000</v>
          </cell>
          <cell r="BJ103">
            <v>-2351366000</v>
          </cell>
          <cell r="BK103">
            <v>-288945000</v>
          </cell>
          <cell r="BL103">
            <v>-298214000</v>
          </cell>
          <cell r="BM103">
            <v>-288575000</v>
          </cell>
          <cell r="BN103">
            <v>-103729000</v>
          </cell>
          <cell r="BO103">
            <v>-288945000</v>
          </cell>
          <cell r="BP103">
            <v>-298214000</v>
          </cell>
          <cell r="BQ103">
            <v>-288575000</v>
          </cell>
          <cell r="BR103">
            <v>-103729000</v>
          </cell>
          <cell r="BS103" t="str">
            <v>n.a.</v>
          </cell>
          <cell r="BT103" t="str">
            <v>n.a.</v>
          </cell>
          <cell r="BU103" t="str">
            <v>n.a.</v>
          </cell>
          <cell r="BV103" t="str">
            <v>n.a.</v>
          </cell>
          <cell r="BW103">
            <v>-654851000</v>
          </cell>
          <cell r="BX103">
            <v>-2947448000</v>
          </cell>
          <cell r="BY103">
            <v>597320000</v>
          </cell>
          <cell r="BZ103">
            <v>-2242511000</v>
          </cell>
          <cell r="CA103">
            <v>11471115000</v>
          </cell>
          <cell r="CB103">
            <v>6180108000</v>
          </cell>
          <cell r="CC103">
            <v>5972514000</v>
          </cell>
          <cell r="CD103">
            <v>5831418000</v>
          </cell>
          <cell r="CE103">
            <v>4641476000</v>
          </cell>
          <cell r="CF103">
            <v>2229047000</v>
          </cell>
          <cell r="CG103">
            <v>2275628000</v>
          </cell>
          <cell r="CH103">
            <v>979560000</v>
          </cell>
          <cell r="CI103">
            <v>4029985000</v>
          </cell>
          <cell r="CJ103">
            <v>2082336000</v>
          </cell>
          <cell r="CK103">
            <v>1891117000</v>
          </cell>
          <cell r="CL103">
            <v>1278249000</v>
          </cell>
          <cell r="CM103">
            <v>940000000</v>
          </cell>
          <cell r="CN103">
            <v>800000000</v>
          </cell>
          <cell r="CO103">
            <v>570000000</v>
          </cell>
          <cell r="CP103">
            <v>156000000</v>
          </cell>
          <cell r="CQ103">
            <v>1605608000</v>
          </cell>
          <cell r="CR103">
            <v>755097000</v>
          </cell>
          <cell r="CS103">
            <v>745779000</v>
          </cell>
          <cell r="CT103">
            <v>2721665000</v>
          </cell>
          <cell r="CU103" t="str">
            <v>n.a.</v>
          </cell>
          <cell r="CV103" t="str">
            <v>n.a.</v>
          </cell>
          <cell r="CW103" t="str">
            <v>n.a.</v>
          </cell>
          <cell r="CX103">
            <v>1000220000</v>
          </cell>
          <cell r="CY103">
            <v>704923000</v>
          </cell>
          <cell r="CZ103">
            <v>957739000</v>
          </cell>
          <cell r="DA103">
            <v>539162000</v>
          </cell>
          <cell r="DB103">
            <v>476134000</v>
          </cell>
          <cell r="DC103">
            <v>24129727000</v>
          </cell>
          <cell r="DD103">
            <v>19320153000</v>
          </cell>
          <cell r="DE103">
            <v>19661018000</v>
          </cell>
          <cell r="DF103">
            <v>17609012000</v>
          </cell>
          <cell r="DG103">
            <v>29945359000</v>
          </cell>
          <cell r="DH103">
            <v>-19771446000</v>
          </cell>
          <cell r="DI103">
            <v>-9497070000</v>
          </cell>
          <cell r="DJ103">
            <v>-288945000</v>
          </cell>
          <cell r="DK103">
            <v>387898000</v>
          </cell>
          <cell r="DL103">
            <v>1.29535264546336E-2</v>
          </cell>
          <cell r="DM103">
            <v>1.3123522348553599E-2</v>
          </cell>
          <cell r="DN103">
            <v>-555087000</v>
          </cell>
          <cell r="DO103">
            <v>3435261500</v>
          </cell>
          <cell r="DP103">
            <v>831331000</v>
          </cell>
          <cell r="DR103">
            <v>22463884000</v>
          </cell>
          <cell r="DS103">
            <v>-14364154000</v>
          </cell>
          <cell r="DT103">
            <v>-10014496000</v>
          </cell>
          <cell r="DU103">
            <v>-298214000</v>
          </cell>
          <cell r="DV103">
            <v>-2212980000</v>
          </cell>
          <cell r="DW103">
            <v>-9.8512795026897401E-2</v>
          </cell>
          <cell r="DX103">
            <v>-8.9678331898250904E-2</v>
          </cell>
          <cell r="DY103">
            <v>-809668000</v>
          </cell>
          <cell r="DZ103">
            <v>2252337500</v>
          </cell>
          <cell r="EA103">
            <v>748450500</v>
          </cell>
          <cell r="EC103">
            <v>31754532000</v>
          </cell>
          <cell r="ED103">
            <v>-17761401000</v>
          </cell>
          <cell r="EE103">
            <v>-12257971000</v>
          </cell>
          <cell r="EF103">
            <v>-288575000</v>
          </cell>
          <cell r="EG103">
            <v>1446585000</v>
          </cell>
          <cell r="EH103">
            <v>4.5555229722799899E-2</v>
          </cell>
          <cell r="EI103">
            <v>4.77295608310256E-2</v>
          </cell>
          <cell r="EJ103">
            <v>-790044000</v>
          </cell>
          <cell r="EK103">
            <v>1627594000</v>
          </cell>
          <cell r="EL103">
            <v>507648000</v>
          </cell>
          <cell r="EN103">
            <v>28054591666.666698</v>
          </cell>
          <cell r="EO103">
            <v>-17299000333.333302</v>
          </cell>
          <cell r="EP103">
            <v>-10589845666.6667</v>
          </cell>
          <cell r="EQ103">
            <v>-291911333.33333302</v>
          </cell>
          <cell r="ER103">
            <v>-126165666.66666301</v>
          </cell>
          <cell r="ES103">
            <v>-4.49714856540109E-3</v>
          </cell>
          <cell r="ET103">
            <v>-4.4770147648739598E-3</v>
          </cell>
        </row>
        <row r="104">
          <cell r="B104" t="str">
            <v>MIKOBEAUTE INTERNATIONAL CO., LTD.</v>
          </cell>
          <cell r="C104" t="str">
            <v>exclude</v>
          </cell>
          <cell r="D104" t="str">
            <v>Independence(A+, A, A-, U)</v>
          </cell>
          <cell r="H104" t="str">
            <v/>
          </cell>
          <cell r="J104" t="str">
            <v>exclude</v>
          </cell>
          <cell r="K104" t="str">
            <v>Independence(A+, A, A-, U)</v>
          </cell>
          <cell r="M104" t="str">
            <v>MIKOBEAUTE INTERNATIONAL CO., LTD.</v>
          </cell>
          <cell r="N104" t="str">
            <v>This company is engaged in the retail sale of natural skin care and cosmetic products in Taiwan. It was incorporated in 2002 and has its registered business office located in Taipei, Taiwan.The company sells a wide range of skin care and cosmetic products, including cleansers, exfoliating products, moisturizing, eye treatments, targeted treatments, and other related products. It sells products under Envie De Neuf brand name. It has display equipment with a large inventory of its products, as well as employs staff that provides necessary assistance and services, and are trained to provide information on many lines of natural skin care and cosmetic products being wholesaled.</v>
          </cell>
          <cell r="O104" t="str">
            <v>Retail</v>
          </cell>
          <cell r="P104" t="str">
            <v>www.mikobeaute.com</v>
          </cell>
          <cell r="R104" t="str">
            <v>Taiwan, China</v>
          </cell>
          <cell r="S104" t="str">
            <v>6574</v>
          </cell>
          <cell r="T104" t="str">
            <v>B+</v>
          </cell>
          <cell r="U104" t="str">
            <v>2844</v>
          </cell>
          <cell r="V104" t="str">
            <v>Engaged in the retail sale of natural skin care and cosmetic products in Taiwan</v>
          </cell>
          <cell r="W104" t="str">
            <v>The Company mainly engaged in cosmetics wholesale business. Its main products include skin care products, facial mask and repair products, cleaning products and others. The Company markets the products under the brand EDN, NU derma, L'herboflore, among others.</v>
          </cell>
          <cell r="Y104" t="str">
            <v>Envie De Neuf</v>
          </cell>
          <cell r="Z104" t="str">
            <v>TW80281973</v>
          </cell>
          <cell r="AA104">
            <v>683204000</v>
          </cell>
          <cell r="AB104">
            <v>669252000</v>
          </cell>
          <cell r="AC104">
            <v>850007000</v>
          </cell>
          <cell r="AD104">
            <v>1065679000</v>
          </cell>
          <cell r="AE104">
            <v>681247000</v>
          </cell>
          <cell r="AF104">
            <v>648269000</v>
          </cell>
          <cell r="AG104">
            <v>849853000</v>
          </cell>
          <cell r="AH104">
            <v>1064096000</v>
          </cell>
          <cell r="AI104" t="str">
            <v>n.a.</v>
          </cell>
          <cell r="AJ104" t="str">
            <v>n.a.</v>
          </cell>
          <cell r="AK104" t="str">
            <v>n.a.</v>
          </cell>
          <cell r="AL104" t="str">
            <v>n.a.</v>
          </cell>
          <cell r="AM104">
            <v>681247000</v>
          </cell>
          <cell r="AN104">
            <v>648269000</v>
          </cell>
          <cell r="AO104">
            <v>849853000</v>
          </cell>
          <cell r="AP104">
            <v>1064096000</v>
          </cell>
          <cell r="AQ104">
            <v>1957000</v>
          </cell>
          <cell r="AR104">
            <v>20983000</v>
          </cell>
          <cell r="AS104">
            <v>154000</v>
          </cell>
          <cell r="AT104">
            <v>1583000</v>
          </cell>
          <cell r="AU104">
            <v>-67320000</v>
          </cell>
          <cell r="AV104">
            <v>-86064000</v>
          </cell>
          <cell r="AW104">
            <v>-130519000</v>
          </cell>
          <cell r="AX104">
            <v>-145380000</v>
          </cell>
          <cell r="AY104">
            <v>-2527000</v>
          </cell>
          <cell r="AZ104">
            <v>-2532000</v>
          </cell>
          <cell r="BA104">
            <v>-1692000</v>
          </cell>
          <cell r="BB104">
            <v>-1875000</v>
          </cell>
          <cell r="BC104">
            <v>-472766000</v>
          </cell>
          <cell r="BD104">
            <v>-498413000</v>
          </cell>
          <cell r="BE104">
            <v>-612664000</v>
          </cell>
          <cell r="BF104">
            <v>-779236000</v>
          </cell>
          <cell r="BG104">
            <v>140591000</v>
          </cell>
          <cell r="BH104">
            <v>82243000</v>
          </cell>
          <cell r="BI104">
            <v>105132000</v>
          </cell>
          <cell r="BJ104">
            <v>139188000</v>
          </cell>
          <cell r="BK104">
            <v>-87754000</v>
          </cell>
          <cell r="BL104">
            <v>-65839000</v>
          </cell>
          <cell r="BM104">
            <v>-44881000</v>
          </cell>
          <cell r="BN104">
            <v>-28112000</v>
          </cell>
          <cell r="BO104">
            <v>-83897000</v>
          </cell>
          <cell r="BP104">
            <v>-62971000</v>
          </cell>
          <cell r="BQ104">
            <v>-42983000</v>
          </cell>
          <cell r="BR104">
            <v>-26887000</v>
          </cell>
          <cell r="BS104">
            <v>-3857000</v>
          </cell>
          <cell r="BT104">
            <v>-2868000</v>
          </cell>
          <cell r="BU104">
            <v>-1898000</v>
          </cell>
          <cell r="BV104">
            <v>-1225000</v>
          </cell>
          <cell r="BW104">
            <v>68046000</v>
          </cell>
          <cell r="BX104">
            <v>13818000</v>
          </cell>
          <cell r="BY104">
            <v>42080000</v>
          </cell>
          <cell r="BZ104">
            <v>88934000</v>
          </cell>
          <cell r="CA104">
            <v>677043000</v>
          </cell>
          <cell r="CB104">
            <v>653131000</v>
          </cell>
          <cell r="CC104">
            <v>700739000</v>
          </cell>
          <cell r="CD104">
            <v>702105000</v>
          </cell>
          <cell r="CE104">
            <v>49640000</v>
          </cell>
          <cell r="CF104">
            <v>54327000</v>
          </cell>
          <cell r="CG104">
            <v>72241000</v>
          </cell>
          <cell r="CH104">
            <v>73647000</v>
          </cell>
          <cell r="CI104">
            <v>36573000</v>
          </cell>
          <cell r="CJ104">
            <v>61885000</v>
          </cell>
          <cell r="CK104">
            <v>97940000</v>
          </cell>
          <cell r="CL104">
            <v>165857000</v>
          </cell>
          <cell r="CM104">
            <v>11220000</v>
          </cell>
          <cell r="CN104">
            <v>25309000</v>
          </cell>
          <cell r="CO104">
            <v>29685000</v>
          </cell>
          <cell r="CP104">
            <v>23427000</v>
          </cell>
          <cell r="CQ104">
            <v>579610000</v>
          </cell>
          <cell r="CR104">
            <v>511610000</v>
          </cell>
          <cell r="CS104">
            <v>500873000</v>
          </cell>
          <cell r="CT104">
            <v>439174000</v>
          </cell>
          <cell r="CU104">
            <v>375399000</v>
          </cell>
          <cell r="CV104">
            <v>324967000</v>
          </cell>
          <cell r="CW104">
            <v>360125000</v>
          </cell>
          <cell r="CX104">
            <v>332989000</v>
          </cell>
          <cell r="CY104">
            <v>9939000</v>
          </cell>
          <cell r="CZ104">
            <v>11588000</v>
          </cell>
          <cell r="DA104">
            <v>6661000</v>
          </cell>
          <cell r="DB104">
            <v>6971000</v>
          </cell>
          <cell r="DC104">
            <v>925385000</v>
          </cell>
          <cell r="DD104">
            <v>897071000</v>
          </cell>
          <cell r="DE104">
            <v>847752000</v>
          </cell>
          <cell r="DF104">
            <v>831494000</v>
          </cell>
          <cell r="DG104">
            <v>681247000</v>
          </cell>
          <cell r="DH104">
            <v>-67320000</v>
          </cell>
          <cell r="DI104">
            <v>-475293000</v>
          </cell>
          <cell r="DJ104">
            <v>-87754000</v>
          </cell>
          <cell r="DK104">
            <v>50880000</v>
          </cell>
          <cell r="DL104">
            <v>7.4686567427085904E-2</v>
          </cell>
          <cell r="DM104">
            <v>8.0714885138340006E-2</v>
          </cell>
          <cell r="DN104">
            <v>-2527000</v>
          </cell>
          <cell r="DO104">
            <v>51983500</v>
          </cell>
          <cell r="DP104">
            <v>10763500</v>
          </cell>
          <cell r="DR104">
            <v>648269000</v>
          </cell>
          <cell r="DS104">
            <v>-86064000</v>
          </cell>
          <cell r="DT104">
            <v>-500945000</v>
          </cell>
          <cell r="DU104">
            <v>-65839000</v>
          </cell>
          <cell r="DV104">
            <v>-4579000</v>
          </cell>
          <cell r="DW104">
            <v>-7.0634258309436402E-3</v>
          </cell>
          <cell r="DX104">
            <v>-7.0138837830551696E-3</v>
          </cell>
          <cell r="DY104">
            <v>-2532000</v>
          </cell>
          <cell r="DZ104">
            <v>63284000</v>
          </cell>
          <cell r="EA104">
            <v>9124500</v>
          </cell>
          <cell r="EC104">
            <v>849853000</v>
          </cell>
          <cell r="ED104">
            <v>-130519000</v>
          </cell>
          <cell r="EE104">
            <v>-614356000</v>
          </cell>
          <cell r="EF104">
            <v>-44881000</v>
          </cell>
          <cell r="EG104">
            <v>60097000</v>
          </cell>
          <cell r="EH104">
            <v>7.0714582404251103E-2</v>
          </cell>
          <cell r="EI104">
            <v>7.6095654860488596E-2</v>
          </cell>
          <cell r="EJ104">
            <v>-1692000</v>
          </cell>
          <cell r="EK104">
            <v>72944000</v>
          </cell>
          <cell r="EL104">
            <v>6816000</v>
          </cell>
          <cell r="EN104">
            <v>726456333.33333302</v>
          </cell>
          <cell r="EO104">
            <v>-94634333.333333299</v>
          </cell>
          <cell r="EP104">
            <v>-530198000</v>
          </cell>
          <cell r="EQ104">
            <v>-66158000</v>
          </cell>
          <cell r="ER104">
            <v>35466000</v>
          </cell>
          <cell r="ES104">
            <v>4.8820553105050103E-2</v>
          </cell>
          <cell r="ET104">
            <v>5.1326333074606399E-2</v>
          </cell>
        </row>
        <row r="105">
          <cell r="B105" t="str">
            <v>SUZHOU MISIFU COSMETICS CO.,LTD</v>
          </cell>
          <cell r="C105" t="str">
            <v>exclude</v>
          </cell>
          <cell r="D105" t="str">
            <v>Independence(A+, A, A-, U)</v>
          </cell>
          <cell r="H105" t="str">
            <v/>
          </cell>
          <cell r="J105" t="str">
            <v>exclude</v>
          </cell>
          <cell r="K105" t="str">
            <v>Independence(A+, A, A-, U)</v>
          </cell>
          <cell r="M105" t="str">
            <v>SUZHOU MISIFU COSMETICS CO.,LTD</v>
          </cell>
          <cell r="N105" t="str">
            <v>This company is a Chinese-based enterprise engaged in the manufacture of cosmetics and skin care products. It operates its business primarily in the domestic market. The company was incorporated in 2011. Its registered business office is based in Suzhou, Jiangsu, China. The company is committed to unifying the integration of Jiangnan culture and arts aesthetics and skin aesthetics, and giving Jiangnan's unique cultural genes to Jane's image design, merging the classic and fashion reorganization. It integrates modern elements such as fashion, and selects the world's top quality skin care ingredients to create a Jiangnan woman-like Hydra skin for oriental women who are pursuing exquisite beauty, natural beauty, and watery beauty.</v>
          </cell>
          <cell r="O105" t="str">
            <v>Manufacturing</v>
          </cell>
          <cell r="P105" t="str">
            <v>www.misifu.cn</v>
          </cell>
          <cell r="R105" t="str">
            <v>China</v>
          </cell>
          <cell r="S105" t="str">
            <v>836831</v>
          </cell>
          <cell r="T105" t="str">
            <v>B+</v>
          </cell>
          <cell r="U105" t="str">
            <v>2844</v>
          </cell>
          <cell r="V105" t="str">
            <v>Engaged in the manufacture of cosmetics and skin care products</v>
          </cell>
          <cell r="W105" t="str">
            <v>The Company mainly engaged in cosmetics manufacturing.</v>
          </cell>
          <cell r="Z105" t="str">
            <v>CN48247PC</v>
          </cell>
          <cell r="AA105">
            <v>152453000</v>
          </cell>
          <cell r="AB105">
            <v>147045000</v>
          </cell>
          <cell r="AC105">
            <v>127159000</v>
          </cell>
          <cell r="AD105">
            <v>122285000</v>
          </cell>
          <cell r="AE105">
            <v>153091000</v>
          </cell>
          <cell r="AF105">
            <v>146856000</v>
          </cell>
          <cell r="AG105">
            <v>126504000</v>
          </cell>
          <cell r="AH105">
            <v>122736000</v>
          </cell>
          <cell r="AI105">
            <v>-1480000</v>
          </cell>
          <cell r="AJ105">
            <v>-1229000</v>
          </cell>
          <cell r="AK105">
            <v>-497000</v>
          </cell>
          <cell r="AL105">
            <v>-942000</v>
          </cell>
          <cell r="AM105">
            <v>151611000</v>
          </cell>
          <cell r="AN105">
            <v>145627000</v>
          </cell>
          <cell r="AO105">
            <v>126007000</v>
          </cell>
          <cell r="AP105">
            <v>121794000</v>
          </cell>
          <cell r="AQ105">
            <v>842000</v>
          </cell>
          <cell r="AR105">
            <v>1418000</v>
          </cell>
          <cell r="AS105">
            <v>1152000</v>
          </cell>
          <cell r="AT105">
            <v>491000</v>
          </cell>
          <cell r="AU105">
            <v>-69699000</v>
          </cell>
          <cell r="AV105">
            <v>-74968000</v>
          </cell>
          <cell r="AW105">
            <v>-65959000</v>
          </cell>
          <cell r="AX105">
            <v>-62485000</v>
          </cell>
          <cell r="AY105" t="str">
            <v>n.a.</v>
          </cell>
          <cell r="AZ105" t="str">
            <v>n.a.</v>
          </cell>
          <cell r="BA105" t="str">
            <v>n.a.</v>
          </cell>
          <cell r="BB105" t="str">
            <v>n.a.</v>
          </cell>
          <cell r="BC105">
            <v>-41747000</v>
          </cell>
          <cell r="BD105">
            <v>-39682000</v>
          </cell>
          <cell r="BE105">
            <v>-31911000</v>
          </cell>
          <cell r="BF105">
            <v>-30677000</v>
          </cell>
          <cell r="BG105">
            <v>41007000</v>
          </cell>
          <cell r="BH105">
            <v>32395000</v>
          </cell>
          <cell r="BI105">
            <v>29289000</v>
          </cell>
          <cell r="BJ105">
            <v>29123000</v>
          </cell>
          <cell r="BK105">
            <v>-4744000</v>
          </cell>
          <cell r="BL105">
            <v>-3219000</v>
          </cell>
          <cell r="BM105">
            <v>-1719000</v>
          </cell>
          <cell r="BN105">
            <v>-1944000</v>
          </cell>
          <cell r="BO105">
            <v>-4325000</v>
          </cell>
          <cell r="BP105">
            <v>-2940000</v>
          </cell>
          <cell r="BQ105">
            <v>-1248000</v>
          </cell>
          <cell r="BR105">
            <v>-1301000</v>
          </cell>
          <cell r="BS105">
            <v>-419000</v>
          </cell>
          <cell r="BT105">
            <v>-279000</v>
          </cell>
          <cell r="BU105">
            <v>-471000</v>
          </cell>
          <cell r="BV105">
            <v>-643000</v>
          </cell>
          <cell r="BW105">
            <v>26911000</v>
          </cell>
          <cell r="BX105">
            <v>20265000</v>
          </cell>
          <cell r="BY105">
            <v>22329000</v>
          </cell>
          <cell r="BZ105">
            <v>19640000</v>
          </cell>
          <cell r="CA105">
            <v>83634000</v>
          </cell>
          <cell r="CB105">
            <v>62953000</v>
          </cell>
          <cell r="CC105">
            <v>45229000</v>
          </cell>
          <cell r="CD105">
            <v>42678000</v>
          </cell>
          <cell r="CE105">
            <v>27079000</v>
          </cell>
          <cell r="CF105">
            <v>21991000</v>
          </cell>
          <cell r="CG105">
            <v>17777000</v>
          </cell>
          <cell r="CH105">
            <v>19551000</v>
          </cell>
          <cell r="CI105">
            <v>15688000</v>
          </cell>
          <cell r="CJ105">
            <v>12150000</v>
          </cell>
          <cell r="CK105">
            <v>8835000</v>
          </cell>
          <cell r="CL105">
            <v>3921000</v>
          </cell>
          <cell r="CM105">
            <v>541000</v>
          </cell>
          <cell r="CN105">
            <v>567000</v>
          </cell>
          <cell r="CO105">
            <v>2700000</v>
          </cell>
          <cell r="CP105">
            <v>692000</v>
          </cell>
          <cell r="CQ105">
            <v>39268000</v>
          </cell>
          <cell r="CR105">
            <v>26799000</v>
          </cell>
          <cell r="CS105">
            <v>13289000</v>
          </cell>
          <cell r="CT105">
            <v>16348000</v>
          </cell>
          <cell r="CU105" t="str">
            <v>n.a.</v>
          </cell>
          <cell r="CV105" t="str">
            <v>n.a.</v>
          </cell>
          <cell r="CW105" t="str">
            <v>n.a.</v>
          </cell>
          <cell r="CX105" t="str">
            <v>n.a.</v>
          </cell>
          <cell r="CY105">
            <v>1553000</v>
          </cell>
          <cell r="CZ105">
            <v>1548000</v>
          </cell>
          <cell r="DA105">
            <v>45687000</v>
          </cell>
          <cell r="DB105">
            <v>438000</v>
          </cell>
          <cell r="DC105">
            <v>139393000</v>
          </cell>
          <cell r="DD105">
            <v>120703000</v>
          </cell>
          <cell r="DE105">
            <v>98856000</v>
          </cell>
          <cell r="DF105">
            <v>81557000</v>
          </cell>
          <cell r="DG105">
            <v>151611000</v>
          </cell>
          <cell r="DH105">
            <v>-69699000</v>
          </cell>
          <cell r="DI105">
            <v>-41747000</v>
          </cell>
          <cell r="DJ105">
            <v>-4744000</v>
          </cell>
          <cell r="DK105">
            <v>35421000</v>
          </cell>
          <cell r="DL105">
            <v>0.23363080515265999</v>
          </cell>
          <cell r="DM105">
            <v>0.30485411825458297</v>
          </cell>
          <cell r="DN105" t="str">
            <v>n.a.</v>
          </cell>
          <cell r="DO105">
            <v>24535000</v>
          </cell>
          <cell r="DP105">
            <v>1550500</v>
          </cell>
          <cell r="DR105">
            <v>145627000</v>
          </cell>
          <cell r="DS105">
            <v>-74968000</v>
          </cell>
          <cell r="DT105">
            <v>-39682000</v>
          </cell>
          <cell r="DU105">
            <v>-3219000</v>
          </cell>
          <cell r="DV105">
            <v>27758000</v>
          </cell>
          <cell r="DW105">
            <v>0.19061025771319901</v>
          </cell>
          <cell r="DX105">
            <v>0.235498731642756</v>
          </cell>
          <cell r="DY105" t="str">
            <v>n.a.</v>
          </cell>
          <cell r="DZ105">
            <v>19884000</v>
          </cell>
          <cell r="EA105">
            <v>23617500</v>
          </cell>
          <cell r="EC105">
            <v>126007000</v>
          </cell>
          <cell r="ED105">
            <v>-65959000</v>
          </cell>
          <cell r="EE105">
            <v>-31911000</v>
          </cell>
          <cell r="EF105">
            <v>-1719000</v>
          </cell>
          <cell r="EG105">
            <v>26418000</v>
          </cell>
          <cell r="EH105">
            <v>0.209655019165602</v>
          </cell>
          <cell r="EI105">
            <v>0.26527026077177202</v>
          </cell>
          <cell r="EJ105" t="str">
            <v>n.a.</v>
          </cell>
          <cell r="EK105">
            <v>18664000</v>
          </cell>
          <cell r="EL105">
            <v>23062500</v>
          </cell>
          <cell r="EN105">
            <v>141081666.66666701</v>
          </cell>
          <cell r="EO105">
            <v>-70208666.666666701</v>
          </cell>
          <cell r="EP105">
            <v>-37780000</v>
          </cell>
          <cell r="EQ105">
            <v>-3227333.3333333302</v>
          </cell>
          <cell r="ER105">
            <v>29865666.666666701</v>
          </cell>
          <cell r="ES105">
            <v>0.21169062835946101</v>
          </cell>
          <cell r="ET105">
            <v>0.26853750059943399</v>
          </cell>
        </row>
        <row r="106">
          <cell r="B106" t="str">
            <v>MAXIGEN BIOTECH INC</v>
          </cell>
          <cell r="C106" t="str">
            <v>exclude</v>
          </cell>
          <cell r="D106" t="str">
            <v>Lev SDA/SDP</v>
          </cell>
          <cell r="H106" t="str">
            <v/>
          </cell>
          <cell r="J106" t="str">
            <v>exclude</v>
          </cell>
          <cell r="K106" t="str">
            <v>lev SDA/SDP</v>
          </cell>
          <cell r="M106" t="str">
            <v>MAXIGEN BIOTECH INC</v>
          </cell>
          <cell r="N106" t="str">
            <v>The company, with registered head office located in New Taipei, Taiwan, is engaged in the development, manufacture, and marketing of biomedical and cosmeceutical skincare products in Taiwan and abroad. The company's medical devices are used in various applications, including orthopedics, such as Formagraft bone graft substitute, Foramic bone graft substitute, and ArtiAid Intra-articular injection; ophthalmics consists of ViscAid, an ophthalmic viscosurgical device; and dental comprising GingivAid collagen dental graft, FormaAid collagen membrane, Foramic bone graft substitute, and SurgiAid collagen wound dressing. It also provides skincare products, such as masks; and make up remover, cleansing, exfoliating, toner, essence, nutritious cream, men's care, sunscreen, body care, hand/foot care, and special care series products. In addition, the company offers facial soothing skin reinvigorating, herbal whitening, potent anti-acne, and ageless lifting collections under BIOFLASH, as well as crystal peptide collection under Dr. Neo brands. It has a collaboration agreement with Swiss Temmentec and Infinitec Lab of the University of Barcelona in Spain to develop an anti-aging ingredient-Crystal Peptide II. The company was founded in 1998.</v>
          </cell>
          <cell r="O106" t="str">
            <v>Manufacturing</v>
          </cell>
          <cell r="P106" t="str">
            <v>www.mbi.com.tw</v>
          </cell>
          <cell r="R106" t="str">
            <v>Taiwan, China</v>
          </cell>
          <cell r="S106" t="str">
            <v>1783</v>
          </cell>
          <cell r="T106" t="str">
            <v>A+</v>
          </cell>
          <cell r="U106" t="str">
            <v>2844</v>
          </cell>
          <cell r="V106" t="str">
            <v>Engaged in the development, manufacture, and marketing of biomedical and cosmeceutical skincare products in Taiwan and abroad</v>
          </cell>
          <cell r="W106" t="str">
            <v>The Company is a Taiwan-based company principally engaged in the manufacture and sales of biological products, the wholesale of all kinds of medical equipment, medicines, foods, masks, skin care products, as well as the manufacture and sales of chemical materials. The Company operates through two main segments. The Consumer Products segment is mainly engaged in the wholesales of cleansing products, facial care products, medical beauty products and others. The Biomedical Products is mainly involved in the manufacture and sales of Formagraft collagen and ceramic composite material products, Foramic ceramic bone feed materials, Artiaid hyaluronic acid joint injection products, ViscAid ophthalmology viscoelastic agents, as well as SurgiAid wound collagen materials and others.</v>
          </cell>
          <cell r="Z106" t="str">
            <v>TW16749811</v>
          </cell>
          <cell r="AA106">
            <v>605541000</v>
          </cell>
          <cell r="AB106">
            <v>523430000</v>
          </cell>
          <cell r="AC106">
            <v>457924000</v>
          </cell>
          <cell r="AD106">
            <v>452599000</v>
          </cell>
          <cell r="AE106">
            <v>604431000</v>
          </cell>
          <cell r="AF106">
            <v>511976000</v>
          </cell>
          <cell r="AG106">
            <v>457691000</v>
          </cell>
          <cell r="AH106">
            <v>452199000</v>
          </cell>
          <cell r="AI106" t="str">
            <v>n.a.</v>
          </cell>
          <cell r="AJ106" t="str">
            <v>n.a.</v>
          </cell>
          <cell r="AK106" t="str">
            <v>n.a.</v>
          </cell>
          <cell r="AL106" t="str">
            <v>n.a.</v>
          </cell>
          <cell r="AM106">
            <v>604431000</v>
          </cell>
          <cell r="AN106">
            <v>511976000</v>
          </cell>
          <cell r="AO106">
            <v>457691000</v>
          </cell>
          <cell r="AP106">
            <v>452199000</v>
          </cell>
          <cell r="AQ106">
            <v>1110000</v>
          </cell>
          <cell r="AR106">
            <v>11454000</v>
          </cell>
          <cell r="AS106">
            <v>233000</v>
          </cell>
          <cell r="AT106">
            <v>400000</v>
          </cell>
          <cell r="AU106">
            <v>-200857000</v>
          </cell>
          <cell r="AV106">
            <v>-218048000</v>
          </cell>
          <cell r="AW106">
            <v>-209979000</v>
          </cell>
          <cell r="AX106">
            <v>-202436000</v>
          </cell>
          <cell r="AY106">
            <v>-99632000</v>
          </cell>
          <cell r="AZ106">
            <v>-75681000</v>
          </cell>
          <cell r="BA106">
            <v>-69150000</v>
          </cell>
          <cell r="BB106">
            <v>-66862000</v>
          </cell>
          <cell r="BC106">
            <v>-141028000</v>
          </cell>
          <cell r="BD106">
            <v>-92375000</v>
          </cell>
          <cell r="BE106">
            <v>-84362000</v>
          </cell>
          <cell r="BF106">
            <v>-84920000</v>
          </cell>
          <cell r="BG106">
            <v>164024000</v>
          </cell>
          <cell r="BH106">
            <v>137326000</v>
          </cell>
          <cell r="BI106">
            <v>94433000</v>
          </cell>
          <cell r="BJ106">
            <v>98381000</v>
          </cell>
          <cell r="BK106">
            <v>-29582000</v>
          </cell>
          <cell r="BL106">
            <v>-32901000</v>
          </cell>
          <cell r="BM106">
            <v>-33192000</v>
          </cell>
          <cell r="BN106">
            <v>-32491000</v>
          </cell>
          <cell r="BO106">
            <v>-28713000</v>
          </cell>
          <cell r="BP106">
            <v>-31870000</v>
          </cell>
          <cell r="BQ106">
            <v>-32030000</v>
          </cell>
          <cell r="BR106">
            <v>-31478000</v>
          </cell>
          <cell r="BS106">
            <v>-869000</v>
          </cell>
          <cell r="BT106">
            <v>-1031000</v>
          </cell>
          <cell r="BU106">
            <v>-1162000</v>
          </cell>
          <cell r="BV106">
            <v>-1013000</v>
          </cell>
          <cell r="BW106">
            <v>139404000</v>
          </cell>
          <cell r="BX106">
            <v>87667000</v>
          </cell>
          <cell r="BY106">
            <v>63311000</v>
          </cell>
          <cell r="BZ106">
            <v>60111000</v>
          </cell>
          <cell r="CA106">
            <v>993246000</v>
          </cell>
          <cell r="CB106">
            <v>783553000</v>
          </cell>
          <cell r="CC106">
            <v>432058000</v>
          </cell>
          <cell r="CD106">
            <v>640152000</v>
          </cell>
          <cell r="CE106">
            <v>75272000</v>
          </cell>
          <cell r="CF106">
            <v>78954000</v>
          </cell>
          <cell r="CG106">
            <v>86984000</v>
          </cell>
          <cell r="CH106">
            <v>88115000</v>
          </cell>
          <cell r="CI106">
            <v>57928000</v>
          </cell>
          <cell r="CJ106">
            <v>45625000</v>
          </cell>
          <cell r="CK106">
            <v>52902000</v>
          </cell>
          <cell r="CL106">
            <v>58235000</v>
          </cell>
          <cell r="CM106">
            <v>43233000</v>
          </cell>
          <cell r="CN106">
            <v>69037000</v>
          </cell>
          <cell r="CO106">
            <v>69275000</v>
          </cell>
          <cell r="CP106">
            <v>61110000</v>
          </cell>
          <cell r="CQ106">
            <v>801264000</v>
          </cell>
          <cell r="CR106">
            <v>540177000</v>
          </cell>
          <cell r="CS106">
            <v>222897000</v>
          </cell>
          <cell r="CT106">
            <v>432692000</v>
          </cell>
          <cell r="CU106">
            <v>10316000</v>
          </cell>
          <cell r="CV106">
            <v>26872000</v>
          </cell>
          <cell r="CW106">
            <v>13135000</v>
          </cell>
          <cell r="CX106">
            <v>165049000</v>
          </cell>
          <cell r="CY106">
            <v>51301000</v>
          </cell>
          <cell r="CZ106">
            <v>48661000</v>
          </cell>
          <cell r="DA106">
            <v>52679000</v>
          </cell>
          <cell r="DB106">
            <v>46559000</v>
          </cell>
          <cell r="DC106">
            <v>1447723000</v>
          </cell>
          <cell r="DD106">
            <v>1265184000</v>
          </cell>
          <cell r="DE106">
            <v>956470000</v>
          </cell>
          <cell r="DF106">
            <v>1185486000</v>
          </cell>
          <cell r="DG106">
            <v>604431000</v>
          </cell>
          <cell r="DH106">
            <v>-200857000</v>
          </cell>
          <cell r="DI106">
            <v>-240660000</v>
          </cell>
          <cell r="DJ106">
            <v>-29582000</v>
          </cell>
          <cell r="DK106">
            <v>133332000</v>
          </cell>
          <cell r="DL106">
            <v>0.220590935938097</v>
          </cell>
          <cell r="DM106">
            <v>0.283023313571033</v>
          </cell>
          <cell r="DN106">
            <v>-99632000</v>
          </cell>
          <cell r="DO106">
            <v>77113000</v>
          </cell>
          <cell r="DP106">
            <v>49981000</v>
          </cell>
          <cell r="DR106">
            <v>511976000</v>
          </cell>
          <cell r="DS106">
            <v>-218048000</v>
          </cell>
          <cell r="DT106">
            <v>-168056000</v>
          </cell>
          <cell r="DU106">
            <v>-32901000</v>
          </cell>
          <cell r="DV106">
            <v>92971000</v>
          </cell>
          <cell r="DW106">
            <v>0.181592496523275</v>
          </cell>
          <cell r="DX106">
            <v>0.22188518036777599</v>
          </cell>
          <cell r="DY106">
            <v>-75681000</v>
          </cell>
          <cell r="DZ106">
            <v>82969000</v>
          </cell>
          <cell r="EA106">
            <v>50670000</v>
          </cell>
          <cell r="EC106">
            <v>457691000</v>
          </cell>
          <cell r="ED106">
            <v>-209979000</v>
          </cell>
          <cell r="EE106">
            <v>-153512000</v>
          </cell>
          <cell r="EF106">
            <v>-33192000</v>
          </cell>
          <cell r="EG106">
            <v>61008000</v>
          </cell>
          <cell r="EH106">
            <v>0.13329517075931099</v>
          </cell>
          <cell r="EI106">
            <v>0.15379534792264901</v>
          </cell>
          <cell r="EJ106">
            <v>-69150000</v>
          </cell>
          <cell r="EK106">
            <v>87549500</v>
          </cell>
          <cell r="EL106">
            <v>49619000</v>
          </cell>
          <cell r="EN106">
            <v>524699333.33333302</v>
          </cell>
          <cell r="EO106">
            <v>-209628000</v>
          </cell>
          <cell r="EP106">
            <v>-187409333.33333299</v>
          </cell>
          <cell r="EQ106">
            <v>-31891666.666666701</v>
          </cell>
          <cell r="ER106">
            <v>95770333.333333299</v>
          </cell>
          <cell r="ES106">
            <v>0.18252421386724299</v>
          </cell>
          <cell r="ET106">
            <v>0.22327782298080401</v>
          </cell>
        </row>
        <row r="107">
          <cell r="B107" t="str">
            <v>MAO BAO INC.</v>
          </cell>
          <cell r="C107" t="str">
            <v>exclude</v>
          </cell>
          <cell r="D107" t="str">
            <v>Independence(A+, A, A-, U)</v>
          </cell>
          <cell r="H107" t="str">
            <v/>
          </cell>
          <cell r="J107" t="str">
            <v>exclude</v>
          </cell>
          <cell r="K107" t="str">
            <v>Independence(A+, A, A-, U)</v>
          </cell>
          <cell r="M107" t="str">
            <v>MAO BAO INC.</v>
          </cell>
          <cell r="N107" t="str">
            <v>This company is primarily engaged in processing, manufacture, distribution and marketing of cleansing products. It was established in 1978. It is headquartered in Taipei, Taiwan. The company provides main laundry detergents, assistant laundry detergents, household cleansing products and other cleansing products, including dishwashing liquid, cold water wash detergent (including the anti-dust mite and anti-bacterial version), anti-dust mite and anti-bacterial liquid laundry detergent, softener (flower-scented and anti-dust mite, forest bath scented, and anti-mold), collar wash detergent, and specialized cleaners (including wash tank and water pot cleaners). Its products are marketed under a number of leading brands, such as Mao Bao, Quan Xiao, Hao Wu Bi, Quan Qian-Pro, and Salute-B. The company has its factory in Hukou Industrial Park, which is part of Taiwan's Hsinchu County. It maintains an effective and efficient sales force and network. Also, the company has three branch offices situated in Taipei County, Taichung City, and Kaohsiung City. The company strives to achieve product excellence, innovation, and superior quality. It caters its products in order to meet customer's needs and attain user satisfaction. Also, the company aims to provide a cleaner and safer living environment.</v>
          </cell>
          <cell r="O107" t="str">
            <v>Manufacturing; Wholesale</v>
          </cell>
          <cell r="P107" t="str">
            <v>www.maobao.com.tw</v>
          </cell>
          <cell r="R107" t="str">
            <v>Taiwan, China</v>
          </cell>
          <cell r="S107" t="str">
            <v>1732</v>
          </cell>
          <cell r="T107" t="str">
            <v>B-</v>
          </cell>
          <cell r="U107" t="str">
            <v>2844</v>
          </cell>
          <cell r="V107" t="str">
            <v>Engaged in processing, manufacture, distribution and marketing of cleansing products</v>
          </cell>
          <cell r="W107" t="str">
            <v>The Company mainly engaged in the processing, manufacturing, sales and import and export trading of cleaning products. The Company's main products include laundry detergents, such as laundry concentrates, collar detergents and softeners; household cleaning products, such as glass, kitchens, as well as bathrooms and floor cleaning products; viscose sponge products, such as gloves, mops and towels; personal care products, such as shower creams, hand sanitizers and shampoos. The Company mainly distributes its products in domestic and overseas markets.</v>
          </cell>
          <cell r="Z107" t="str">
            <v>TW34245356</v>
          </cell>
          <cell r="AA107">
            <v>587872000</v>
          </cell>
          <cell r="AB107">
            <v>622539000</v>
          </cell>
          <cell r="AC107">
            <v>622858000</v>
          </cell>
          <cell r="AD107">
            <v>596678000</v>
          </cell>
          <cell r="AE107">
            <v>587101000</v>
          </cell>
          <cell r="AF107">
            <v>619352000</v>
          </cell>
          <cell r="AG107">
            <v>620713000</v>
          </cell>
          <cell r="AH107">
            <v>596066000</v>
          </cell>
          <cell r="AI107" t="str">
            <v>n.a.</v>
          </cell>
          <cell r="AJ107" t="str">
            <v>n.a.</v>
          </cell>
          <cell r="AK107" t="str">
            <v>n.a.</v>
          </cell>
          <cell r="AL107" t="str">
            <v>n.a.</v>
          </cell>
          <cell r="AM107">
            <v>587101000</v>
          </cell>
          <cell r="AN107">
            <v>619352000</v>
          </cell>
          <cell r="AO107">
            <v>620713000</v>
          </cell>
          <cell r="AP107">
            <v>596066000</v>
          </cell>
          <cell r="AQ107">
            <v>771000</v>
          </cell>
          <cell r="AR107">
            <v>3187000</v>
          </cell>
          <cell r="AS107">
            <v>2145000</v>
          </cell>
          <cell r="AT107">
            <v>612000</v>
          </cell>
          <cell r="AU107">
            <v>-351614000</v>
          </cell>
          <cell r="AV107">
            <v>-361567000</v>
          </cell>
          <cell r="AW107">
            <v>-331746000</v>
          </cell>
          <cell r="AX107">
            <v>-322418000</v>
          </cell>
          <cell r="AY107">
            <v>-6107000</v>
          </cell>
          <cell r="AZ107">
            <v>-4292000</v>
          </cell>
          <cell r="BA107">
            <v>-6925000</v>
          </cell>
          <cell r="BB107">
            <v>-4425000</v>
          </cell>
          <cell r="BC107">
            <v>-220168000</v>
          </cell>
          <cell r="BD107">
            <v>-224405000</v>
          </cell>
          <cell r="BE107">
            <v>-225618000</v>
          </cell>
          <cell r="BF107">
            <v>-230556000</v>
          </cell>
          <cell r="BG107">
            <v>9983000</v>
          </cell>
          <cell r="BH107">
            <v>32275000</v>
          </cell>
          <cell r="BI107">
            <v>58569000</v>
          </cell>
          <cell r="BJ107">
            <v>39279000</v>
          </cell>
          <cell r="BK107">
            <v>-12943000</v>
          </cell>
          <cell r="BL107">
            <v>-11759000</v>
          </cell>
          <cell r="BM107">
            <v>-9719000</v>
          </cell>
          <cell r="BN107">
            <v>-9734000</v>
          </cell>
          <cell r="BO107">
            <v>-12171000</v>
          </cell>
          <cell r="BP107">
            <v>-11006000</v>
          </cell>
          <cell r="BQ107">
            <v>-8888000</v>
          </cell>
          <cell r="BR107">
            <v>-9022000</v>
          </cell>
          <cell r="BS107">
            <v>-772000</v>
          </cell>
          <cell r="BT107">
            <v>-753000</v>
          </cell>
          <cell r="BU107">
            <v>-831000</v>
          </cell>
          <cell r="BV107">
            <v>-712000</v>
          </cell>
          <cell r="BW107">
            <v>5167000</v>
          </cell>
          <cell r="BX107">
            <v>19409000</v>
          </cell>
          <cell r="BY107">
            <v>38595000</v>
          </cell>
          <cell r="BZ107">
            <v>24858000</v>
          </cell>
          <cell r="CA107">
            <v>427953000</v>
          </cell>
          <cell r="CB107">
            <v>456183000</v>
          </cell>
          <cell r="CC107">
            <v>437452000</v>
          </cell>
          <cell r="CD107">
            <v>376327000</v>
          </cell>
          <cell r="CE107">
            <v>106189000</v>
          </cell>
          <cell r="CF107">
            <v>118358000</v>
          </cell>
          <cell r="CG107">
            <v>113013000</v>
          </cell>
          <cell r="CH107">
            <v>97573000</v>
          </cell>
          <cell r="CI107">
            <v>86398000</v>
          </cell>
          <cell r="CJ107">
            <v>104953000</v>
          </cell>
          <cell r="CK107">
            <v>98548000</v>
          </cell>
          <cell r="CL107">
            <v>95039000</v>
          </cell>
          <cell r="CM107">
            <v>16112000</v>
          </cell>
          <cell r="CN107">
            <v>12142000</v>
          </cell>
          <cell r="CO107">
            <v>12811000</v>
          </cell>
          <cell r="CP107">
            <v>10995000</v>
          </cell>
          <cell r="CQ107">
            <v>219254000</v>
          </cell>
          <cell r="CR107">
            <v>220730000</v>
          </cell>
          <cell r="CS107">
            <v>213080000</v>
          </cell>
          <cell r="CT107">
            <v>172720000</v>
          </cell>
          <cell r="CU107">
            <v>89999000</v>
          </cell>
          <cell r="CV107">
            <v>55360000</v>
          </cell>
          <cell r="CW107">
            <v>14240000</v>
          </cell>
          <cell r="CX107">
            <v>0</v>
          </cell>
          <cell r="CY107" t="str">
            <v>n.a.</v>
          </cell>
          <cell r="CZ107" t="str">
            <v>n.a.</v>
          </cell>
          <cell r="DA107" t="str">
            <v>n.a.</v>
          </cell>
          <cell r="DB107" t="str">
            <v>n.a.</v>
          </cell>
          <cell r="DC107">
            <v>654088000</v>
          </cell>
          <cell r="DD107">
            <v>669827000</v>
          </cell>
          <cell r="DE107">
            <v>650622000</v>
          </cell>
          <cell r="DF107">
            <v>595720000</v>
          </cell>
          <cell r="DG107">
            <v>587101000</v>
          </cell>
          <cell r="DH107">
            <v>-351614000</v>
          </cell>
          <cell r="DI107">
            <v>-226275000</v>
          </cell>
          <cell r="DJ107">
            <v>-12943000</v>
          </cell>
          <cell r="DK107">
            <v>-3731000</v>
          </cell>
          <cell r="DL107">
            <v>-6.3549542582962701E-3</v>
          </cell>
          <cell r="DM107">
            <v>-6.3148238416334901E-3</v>
          </cell>
          <cell r="DN107">
            <v>-6107000</v>
          </cell>
          <cell r="DO107">
            <v>112273500</v>
          </cell>
          <cell r="DP107" t="e">
            <v>#VALUE!</v>
          </cell>
          <cell r="DR107">
            <v>619352000</v>
          </cell>
          <cell r="DS107">
            <v>-361567000</v>
          </cell>
          <cell r="DT107">
            <v>-228697000</v>
          </cell>
          <cell r="DU107">
            <v>-11759000</v>
          </cell>
          <cell r="DV107">
            <v>17329000</v>
          </cell>
          <cell r="DW107">
            <v>2.7979242821529599E-2</v>
          </cell>
          <cell r="DX107">
            <v>2.87846145413049E-2</v>
          </cell>
          <cell r="DY107">
            <v>-4292000</v>
          </cell>
          <cell r="DZ107">
            <v>115685500</v>
          </cell>
          <cell r="EA107" t="e">
            <v>#VALUE!</v>
          </cell>
          <cell r="EC107">
            <v>620713000</v>
          </cell>
          <cell r="ED107">
            <v>-331746000</v>
          </cell>
          <cell r="EE107">
            <v>-232543000</v>
          </cell>
          <cell r="EF107">
            <v>-9719000</v>
          </cell>
          <cell r="EG107">
            <v>46705000</v>
          </cell>
          <cell r="EH107">
            <v>7.5244114429696196E-2</v>
          </cell>
          <cell r="EI107">
            <v>8.1366461791473305E-2</v>
          </cell>
          <cell r="EJ107">
            <v>-6925000</v>
          </cell>
          <cell r="EK107">
            <v>105293000</v>
          </cell>
          <cell r="EL107" t="e">
            <v>#VALUE!</v>
          </cell>
          <cell r="EN107">
            <v>609055333.33333302</v>
          </cell>
          <cell r="EO107">
            <v>-348309000</v>
          </cell>
          <cell r="EP107">
            <v>-229171666.66666701</v>
          </cell>
          <cell r="EQ107">
            <v>-11473666.6666667</v>
          </cell>
          <cell r="ER107">
            <v>20101000.000000101</v>
          </cell>
          <cell r="ES107">
            <v>3.3003569462216401E-2</v>
          </cell>
          <cell r="ET107">
            <v>3.41299806493204E-2</v>
          </cell>
        </row>
        <row r="108">
          <cell r="B108" t="str">
            <v>PT MUSTIKA RATU TBK</v>
          </cell>
          <cell r="C108" t="str">
            <v>exclude</v>
          </cell>
          <cell r="D108" t="str">
            <v>Independence(A+, A, A-, U)</v>
          </cell>
          <cell r="H108" t="str">
            <v/>
          </cell>
          <cell r="J108" t="str">
            <v>exclude</v>
          </cell>
          <cell r="K108" t="str">
            <v>Independence(A+, A, A-, U)</v>
          </cell>
          <cell r="M108" t="str">
            <v>PT MUSTIKA RATU TBK</v>
          </cell>
          <cell r="N108" t="str">
            <v>This company is engaged in the manufacture, trade and distribution of herbal-based and natural cosmetics, and herbal drinks. It was established in 1975. The company is headquartered in Jakarta, Indonesia.It offers various beauty products which include hair care, facial care, body care, basic make up, and beauty supplements. The company's factory is situated in Jalan Raya Bogor, East Jakarta, Indonesia. It markets its products to Malaysia, Brunei, Singapore, Hong Kong, Japan, Saudi Arabia, Nigeria, Czech Republic, Russia, and Papua New Guinea.It is the leader in the industry of Jamu (herbal) and natural-based cosmetics in Indonesia. It aims to be a leading company in manufacturing traditional cosmetics and herbal, whose products are distributed widely in both domestic and international market.</v>
          </cell>
          <cell r="O108" t="str">
            <v>Manufacturing; Wholesale</v>
          </cell>
          <cell r="P108" t="str">
            <v>www.mustika-ratu.com</v>
          </cell>
          <cell r="R108" t="str">
            <v>Indonesia</v>
          </cell>
          <cell r="S108" t="str">
            <v>MRAT</v>
          </cell>
          <cell r="T108" t="str">
            <v>D</v>
          </cell>
          <cell r="U108" t="str">
            <v>2844</v>
          </cell>
          <cell r="V108" t="str">
            <v>Engaged in the manufacture, trade and distribution of herbal-based and natural cosmetics, and herbal drinks</v>
          </cell>
          <cell r="W108" t="str">
            <v>The scope of its activities comprise manufacturing, trading and distribution of herbal and traditional cosmetics, health drinks and other related activities.</v>
          </cell>
          <cell r="Z108" t="str">
            <v>ID30273FD</v>
          </cell>
          <cell r="AA108">
            <v>285382321000</v>
          </cell>
          <cell r="AB108">
            <v>327784914000</v>
          </cell>
          <cell r="AC108">
            <v>319864487000</v>
          </cell>
          <cell r="AD108">
            <v>306216034000</v>
          </cell>
          <cell r="AE108">
            <v>358776499000</v>
          </cell>
          <cell r="AF108">
            <v>413471184000</v>
          </cell>
          <cell r="AG108">
            <v>439381137000</v>
          </cell>
          <cell r="AH108">
            <v>418930089000</v>
          </cell>
          <cell r="AI108">
            <v>-73598932000</v>
          </cell>
          <cell r="AJ108">
            <v>-86676613000</v>
          </cell>
          <cell r="AK108">
            <v>-120972638000</v>
          </cell>
          <cell r="AL108">
            <v>-113705511000</v>
          </cell>
          <cell r="AM108">
            <v>285177567000</v>
          </cell>
          <cell r="AN108">
            <v>326794571000</v>
          </cell>
          <cell r="AO108">
            <v>318408499000</v>
          </cell>
          <cell r="AP108">
            <v>305224578000</v>
          </cell>
          <cell r="AQ108">
            <v>204754000</v>
          </cell>
          <cell r="AR108">
            <v>990343000</v>
          </cell>
          <cell r="AS108">
            <v>1455988000</v>
          </cell>
          <cell r="AT108">
            <v>991456000</v>
          </cell>
          <cell r="AU108">
            <v>-146157612000</v>
          </cell>
          <cell r="AV108">
            <v>-127124044000</v>
          </cell>
          <cell r="AW108">
            <v>-110887826000</v>
          </cell>
          <cell r="AX108">
            <v>-117616997000</v>
          </cell>
          <cell r="AY108">
            <v>0</v>
          </cell>
          <cell r="AZ108">
            <v>0</v>
          </cell>
          <cell r="BA108">
            <v>0</v>
          </cell>
          <cell r="BB108">
            <v>0</v>
          </cell>
          <cell r="BC108">
            <v>-198035576000</v>
          </cell>
          <cell r="BD108">
            <v>-156995036000</v>
          </cell>
          <cell r="BE108">
            <v>-188336409000</v>
          </cell>
          <cell r="BF108">
            <v>-172330601000</v>
          </cell>
          <cell r="BG108">
            <v>-58810867000</v>
          </cell>
          <cell r="BH108">
            <v>43665834000</v>
          </cell>
          <cell r="BI108">
            <v>20640252000</v>
          </cell>
          <cell r="BJ108">
            <v>16268436000</v>
          </cell>
          <cell r="BK108">
            <v>-4768504000</v>
          </cell>
          <cell r="BL108">
            <v>-5730571000</v>
          </cell>
          <cell r="BM108">
            <v>-5525576000</v>
          </cell>
          <cell r="BN108">
            <v>-6197966000</v>
          </cell>
          <cell r="BO108">
            <v>-4768504000</v>
          </cell>
          <cell r="BP108">
            <v>-5730571000</v>
          </cell>
          <cell r="BQ108">
            <v>-5525576000</v>
          </cell>
          <cell r="BR108">
            <v>-6197966000</v>
          </cell>
          <cell r="BS108">
            <v>0</v>
          </cell>
          <cell r="BT108">
            <v>0</v>
          </cell>
          <cell r="BU108">
            <v>0</v>
          </cell>
          <cell r="BV108">
            <v>0</v>
          </cell>
          <cell r="BW108">
            <v>67833011000</v>
          </cell>
          <cell r="BX108">
            <v>358127000</v>
          </cell>
          <cell r="BY108">
            <v>-6766210000</v>
          </cell>
          <cell r="BZ108">
            <v>131182000</v>
          </cell>
          <cell r="CA108">
            <v>586852139000</v>
          </cell>
          <cell r="CB108">
            <v>459338630000</v>
          </cell>
          <cell r="CC108">
            <v>432576455000</v>
          </cell>
          <cell r="CD108">
            <v>412707718000</v>
          </cell>
          <cell r="CE108">
            <v>206648966000</v>
          </cell>
          <cell r="CF108">
            <v>190870626000</v>
          </cell>
          <cell r="CG108">
            <v>146622902000</v>
          </cell>
          <cell r="CH108">
            <v>128353150000</v>
          </cell>
          <cell r="CI108">
            <v>166316482000</v>
          </cell>
          <cell r="CJ108">
            <v>212825582000</v>
          </cell>
          <cell r="CK108">
            <v>215136542000</v>
          </cell>
          <cell r="CL108">
            <v>214230985000</v>
          </cell>
          <cell r="CM108">
            <v>10579327000</v>
          </cell>
          <cell r="CN108">
            <v>12994706000</v>
          </cell>
          <cell r="CO108">
            <v>20631043000</v>
          </cell>
          <cell r="CP108">
            <v>22174549000</v>
          </cell>
          <cell r="CQ108">
            <v>177143354000</v>
          </cell>
          <cell r="CR108">
            <v>8693405000</v>
          </cell>
          <cell r="CS108">
            <v>11695695000</v>
          </cell>
          <cell r="CT108">
            <v>10099506000</v>
          </cell>
          <cell r="CU108" t="str">
            <v>n.a.</v>
          </cell>
          <cell r="CV108" t="str">
            <v>n.a.</v>
          </cell>
          <cell r="CW108" t="str">
            <v>n.a.</v>
          </cell>
          <cell r="CX108" t="str">
            <v>n.a.</v>
          </cell>
          <cell r="CY108">
            <v>45471198000</v>
          </cell>
          <cell r="CZ108">
            <v>45106339000</v>
          </cell>
          <cell r="DA108">
            <v>44037927000</v>
          </cell>
          <cell r="DB108">
            <v>42558911000</v>
          </cell>
          <cell r="DC108">
            <v>694780598000</v>
          </cell>
          <cell r="DD108">
            <v>578260976000</v>
          </cell>
          <cell r="DE108">
            <v>559795937000</v>
          </cell>
          <cell r="DF108">
            <v>532762948000</v>
          </cell>
          <cell r="DG108">
            <v>285177567000</v>
          </cell>
          <cell r="DH108">
            <v>-146157612000</v>
          </cell>
          <cell r="DI108">
            <v>-198035576000</v>
          </cell>
          <cell r="DJ108">
            <v>-4768504000</v>
          </cell>
          <cell r="DK108">
            <v>-63784125000</v>
          </cell>
          <cell r="DL108">
            <v>-0.22366459490833701</v>
          </cell>
          <cell r="DM108">
            <v>-0.18278259895644899</v>
          </cell>
          <cell r="DN108">
            <v>0</v>
          </cell>
          <cell r="DO108">
            <v>198759796000</v>
          </cell>
          <cell r="DP108">
            <v>45288768500</v>
          </cell>
          <cell r="DR108">
            <v>326794571000</v>
          </cell>
          <cell r="DS108">
            <v>-127124044000</v>
          </cell>
          <cell r="DT108">
            <v>-156995036000</v>
          </cell>
          <cell r="DU108">
            <v>-5730571000</v>
          </cell>
          <cell r="DV108">
            <v>36944920000</v>
          </cell>
          <cell r="DW108">
            <v>0.113052428891176</v>
          </cell>
          <cell r="DX108">
            <v>0.12746235806231801</v>
          </cell>
          <cell r="DY108">
            <v>0</v>
          </cell>
          <cell r="DZ108">
            <v>168746764000</v>
          </cell>
          <cell r="EA108">
            <v>44572133000</v>
          </cell>
          <cell r="EC108">
            <v>318408499000</v>
          </cell>
          <cell r="ED108">
            <v>-110887826000</v>
          </cell>
          <cell r="EE108">
            <v>-188336409000</v>
          </cell>
          <cell r="EF108">
            <v>-5525576000</v>
          </cell>
          <cell r="EG108">
            <v>13658688000</v>
          </cell>
          <cell r="EH108">
            <v>4.2896744411335598E-2</v>
          </cell>
          <cell r="EI108">
            <v>4.4819348550801899E-2</v>
          </cell>
          <cell r="EJ108">
            <v>0</v>
          </cell>
          <cell r="EK108">
            <v>137488026000</v>
          </cell>
          <cell r="EL108">
            <v>43298419000</v>
          </cell>
          <cell r="EN108">
            <v>310126879000</v>
          </cell>
          <cell r="EO108">
            <v>-128056494000</v>
          </cell>
          <cell r="EP108">
            <v>-181122340333.33301</v>
          </cell>
          <cell r="EQ108">
            <v>-5341550333.3333302</v>
          </cell>
          <cell r="ER108">
            <v>-4393505666.6666803</v>
          </cell>
          <cell r="ES108">
            <v>-1.41668006360283E-2</v>
          </cell>
          <cell r="ET108">
            <v>-1.3968905930606E-2</v>
          </cell>
        </row>
        <row r="109">
          <cell r="B109" t="str">
            <v>FUJIAN JUNJIE NEW MATERIAL TECHNOLOGY CO., LTD.</v>
          </cell>
          <cell r="C109" t="str">
            <v>exclude</v>
          </cell>
          <cell r="D109" t="str">
            <v>Independence(A+, A, A-, U)</v>
          </cell>
          <cell r="H109" t="str">
            <v/>
          </cell>
          <cell r="J109" t="str">
            <v>exclude</v>
          </cell>
          <cell r="K109" t="str">
            <v>Independence(A+, A, A-, U)</v>
          </cell>
          <cell r="M109" t="str">
            <v>FUJIAN JUNJIE NEW MATERIAL TECHNOLOGY CO., LTD.</v>
          </cell>
          <cell r="N109" t="str">
            <v>This company is primarily engaged in the manufacture of ceramic sanitary fixtures. It was founded in 1995 and has its registered business office located in Ningde, Fujian, China. The company specialises in the production of sanitary appliances inlcuding enamel steel bathtubs, shower trays and stainless steel sinks, among others. It is also involved in shaping, molding, glazing, and firing pottery, ceramics, and plumbing fixtures made entirely or partly of clay or other ceramic materials.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09" t="str">
            <v>Manufacturing</v>
          </cell>
          <cell r="R109" t="str">
            <v>China</v>
          </cell>
          <cell r="S109" t="str">
            <v>872721</v>
          </cell>
          <cell r="T109" t="str">
            <v>B+</v>
          </cell>
          <cell r="U109" t="str">
            <v>2842</v>
          </cell>
          <cell r="V109" t="str">
            <v>Engaged in the manufacture of ceramic sanitary fixtures</v>
          </cell>
          <cell r="W109" t="str">
            <v>The Company is mainly engaged in the development, production and sales of special ceramic products. The product series include
Eight series of combined honeycomb ceramics, layered honeycomb ceramics, slot honeycomb ceramics, ordinary honeycomb ceramics, hexagonal honeycomb ceramics, corrugated honeycomb ceramics, bulk ceramic fillers, ceramic fracturing proppants, etc.</v>
          </cell>
          <cell r="Z109" t="str">
            <v>CN52991PC</v>
          </cell>
          <cell r="AA109">
            <v>126618000</v>
          </cell>
          <cell r="AB109">
            <v>115241000</v>
          </cell>
          <cell r="AC109">
            <v>85995000</v>
          </cell>
          <cell r="AD109">
            <v>82199000</v>
          </cell>
          <cell r="AE109">
            <v>121910000</v>
          </cell>
          <cell r="AF109">
            <v>114131000</v>
          </cell>
          <cell r="AG109">
            <v>85585000</v>
          </cell>
          <cell r="AH109">
            <v>81837000</v>
          </cell>
          <cell r="AI109">
            <v>-1003000</v>
          </cell>
          <cell r="AJ109">
            <v>-789000</v>
          </cell>
          <cell r="AK109">
            <v>-365000</v>
          </cell>
          <cell r="AL109">
            <v>-463000</v>
          </cell>
          <cell r="AM109">
            <v>120907000</v>
          </cell>
          <cell r="AN109">
            <v>113342000</v>
          </cell>
          <cell r="AO109">
            <v>85220000</v>
          </cell>
          <cell r="AP109">
            <v>81374000</v>
          </cell>
          <cell r="AQ109">
            <v>5711000</v>
          </cell>
          <cell r="AR109">
            <v>1899000</v>
          </cell>
          <cell r="AS109">
            <v>775000</v>
          </cell>
          <cell r="AT109">
            <v>825000</v>
          </cell>
          <cell r="AU109">
            <v>-73404000</v>
          </cell>
          <cell r="AV109">
            <v>-67180000</v>
          </cell>
          <cell r="AW109">
            <v>-46850000</v>
          </cell>
          <cell r="AX109">
            <v>-40857000</v>
          </cell>
          <cell r="AY109" t="str">
            <v>n.a.</v>
          </cell>
          <cell r="AZ109" t="str">
            <v>n.a.</v>
          </cell>
          <cell r="BA109" t="str">
            <v>n.a.</v>
          </cell>
          <cell r="BB109" t="str">
            <v>n.a.</v>
          </cell>
          <cell r="BC109">
            <v>-25936000</v>
          </cell>
          <cell r="BD109">
            <v>-21660000</v>
          </cell>
          <cell r="BE109">
            <v>-22380000</v>
          </cell>
          <cell r="BF109">
            <v>-20459000</v>
          </cell>
          <cell r="BG109">
            <v>27278000</v>
          </cell>
          <cell r="BH109">
            <v>26401000</v>
          </cell>
          <cell r="BI109">
            <v>16765000</v>
          </cell>
          <cell r="BJ109">
            <v>20883000</v>
          </cell>
          <cell r="BK109">
            <v>-7941000</v>
          </cell>
          <cell r="BL109">
            <v>-7153000</v>
          </cell>
          <cell r="BM109">
            <v>-7046000</v>
          </cell>
          <cell r="BN109">
            <v>-6463000</v>
          </cell>
          <cell r="BO109">
            <v>-5906000</v>
          </cell>
          <cell r="BP109">
            <v>-5829000</v>
          </cell>
          <cell r="BQ109">
            <v>-5722000</v>
          </cell>
          <cell r="BR109">
            <v>-5139000</v>
          </cell>
          <cell r="BS109">
            <v>-2035000</v>
          </cell>
          <cell r="BT109">
            <v>-1324000</v>
          </cell>
          <cell r="BU109">
            <v>-1324000</v>
          </cell>
          <cell r="BV109">
            <v>-1324000</v>
          </cell>
          <cell r="BW109">
            <v>28144000</v>
          </cell>
          <cell r="BX109">
            <v>14264000</v>
          </cell>
          <cell r="BY109">
            <v>5340000</v>
          </cell>
          <cell r="BZ109">
            <v>11497000</v>
          </cell>
          <cell r="CA109">
            <v>132941000</v>
          </cell>
          <cell r="CB109">
            <v>107406000</v>
          </cell>
          <cell r="CC109">
            <v>89100000</v>
          </cell>
          <cell r="CD109">
            <v>65418000</v>
          </cell>
          <cell r="CE109">
            <v>38029000</v>
          </cell>
          <cell r="CF109">
            <v>35639000</v>
          </cell>
          <cell r="CG109">
            <v>30634000</v>
          </cell>
          <cell r="CH109">
            <v>27717000</v>
          </cell>
          <cell r="CI109">
            <v>60631000</v>
          </cell>
          <cell r="CJ109">
            <v>47516000</v>
          </cell>
          <cell r="CK109">
            <v>38531000</v>
          </cell>
          <cell r="CL109">
            <v>29335000</v>
          </cell>
          <cell r="CM109">
            <v>24042000</v>
          </cell>
          <cell r="CN109">
            <v>18876000</v>
          </cell>
          <cell r="CO109">
            <v>4579000</v>
          </cell>
          <cell r="CP109">
            <v>6068000</v>
          </cell>
          <cell r="CQ109">
            <v>9377000</v>
          </cell>
          <cell r="CR109">
            <v>3081000</v>
          </cell>
          <cell r="CS109">
            <v>13504000</v>
          </cell>
          <cell r="CT109">
            <v>523000</v>
          </cell>
          <cell r="CU109" t="str">
            <v>n.a.</v>
          </cell>
          <cell r="CV109" t="str">
            <v>n.a.</v>
          </cell>
          <cell r="CW109" t="str">
            <v>n.a.</v>
          </cell>
          <cell r="CX109">
            <v>0</v>
          </cell>
          <cell r="CY109">
            <v>8627000</v>
          </cell>
          <cell r="CZ109">
            <v>41574000</v>
          </cell>
          <cell r="DA109">
            <v>29605000</v>
          </cell>
          <cell r="DB109">
            <v>9075000</v>
          </cell>
          <cell r="DC109">
            <v>271702000</v>
          </cell>
          <cell r="DD109">
            <v>248926000</v>
          </cell>
          <cell r="DE109">
            <v>224789000</v>
          </cell>
          <cell r="DF109">
            <v>183858000</v>
          </cell>
          <cell r="DG109">
            <v>120907000</v>
          </cell>
          <cell r="DH109">
            <v>-73404000</v>
          </cell>
          <cell r="DI109">
            <v>-25936000</v>
          </cell>
          <cell r="DJ109">
            <v>-7941000</v>
          </cell>
          <cell r="DK109">
            <v>13626000</v>
          </cell>
          <cell r="DL109">
            <v>0.112698189517563</v>
          </cell>
          <cell r="DM109">
            <v>0.12701223888666199</v>
          </cell>
          <cell r="DN109" t="str">
            <v>n.a.</v>
          </cell>
          <cell r="DO109">
            <v>36834000</v>
          </cell>
          <cell r="DP109">
            <v>25100500</v>
          </cell>
          <cell r="DR109">
            <v>113342000</v>
          </cell>
          <cell r="DS109">
            <v>-67180000</v>
          </cell>
          <cell r="DT109">
            <v>-21660000</v>
          </cell>
          <cell r="DU109">
            <v>-7153000</v>
          </cell>
          <cell r="DV109">
            <v>17349000</v>
          </cell>
          <cell r="DW109">
            <v>0.153067706587143</v>
          </cell>
          <cell r="DX109">
            <v>0.180731928369777</v>
          </cell>
          <cell r="DY109" t="str">
            <v>n.a.</v>
          </cell>
          <cell r="DZ109">
            <v>33136500</v>
          </cell>
          <cell r="EA109">
            <v>35589500</v>
          </cell>
          <cell r="EC109">
            <v>85220000</v>
          </cell>
          <cell r="ED109">
            <v>-46850000</v>
          </cell>
          <cell r="EE109">
            <v>-22380000</v>
          </cell>
          <cell r="EF109">
            <v>-7046000</v>
          </cell>
          <cell r="EG109">
            <v>8944000</v>
          </cell>
          <cell r="EH109">
            <v>0.104951889227881</v>
          </cell>
          <cell r="EI109">
            <v>0.11725837747128801</v>
          </cell>
          <cell r="EJ109" t="str">
            <v>n.a.</v>
          </cell>
          <cell r="EK109">
            <v>29175500</v>
          </cell>
          <cell r="EL109">
            <v>19340000</v>
          </cell>
          <cell r="EN109">
            <v>106489666.666667</v>
          </cell>
          <cell r="EO109">
            <v>-62478000</v>
          </cell>
          <cell r="EP109">
            <v>-23325333.333333299</v>
          </cell>
          <cell r="EQ109">
            <v>-7380000</v>
          </cell>
          <cell r="ER109">
            <v>13306333.3333333</v>
          </cell>
          <cell r="ES109">
            <v>0.124954220910323</v>
          </cell>
          <cell r="ET109">
            <v>0.14279735288857101</v>
          </cell>
        </row>
        <row r="110">
          <cell r="B110" t="str">
            <v>ANHUI QI JIA DETERGENT PRODUCTS CO.,LTD.</v>
          </cell>
          <cell r="C110" t="str">
            <v>exclude</v>
          </cell>
          <cell r="D110" t="str">
            <v>Independence(A+, A, A-, U)</v>
          </cell>
          <cell r="H110" t="str">
            <v/>
          </cell>
          <cell r="J110" t="str">
            <v>exclude</v>
          </cell>
          <cell r="K110" t="str">
            <v>Independence(A+, A, A-, U)</v>
          </cell>
          <cell r="M110" t="str">
            <v>ANHUI QI JIA DETERGENT PRODUCTS CO.,LTD.</v>
          </cell>
          <cell r="N110" t="str">
            <v>This company is engaged in the manufacture and sale of cleaning products, soap and other detergents. The company was incorporated in 2001. Its registered business office is based in Huaibei, China.The company's business activities include the manufacture and sale of soap, synthetic organic detergents, and inorganic alkaline detergents. It is also involved in the manufacture of specialty cleaning, polishing and sanitation preparations.</v>
          </cell>
          <cell r="O110" t="str">
            <v>Manufacturing</v>
          </cell>
          <cell r="R110" t="str">
            <v>China</v>
          </cell>
          <cell r="S110" t="str">
            <v>838865</v>
          </cell>
          <cell r="T110" t="str">
            <v>D</v>
          </cell>
          <cell r="U110" t="str">
            <v>2844</v>
          </cell>
          <cell r="V110" t="str">
            <v>Engaged in the manufacture and sale of cleaning products, soap and other detergents</v>
          </cell>
          <cell r="W110" t="str">
            <v>The Company is mainly engaged in the research and development, production and sales of household washing products.</v>
          </cell>
          <cell r="Z110" t="str">
            <v>CN52355PC</v>
          </cell>
          <cell r="AA110" t="str">
            <v>n.a.</v>
          </cell>
          <cell r="AB110">
            <v>121012000</v>
          </cell>
          <cell r="AC110">
            <v>133074000</v>
          </cell>
          <cell r="AD110">
            <v>115562000</v>
          </cell>
          <cell r="AE110" t="str">
            <v>n.a.</v>
          </cell>
          <cell r="AF110">
            <v>121060000</v>
          </cell>
          <cell r="AG110">
            <v>132466000</v>
          </cell>
          <cell r="AH110">
            <v>115370000</v>
          </cell>
          <cell r="AI110" t="str">
            <v>n.a.</v>
          </cell>
          <cell r="AJ110">
            <v>-746000</v>
          </cell>
          <cell r="AK110">
            <v>-841000</v>
          </cell>
          <cell r="AL110">
            <v>-851000</v>
          </cell>
          <cell r="AM110" t="str">
            <v>n.a.</v>
          </cell>
          <cell r="AN110">
            <v>120314000</v>
          </cell>
          <cell r="AO110">
            <v>131625000</v>
          </cell>
          <cell r="AP110">
            <v>114519000</v>
          </cell>
          <cell r="AQ110" t="str">
            <v>n.a.</v>
          </cell>
          <cell r="AR110">
            <v>698000</v>
          </cell>
          <cell r="AS110">
            <v>1449000</v>
          </cell>
          <cell r="AT110">
            <v>1043000</v>
          </cell>
          <cell r="AU110" t="str">
            <v>n.a.</v>
          </cell>
          <cell r="AV110">
            <v>-111924000</v>
          </cell>
          <cell r="AW110">
            <v>-110045000</v>
          </cell>
          <cell r="AX110">
            <v>-100903000</v>
          </cell>
          <cell r="AY110" t="str">
            <v>n.a.</v>
          </cell>
          <cell r="AZ110" t="str">
            <v>n.a.</v>
          </cell>
          <cell r="BA110" t="str">
            <v>n.a.</v>
          </cell>
          <cell r="BB110" t="str">
            <v>n.a.</v>
          </cell>
          <cell r="BC110" t="str">
            <v>n.a.</v>
          </cell>
          <cell r="BD110">
            <v>-10843000</v>
          </cell>
          <cell r="BE110">
            <v>-12167000</v>
          </cell>
          <cell r="BF110">
            <v>-12111000</v>
          </cell>
          <cell r="BG110" t="str">
            <v>n.a.</v>
          </cell>
          <cell r="BH110">
            <v>-1755000</v>
          </cell>
          <cell r="BI110">
            <v>10862000</v>
          </cell>
          <cell r="BJ110">
            <v>2548000</v>
          </cell>
          <cell r="BK110" t="str">
            <v>n.a.</v>
          </cell>
          <cell r="BL110">
            <v>-5862000</v>
          </cell>
          <cell r="BM110">
            <v>-6302000</v>
          </cell>
          <cell r="BN110">
            <v>-5806000</v>
          </cell>
          <cell r="BO110" t="str">
            <v>n.a.</v>
          </cell>
          <cell r="BP110">
            <v>-5230000</v>
          </cell>
          <cell r="BQ110">
            <v>-5670000</v>
          </cell>
          <cell r="BR110">
            <v>-5174000</v>
          </cell>
          <cell r="BS110" t="str">
            <v>n.a.</v>
          </cell>
          <cell r="BT110">
            <v>-632000</v>
          </cell>
          <cell r="BU110">
            <v>-632000</v>
          </cell>
          <cell r="BV110">
            <v>-632000</v>
          </cell>
          <cell r="BW110" t="str">
            <v>n.a.</v>
          </cell>
          <cell r="BX110">
            <v>-14722000</v>
          </cell>
          <cell r="BY110">
            <v>1542000</v>
          </cell>
          <cell r="BZ110">
            <v>-16929000</v>
          </cell>
          <cell r="CA110" t="str">
            <v>n.a.</v>
          </cell>
          <cell r="CB110">
            <v>57483000</v>
          </cell>
          <cell r="CC110">
            <v>58114000</v>
          </cell>
          <cell r="CD110">
            <v>36851000</v>
          </cell>
          <cell r="CE110" t="str">
            <v>n.a.</v>
          </cell>
          <cell r="CF110">
            <v>25496000</v>
          </cell>
          <cell r="CG110">
            <v>27763000</v>
          </cell>
          <cell r="CH110">
            <v>15708000</v>
          </cell>
          <cell r="CI110" t="str">
            <v>n.a.</v>
          </cell>
          <cell r="CJ110">
            <v>18298000</v>
          </cell>
          <cell r="CK110">
            <v>18698000</v>
          </cell>
          <cell r="CL110">
            <v>14377000</v>
          </cell>
          <cell r="CM110" t="str">
            <v>n.a.</v>
          </cell>
          <cell r="CN110">
            <v>584000</v>
          </cell>
          <cell r="CO110">
            <v>435000</v>
          </cell>
          <cell r="CP110">
            <v>585000</v>
          </cell>
          <cell r="CQ110" t="str">
            <v>n.a.</v>
          </cell>
          <cell r="CR110">
            <v>10453000</v>
          </cell>
          <cell r="CS110">
            <v>4679000</v>
          </cell>
          <cell r="CT110">
            <v>374000</v>
          </cell>
          <cell r="CU110" t="str">
            <v>n.a.</v>
          </cell>
          <cell r="CV110">
            <v>1200000</v>
          </cell>
          <cell r="CW110" t="str">
            <v>n.a.</v>
          </cell>
          <cell r="CX110" t="str">
            <v>n.a.</v>
          </cell>
          <cell r="CY110" t="str">
            <v>n.a.</v>
          </cell>
          <cell r="CZ110">
            <v>4600000</v>
          </cell>
          <cell r="DA110">
            <v>2995000</v>
          </cell>
          <cell r="DB110">
            <v>1992000</v>
          </cell>
          <cell r="DC110" t="str">
            <v>n.a.</v>
          </cell>
          <cell r="DD110">
            <v>161006000</v>
          </cell>
          <cell r="DE110">
            <v>155346000</v>
          </cell>
          <cell r="DF110">
            <v>128004000</v>
          </cell>
          <cell r="DG110" t="str">
            <v>无数据</v>
          </cell>
          <cell r="DH110" t="str">
            <v>n.a.</v>
          </cell>
          <cell r="DI110" t="str">
            <v>n.a.</v>
          </cell>
          <cell r="DJ110" t="str">
            <v>n.a.</v>
          </cell>
          <cell r="DK110" t="str">
            <v>无数据</v>
          </cell>
          <cell r="DL110" t="e">
            <v>#VALUE!</v>
          </cell>
          <cell r="DM110" t="e">
            <v>#VALUE!</v>
          </cell>
          <cell r="DN110" t="str">
            <v>n.a.</v>
          </cell>
          <cell r="DO110" t="e">
            <v>#VALUE!</v>
          </cell>
          <cell r="DP110" t="e">
            <v>#VALUE!</v>
          </cell>
          <cell r="DR110">
            <v>120314000</v>
          </cell>
          <cell r="DS110">
            <v>-111924000</v>
          </cell>
          <cell r="DT110">
            <v>-10843000</v>
          </cell>
          <cell r="DU110">
            <v>-5862000</v>
          </cell>
          <cell r="DV110">
            <v>-8315000</v>
          </cell>
          <cell r="DW110">
            <v>-6.9110826670212899E-2</v>
          </cell>
          <cell r="DX110">
            <v>-6.4643276399567795E-2</v>
          </cell>
          <cell r="DY110" t="str">
            <v>n.a.</v>
          </cell>
          <cell r="DZ110">
            <v>26629500</v>
          </cell>
          <cell r="EA110">
            <v>3797500</v>
          </cell>
          <cell r="EC110">
            <v>131625000</v>
          </cell>
          <cell r="ED110">
            <v>-110045000</v>
          </cell>
          <cell r="EE110">
            <v>-12167000</v>
          </cell>
          <cell r="EF110">
            <v>-6302000</v>
          </cell>
          <cell r="EG110">
            <v>3111000</v>
          </cell>
          <cell r="EH110">
            <v>2.3635327635327601E-2</v>
          </cell>
          <cell r="EI110">
            <v>2.4207479340772199E-2</v>
          </cell>
          <cell r="EJ110" t="str">
            <v>n.a.</v>
          </cell>
          <cell r="EK110">
            <v>21735500</v>
          </cell>
          <cell r="EL110">
            <v>2493500</v>
          </cell>
          <cell r="EN110" t="e">
            <v>#VALUE!</v>
          </cell>
          <cell r="EO110" t="e">
            <v>#VALUE!</v>
          </cell>
          <cell r="EP110" t="e">
            <v>#VALUE!</v>
          </cell>
          <cell r="EQ110" t="e">
            <v>#VALUE!</v>
          </cell>
          <cell r="ER110" t="e">
            <v>#VALUE!</v>
          </cell>
          <cell r="ES110" t="e">
            <v>#VALUE!</v>
          </cell>
          <cell r="ET110" t="e">
            <v>#VALUE!</v>
          </cell>
        </row>
        <row r="111">
          <cell r="B111" t="str">
            <v>SKIN&amp;SKIN CO.,LTD.</v>
          </cell>
          <cell r="C111" t="str">
            <v>exclude</v>
          </cell>
          <cell r="D111" t="str">
            <v>Independence(A+, A, A-, U)</v>
          </cell>
          <cell r="H111" t="str">
            <v/>
          </cell>
          <cell r="J111" t="str">
            <v>exclude</v>
          </cell>
          <cell r="K111" t="str">
            <v>Independence(A+, A, A-, U)</v>
          </cell>
          <cell r="M111" t="str">
            <v>SKIN&amp;SKIN CO.,LTD.</v>
          </cell>
          <cell r="N111" t="str">
            <v>The company is primarily engaged in the production of chemicals and chemical products. It was incorporated in June of 2006. The registered business office of the company is located in Siheung-Si, Republic of Korea.The company offers a wide range of products such as OLED materials, DSSC dyes, OTFT materials and variety of organic materials based on the organic dyes.This producer of chemicals and chemical products is active and operational in the Republic of Korea.</v>
          </cell>
          <cell r="O111" t="str">
            <v>Manufacturing</v>
          </cell>
          <cell r="P111" t="str">
            <v>www.skinnskin.co.kr</v>
          </cell>
          <cell r="R111" t="str">
            <v>Republic of Korea</v>
          </cell>
          <cell r="S111" t="str">
            <v>159910</v>
          </cell>
          <cell r="T111" t="str">
            <v>B-</v>
          </cell>
          <cell r="U111" t="str">
            <v>2844</v>
          </cell>
          <cell r="V111" t="str">
            <v>Primarily engaged in the production of chemicals and chemical products</v>
          </cell>
          <cell r="W111" t="str">
            <v>- June, 2006 It was established for the purpose of manufacturing and processing basic compounds, pharmaceuticals, food additives, manufacturing and processing of display materials and parts.- Subsidiaries to be consolidated include MBK Entertainment, Lamy Cosmetics Manufacturing Co., Ltd. and Brunei subsidiary, and are diversifying businesses such as cosmetics through subsidiaries.- In January 2017, Company established CMDL Co., Ltd. by splitting the OEM production of organic materials for OLED (Cheonan factory) and merged its subsidiary SKIN &amp; SKIN in March with the aim of expanding the cosmetics business.</v>
          </cell>
          <cell r="X111" t="str">
            <v>MBK CO.,LTD.</v>
          </cell>
          <cell r="Z111" t="str">
            <v>KR1311110165843</v>
          </cell>
          <cell r="AA111">
            <v>21406339000</v>
          </cell>
          <cell r="AB111">
            <v>27611573000</v>
          </cell>
          <cell r="AC111">
            <v>25282382000</v>
          </cell>
          <cell r="AD111">
            <v>20974333000</v>
          </cell>
          <cell r="AE111">
            <v>21406339000</v>
          </cell>
          <cell r="AF111">
            <v>27622073000</v>
          </cell>
          <cell r="AG111">
            <v>26347857000</v>
          </cell>
          <cell r="AH111">
            <v>29517442000</v>
          </cell>
          <cell r="AI111" t="str">
            <v>n.a.</v>
          </cell>
          <cell r="AJ111">
            <v>-10500000</v>
          </cell>
          <cell r="AK111">
            <v>-1065475000</v>
          </cell>
          <cell r="AL111">
            <v>-8543109000</v>
          </cell>
          <cell r="AM111">
            <v>21406339000</v>
          </cell>
          <cell r="AN111">
            <v>27611573000</v>
          </cell>
          <cell r="AO111">
            <v>25282382000</v>
          </cell>
          <cell r="AP111">
            <v>20974333000</v>
          </cell>
          <cell r="AQ111" t="str">
            <v>n.a.</v>
          </cell>
          <cell r="AR111" t="str">
            <v>n.a.</v>
          </cell>
          <cell r="AS111" t="str">
            <v>n.a.</v>
          </cell>
          <cell r="AT111" t="str">
            <v>n.a.</v>
          </cell>
          <cell r="AU111">
            <v>-18259448000</v>
          </cell>
          <cell r="AV111">
            <v>-21041841000</v>
          </cell>
          <cell r="AW111">
            <v>-21097644000</v>
          </cell>
          <cell r="AX111">
            <v>-18782431000</v>
          </cell>
          <cell r="AY111">
            <v>-252567000</v>
          </cell>
          <cell r="AZ111">
            <v>-239545000</v>
          </cell>
          <cell r="BA111">
            <v>-223076000</v>
          </cell>
          <cell r="BB111">
            <v>-828524000</v>
          </cell>
          <cell r="BC111">
            <v>-8465324000</v>
          </cell>
          <cell r="BD111">
            <v>-4768406000</v>
          </cell>
          <cell r="BE111">
            <v>-4630194000</v>
          </cell>
          <cell r="BF111">
            <v>-7486350000</v>
          </cell>
          <cell r="BG111">
            <v>-5571000000</v>
          </cell>
          <cell r="BH111">
            <v>1561781000</v>
          </cell>
          <cell r="BI111">
            <v>-668532000</v>
          </cell>
          <cell r="BJ111">
            <v>-6122972000</v>
          </cell>
          <cell r="BK111">
            <v>-690268000</v>
          </cell>
          <cell r="BL111">
            <v>-603174000</v>
          </cell>
          <cell r="BM111">
            <v>-1503320000</v>
          </cell>
          <cell r="BN111">
            <v>-1203649000</v>
          </cell>
          <cell r="BO111">
            <v>-663895000</v>
          </cell>
          <cell r="BP111">
            <v>-580807000</v>
          </cell>
          <cell r="BQ111">
            <v>-1500113000</v>
          </cell>
          <cell r="BR111">
            <v>-1180450000</v>
          </cell>
          <cell r="BS111">
            <v>-26373000</v>
          </cell>
          <cell r="BT111">
            <v>-22367000</v>
          </cell>
          <cell r="BU111">
            <v>-3207000</v>
          </cell>
          <cell r="BV111">
            <v>-23199000</v>
          </cell>
          <cell r="BW111">
            <v>-10044555000</v>
          </cell>
          <cell r="BX111">
            <v>1212594000</v>
          </cell>
          <cell r="BY111">
            <v>-27852253000</v>
          </cell>
          <cell r="BZ111">
            <v>-6289278000</v>
          </cell>
          <cell r="CA111">
            <v>24090131000</v>
          </cell>
          <cell r="CB111">
            <v>34717154000</v>
          </cell>
          <cell r="CC111">
            <v>9706552000</v>
          </cell>
          <cell r="CD111">
            <v>27208490000</v>
          </cell>
          <cell r="CE111">
            <v>2657771000</v>
          </cell>
          <cell r="CF111">
            <v>1898838000</v>
          </cell>
          <cell r="CG111">
            <v>1693082000</v>
          </cell>
          <cell r="CH111">
            <v>2212685000</v>
          </cell>
          <cell r="CI111">
            <v>6478102000</v>
          </cell>
          <cell r="CJ111">
            <v>4778751000</v>
          </cell>
          <cell r="CK111">
            <v>1389822000</v>
          </cell>
          <cell r="CL111">
            <v>2314672000</v>
          </cell>
          <cell r="CM111">
            <v>10288000</v>
          </cell>
          <cell r="CN111">
            <v>122265000</v>
          </cell>
          <cell r="CO111">
            <v>59265000</v>
          </cell>
          <cell r="CP111">
            <v>1564485000</v>
          </cell>
          <cell r="CQ111">
            <v>14449998000</v>
          </cell>
          <cell r="CR111">
            <v>27697982000</v>
          </cell>
          <cell r="CS111">
            <v>6102552000</v>
          </cell>
          <cell r="CT111">
            <v>20084310000</v>
          </cell>
          <cell r="CU111" t="str">
            <v>n.a.</v>
          </cell>
          <cell r="CV111" t="str">
            <v>n.a.</v>
          </cell>
          <cell r="CW111" t="str">
            <v>n.a.</v>
          </cell>
          <cell r="CX111" t="str">
            <v>n.a.</v>
          </cell>
          <cell r="CY111" t="str">
            <v>n.a.</v>
          </cell>
          <cell r="CZ111" t="str">
            <v>n.a.</v>
          </cell>
          <cell r="DA111" t="str">
            <v>n.a.</v>
          </cell>
          <cell r="DB111">
            <v>609794000</v>
          </cell>
          <cell r="DC111">
            <v>35329394000</v>
          </cell>
          <cell r="DD111">
            <v>44703632000</v>
          </cell>
          <cell r="DE111">
            <v>18311389000</v>
          </cell>
          <cell r="DF111">
            <v>51689281000</v>
          </cell>
          <cell r="DG111">
            <v>21406339000</v>
          </cell>
          <cell r="DH111">
            <v>-18259448000</v>
          </cell>
          <cell r="DI111">
            <v>-8717891000</v>
          </cell>
          <cell r="DJ111">
            <v>-690268000</v>
          </cell>
          <cell r="DK111">
            <v>-6261268000</v>
          </cell>
          <cell r="DL111">
            <v>-0.29249597514082198</v>
          </cell>
          <cell r="DM111">
            <v>-0.22630319998401</v>
          </cell>
          <cell r="DN111">
            <v>-252567000</v>
          </cell>
          <cell r="DO111">
            <v>2278304500</v>
          </cell>
          <cell r="DP111" t="e">
            <v>#VALUE!</v>
          </cell>
          <cell r="DR111">
            <v>27611573000</v>
          </cell>
          <cell r="DS111">
            <v>-21041841000</v>
          </cell>
          <cell r="DT111">
            <v>-5007951000</v>
          </cell>
          <cell r="DU111">
            <v>-603174000</v>
          </cell>
          <cell r="DV111">
            <v>958607000</v>
          </cell>
          <cell r="DW111">
            <v>3.4717580197259998E-2</v>
          </cell>
          <cell r="DX111">
            <v>3.5966241055498303E-2</v>
          </cell>
          <cell r="DY111">
            <v>-239545000</v>
          </cell>
          <cell r="DZ111">
            <v>1795960000</v>
          </cell>
          <cell r="EA111" t="e">
            <v>#VALUE!</v>
          </cell>
          <cell r="EC111">
            <v>25282382000</v>
          </cell>
          <cell r="ED111">
            <v>-21097644000</v>
          </cell>
          <cell r="EE111">
            <v>-4853270000</v>
          </cell>
          <cell r="EF111">
            <v>-1503320000</v>
          </cell>
          <cell r="EG111">
            <v>-2171852000</v>
          </cell>
          <cell r="EH111">
            <v>-8.5903772832797196E-2</v>
          </cell>
          <cell r="EI111">
            <v>-7.9108089484485306E-2</v>
          </cell>
          <cell r="EJ111">
            <v>-223076000</v>
          </cell>
          <cell r="EK111">
            <v>1952883500</v>
          </cell>
          <cell r="EL111" t="e">
            <v>#VALUE!</v>
          </cell>
          <cell r="EN111">
            <v>24766764666.666698</v>
          </cell>
          <cell r="EO111">
            <v>-20132977666.666698</v>
          </cell>
          <cell r="EP111">
            <v>-6193037333.3333302</v>
          </cell>
          <cell r="EQ111">
            <v>-932254000</v>
          </cell>
          <cell r="ER111">
            <v>-2491504333.3333302</v>
          </cell>
          <cell r="ES111">
            <v>-0.10059870018818499</v>
          </cell>
          <cell r="ET111">
            <v>-9.1403615296823601E-2</v>
          </cell>
        </row>
        <row r="112">
          <cell r="B112" t="str">
            <v>ECOCERA OPTRONICS CO., LTD.</v>
          </cell>
          <cell r="C112" t="str">
            <v>exclude</v>
          </cell>
          <cell r="D112" t="str">
            <v>Independence(A+, A, A-, U)</v>
          </cell>
          <cell r="H112" t="str">
            <v/>
          </cell>
          <cell r="J112" t="str">
            <v>exclude</v>
          </cell>
          <cell r="K112" t="str">
            <v>Independence(A+, A, A-, U)</v>
          </cell>
          <cell r="M112" t="str">
            <v>ECOCERA OPTRONICS CO., LTD.</v>
          </cell>
          <cell r="N112" t="str">
            <v>This company, based in Taiwan, is engaged in the production of ceramic substrates. It was incorporated in 2011 and has its registered headquarters based in Taoyuan City.The company is involved in the manufactures of ceramic substrates and filter products for emissions control in mobile and stationary applications including mechanical structural ceramic parts, metalized ceramics, electric ceramics, fashion ceramics, and ceramic blades, as well as alumina substrates and nitride substrates, among others. The company serves electronics, telecommunication, machinery, electric, environmental protection, energy, and fashion industries. In addition, it distributes its products to wholesalers and retailers, as well as other network distributors.</v>
          </cell>
          <cell r="O112" t="str">
            <v>Manufacturing</v>
          </cell>
          <cell r="P112" t="str">
            <v>www.ecocera.com.tw</v>
          </cell>
          <cell r="R112" t="str">
            <v>Taiwan, China</v>
          </cell>
          <cell r="S112" t="str">
            <v>6597</v>
          </cell>
          <cell r="T112" t="str">
            <v>D</v>
          </cell>
          <cell r="U112" t="str">
            <v>2842</v>
          </cell>
          <cell r="V112" t="str">
            <v>Engaged in the production of ceramic substrates</v>
          </cell>
          <cell r="W112" t="str">
            <v>The Company is a Taiwan-domiciled company principally engaged in the manufacture of ceramic cooling substrate productions and the integration and design of ceramic circuit board process. The Company's main products include high-power LED (light-emitting diodes) cooling substrate, LED cooling module, concentrating solar substrate, passive components and high-power electronic components, among others. The Company's products are used in LED lighting, automotive lighting, mobile phone LED flash, UV (ultraviolet), displays and other applications.</v>
          </cell>
          <cell r="Z112" t="str">
            <v>TW53125710</v>
          </cell>
          <cell r="AA112">
            <v>473324000</v>
          </cell>
          <cell r="AB112">
            <v>520650000</v>
          </cell>
          <cell r="AC112">
            <v>444075000</v>
          </cell>
          <cell r="AD112">
            <v>407203000</v>
          </cell>
          <cell r="AE112">
            <v>483450000</v>
          </cell>
          <cell r="AF112">
            <v>529164000</v>
          </cell>
          <cell r="AG112">
            <v>438069000</v>
          </cell>
          <cell r="AH112">
            <v>418307000</v>
          </cell>
          <cell r="AI112">
            <v>-10506000</v>
          </cell>
          <cell r="AJ112">
            <v>-10874000</v>
          </cell>
          <cell r="AK112">
            <v>-4853000</v>
          </cell>
          <cell r="AL112">
            <v>-11730000</v>
          </cell>
          <cell r="AM112">
            <v>472944000</v>
          </cell>
          <cell r="AN112">
            <v>518290000</v>
          </cell>
          <cell r="AO112">
            <v>433216000</v>
          </cell>
          <cell r="AP112">
            <v>406577000</v>
          </cell>
          <cell r="AQ112">
            <v>380000</v>
          </cell>
          <cell r="AR112">
            <v>2360000</v>
          </cell>
          <cell r="AS112">
            <v>10859000</v>
          </cell>
          <cell r="AT112">
            <v>626000</v>
          </cell>
          <cell r="AU112">
            <v>-329792000</v>
          </cell>
          <cell r="AV112">
            <v>-355950000</v>
          </cell>
          <cell r="AW112">
            <v>-356299000</v>
          </cell>
          <cell r="AX112">
            <v>-289827000</v>
          </cell>
          <cell r="AY112">
            <v>-13890000</v>
          </cell>
          <cell r="AZ112">
            <v>-14457000</v>
          </cell>
          <cell r="BA112">
            <v>-14332000</v>
          </cell>
          <cell r="BB112">
            <v>-12060000</v>
          </cell>
          <cell r="BC112">
            <v>-49725000</v>
          </cell>
          <cell r="BD112">
            <v>-47855000</v>
          </cell>
          <cell r="BE112">
            <v>-39793000</v>
          </cell>
          <cell r="BF112">
            <v>-39944000</v>
          </cell>
          <cell r="BG112">
            <v>79917000</v>
          </cell>
          <cell r="BH112">
            <v>102388000</v>
          </cell>
          <cell r="BI112">
            <v>33651000</v>
          </cell>
          <cell r="BJ112">
            <v>65372000</v>
          </cell>
          <cell r="BK112">
            <v>-56836000</v>
          </cell>
          <cell r="BL112">
            <v>-53998000</v>
          </cell>
          <cell r="BM112">
            <v>-51523000</v>
          </cell>
          <cell r="BN112">
            <v>-49719000</v>
          </cell>
          <cell r="BO112">
            <v>-55924000</v>
          </cell>
          <cell r="BP112">
            <v>-52898000</v>
          </cell>
          <cell r="BQ112">
            <v>-49846000</v>
          </cell>
          <cell r="BR112">
            <v>-48832000</v>
          </cell>
          <cell r="BS112">
            <v>-912000</v>
          </cell>
          <cell r="BT112">
            <v>-1100000</v>
          </cell>
          <cell r="BU112">
            <v>-1677000</v>
          </cell>
          <cell r="BV112">
            <v>-887000</v>
          </cell>
          <cell r="BW112">
            <v>30070000</v>
          </cell>
          <cell r="BX112">
            <v>42309000</v>
          </cell>
          <cell r="BY112">
            <v>-31538000</v>
          </cell>
          <cell r="BZ112">
            <v>10370000</v>
          </cell>
          <cell r="CA112">
            <v>433410000</v>
          </cell>
          <cell r="CB112">
            <v>484109000</v>
          </cell>
          <cell r="CC112">
            <v>257361000</v>
          </cell>
          <cell r="CD112">
            <v>281970000</v>
          </cell>
          <cell r="CE112">
            <v>115164000</v>
          </cell>
          <cell r="CF112">
            <v>104192000</v>
          </cell>
          <cell r="CG112">
            <v>77134000</v>
          </cell>
          <cell r="CH112">
            <v>102387000</v>
          </cell>
          <cell r="CI112">
            <v>165487000</v>
          </cell>
          <cell r="CJ112">
            <v>137151000</v>
          </cell>
          <cell r="CK112">
            <v>147233000</v>
          </cell>
          <cell r="CL112">
            <v>129710000</v>
          </cell>
          <cell r="CM112">
            <v>9529000</v>
          </cell>
          <cell r="CN112">
            <v>10880000</v>
          </cell>
          <cell r="CO112">
            <v>7830000</v>
          </cell>
          <cell r="CP112">
            <v>7473000</v>
          </cell>
          <cell r="CQ112">
            <v>143230000</v>
          </cell>
          <cell r="CR112">
            <v>231886000</v>
          </cell>
          <cell r="CS112">
            <v>25164000</v>
          </cell>
          <cell r="CT112">
            <v>42400000</v>
          </cell>
          <cell r="CU112" t="str">
            <v>n.a.</v>
          </cell>
          <cell r="CV112" t="str">
            <v>n.a.</v>
          </cell>
          <cell r="CW112" t="str">
            <v>n.a.</v>
          </cell>
          <cell r="CX112" t="str">
            <v>n.a.</v>
          </cell>
          <cell r="CY112">
            <v>8484000</v>
          </cell>
          <cell r="CZ112">
            <v>6974000</v>
          </cell>
          <cell r="DA112">
            <v>6597000</v>
          </cell>
          <cell r="DB112">
            <v>5918000</v>
          </cell>
          <cell r="DC112">
            <v>770870000</v>
          </cell>
          <cell r="DD112">
            <v>847018000</v>
          </cell>
          <cell r="DE112">
            <v>531404000</v>
          </cell>
          <cell r="DF112">
            <v>587916000</v>
          </cell>
          <cell r="DG112">
            <v>472944000</v>
          </cell>
          <cell r="DH112">
            <v>-329792000</v>
          </cell>
          <cell r="DI112">
            <v>-63615000</v>
          </cell>
          <cell r="DJ112">
            <v>-56836000</v>
          </cell>
          <cell r="DK112">
            <v>22701000</v>
          </cell>
          <cell r="DL112">
            <v>4.7999340302446E-2</v>
          </cell>
          <cell r="DM112">
            <v>5.0419440168975399E-2</v>
          </cell>
          <cell r="DN112">
            <v>-13890000</v>
          </cell>
          <cell r="DO112">
            <v>109678000</v>
          </cell>
          <cell r="DP112">
            <v>7729000</v>
          </cell>
          <cell r="DR112">
            <v>518290000</v>
          </cell>
          <cell r="DS112">
            <v>-355950000</v>
          </cell>
          <cell r="DT112">
            <v>-62312000</v>
          </cell>
          <cell r="DU112">
            <v>-53998000</v>
          </cell>
          <cell r="DV112">
            <v>46030000</v>
          </cell>
          <cell r="DW112">
            <v>8.8811283258407495E-2</v>
          </cell>
          <cell r="DX112">
            <v>9.7467496717909594E-2</v>
          </cell>
          <cell r="DY112">
            <v>-14457000</v>
          </cell>
          <cell r="DZ112">
            <v>90663000</v>
          </cell>
          <cell r="EA112">
            <v>6785500</v>
          </cell>
          <cell r="EC112">
            <v>433216000</v>
          </cell>
          <cell r="ED112">
            <v>-356299000</v>
          </cell>
          <cell r="EE112">
            <v>-54125000</v>
          </cell>
          <cell r="EF112">
            <v>-51523000</v>
          </cell>
          <cell r="EG112">
            <v>-28731000</v>
          </cell>
          <cell r="EH112">
            <v>-6.6320265179494797E-2</v>
          </cell>
          <cell r="EI112">
            <v>-6.2195446663794798E-2</v>
          </cell>
          <cell r="EJ112">
            <v>-14332000</v>
          </cell>
          <cell r="EK112">
            <v>89760500</v>
          </cell>
          <cell r="EL112">
            <v>6257500</v>
          </cell>
          <cell r="EN112">
            <v>474816666.66666698</v>
          </cell>
          <cell r="EO112">
            <v>-347347000</v>
          </cell>
          <cell r="EP112">
            <v>-60017333.333333299</v>
          </cell>
          <cell r="EQ112">
            <v>-54119000</v>
          </cell>
          <cell r="ER112">
            <v>13333333.3333333</v>
          </cell>
          <cell r="ES112">
            <v>2.80810137245955E-2</v>
          </cell>
          <cell r="ET112">
            <v>2.8892339918379199E-2</v>
          </cell>
        </row>
        <row r="113">
          <cell r="B113" t="str">
            <v>PEE CEE COSMA SOPE LIMITED</v>
          </cell>
          <cell r="C113" t="str">
            <v>exclude</v>
          </cell>
          <cell r="D113" t="str">
            <v>Lev SDA/SDP</v>
          </cell>
          <cell r="H113" t="str">
            <v/>
          </cell>
          <cell r="J113" t="str">
            <v>exclude</v>
          </cell>
          <cell r="K113" t="str">
            <v>lev SDA/SDP</v>
          </cell>
          <cell r="M113" t="str">
            <v>PEE CEE COSMA SOPE LIMITED</v>
          </cell>
          <cell r="N113" t="str">
            <v>This company manufactures and sells soaps and detergents in India. Its products primarily include detergent powders and cakes, and laundry soaps. The company offers its products through a network of distributors and retailers under the Doctor brand name. The company was founded in 1947 and is based in Agra, India.</v>
          </cell>
          <cell r="O113" t="str">
            <v>Manufacturing</v>
          </cell>
          <cell r="P113" t="str">
            <v>www.doctorsoap.com</v>
          </cell>
          <cell r="R113" t="str">
            <v>India</v>
          </cell>
          <cell r="S113" t="str">
            <v>524136</v>
          </cell>
          <cell r="T113" t="str">
            <v>A+</v>
          </cell>
          <cell r="U113" t="str">
            <v>2841</v>
          </cell>
          <cell r="V113" t="str">
            <v>Manufactures and sells soaps and detergents in India</v>
          </cell>
          <cell r="W113" t="str">
            <v>The Company is engaged in the manufacture and sale of washing soaps, detergent powders, detergent cakes, and personal care products in India.  Its personal care products include herbal creams, herbal moisturizing body lotions, and herbal shampoos.  The Company sells its products under the Doctor brand name.</v>
          </cell>
          <cell r="Z113" t="str">
            <v>IN32220FI</v>
          </cell>
          <cell r="AA113">
            <v>1245342000</v>
          </cell>
          <cell r="AB113">
            <v>927004000</v>
          </cell>
          <cell r="AC113">
            <v>822886000</v>
          </cell>
          <cell r="AD113">
            <v>739698000</v>
          </cell>
          <cell r="AE113">
            <v>1245167000</v>
          </cell>
          <cell r="AF113">
            <v>926927000</v>
          </cell>
          <cell r="AG113">
            <v>822542000</v>
          </cell>
          <cell r="AH113">
            <v>739561000</v>
          </cell>
          <cell r="AI113" t="str">
            <v>n.a.</v>
          </cell>
          <cell r="AJ113" t="str">
            <v>n.a.</v>
          </cell>
          <cell r="AK113" t="str">
            <v>n.a.</v>
          </cell>
          <cell r="AL113" t="str">
            <v>n.a.</v>
          </cell>
          <cell r="AM113">
            <v>1245167000</v>
          </cell>
          <cell r="AN113">
            <v>926927000</v>
          </cell>
          <cell r="AO113">
            <v>822542000</v>
          </cell>
          <cell r="AP113">
            <v>739561000</v>
          </cell>
          <cell r="AQ113">
            <v>175000</v>
          </cell>
          <cell r="AR113">
            <v>77000</v>
          </cell>
          <cell r="AS113">
            <v>344000</v>
          </cell>
          <cell r="AT113">
            <v>137000</v>
          </cell>
          <cell r="AU113">
            <v>-948562000</v>
          </cell>
          <cell r="AV113">
            <v>-702525000</v>
          </cell>
          <cell r="AW113">
            <v>-589935000</v>
          </cell>
          <cell r="AX113">
            <v>-524151000</v>
          </cell>
          <cell r="AY113">
            <v>0</v>
          </cell>
          <cell r="AZ113">
            <v>0</v>
          </cell>
          <cell r="BA113">
            <v>0</v>
          </cell>
          <cell r="BB113">
            <v>0</v>
          </cell>
          <cell r="BC113">
            <v>-244724000</v>
          </cell>
          <cell r="BD113">
            <v>-196384000</v>
          </cell>
          <cell r="BE113">
            <v>-165780000</v>
          </cell>
          <cell r="BF113">
            <v>-180477000</v>
          </cell>
          <cell r="BG113">
            <v>52056000</v>
          </cell>
          <cell r="BH113">
            <v>28095000</v>
          </cell>
          <cell r="BI113">
            <v>67171000</v>
          </cell>
          <cell r="BJ113">
            <v>35070000</v>
          </cell>
          <cell r="BK113">
            <v>-15104000</v>
          </cell>
          <cell r="BL113">
            <v>-6598000</v>
          </cell>
          <cell r="BM113">
            <v>-5868000</v>
          </cell>
          <cell r="BN113">
            <v>-7483000</v>
          </cell>
          <cell r="BO113">
            <v>-15078000</v>
          </cell>
          <cell r="BP113">
            <v>-6550000</v>
          </cell>
          <cell r="BQ113">
            <v>-5780000</v>
          </cell>
          <cell r="BR113">
            <v>-7323000</v>
          </cell>
          <cell r="BS113">
            <v>-26000</v>
          </cell>
          <cell r="BT113">
            <v>-48000</v>
          </cell>
          <cell r="BU113">
            <v>-88000</v>
          </cell>
          <cell r="BV113">
            <v>-160000</v>
          </cell>
          <cell r="BW113">
            <v>24862000</v>
          </cell>
          <cell r="BX113">
            <v>16853000</v>
          </cell>
          <cell r="BY113">
            <v>47663000</v>
          </cell>
          <cell r="BZ113">
            <v>21054000</v>
          </cell>
          <cell r="CA113">
            <v>166632000</v>
          </cell>
          <cell r="CB113">
            <v>146851000</v>
          </cell>
          <cell r="CC113">
            <v>126360000</v>
          </cell>
          <cell r="CD113">
            <v>164539000</v>
          </cell>
          <cell r="CE113">
            <v>150879000</v>
          </cell>
          <cell r="CF113">
            <v>119163000</v>
          </cell>
          <cell r="CG113">
            <v>114250000</v>
          </cell>
          <cell r="CH113">
            <v>92742000</v>
          </cell>
          <cell r="CI113">
            <v>6778000</v>
          </cell>
          <cell r="CJ113">
            <v>4890000</v>
          </cell>
          <cell r="CK113">
            <v>4295000</v>
          </cell>
          <cell r="CL113">
            <v>2798000</v>
          </cell>
          <cell r="CM113">
            <v>1912000</v>
          </cell>
          <cell r="CN113">
            <v>1849000</v>
          </cell>
          <cell r="CO113">
            <v>1131000</v>
          </cell>
          <cell r="CP113">
            <v>45027000</v>
          </cell>
          <cell r="CQ113">
            <v>3241000</v>
          </cell>
          <cell r="CR113">
            <v>15775000</v>
          </cell>
          <cell r="CS113">
            <v>2621000</v>
          </cell>
          <cell r="CT113">
            <v>23314000</v>
          </cell>
          <cell r="CU113" t="str">
            <v>n.a.</v>
          </cell>
          <cell r="CV113" t="str">
            <v>n.a.</v>
          </cell>
          <cell r="CW113" t="str">
            <v>n.a.</v>
          </cell>
          <cell r="CX113" t="str">
            <v>n.a.</v>
          </cell>
          <cell r="CY113">
            <v>15626000</v>
          </cell>
          <cell r="CZ113">
            <v>33291000</v>
          </cell>
          <cell r="DA113">
            <v>9615000</v>
          </cell>
          <cell r="DB113">
            <v>8997000</v>
          </cell>
          <cell r="DC113">
            <v>467505000</v>
          </cell>
          <cell r="DD113">
            <v>472734000</v>
          </cell>
          <cell r="DE113">
            <v>359082000</v>
          </cell>
          <cell r="DF113">
            <v>320671000</v>
          </cell>
          <cell r="DG113">
            <v>1245167000</v>
          </cell>
          <cell r="DH113">
            <v>-948562000</v>
          </cell>
          <cell r="DI113">
            <v>-244724000</v>
          </cell>
          <cell r="DJ113">
            <v>-15104000</v>
          </cell>
          <cell r="DK113">
            <v>36777000</v>
          </cell>
          <cell r="DL113">
            <v>2.95357972063185E-2</v>
          </cell>
          <cell r="DM113">
            <v>3.04347106480524E-2</v>
          </cell>
          <cell r="DN113">
            <v>0</v>
          </cell>
          <cell r="DO113">
            <v>135021000</v>
          </cell>
          <cell r="DP113">
            <v>24458500</v>
          </cell>
          <cell r="DR113">
            <v>926927000</v>
          </cell>
          <cell r="DS113">
            <v>-702525000</v>
          </cell>
          <cell r="DT113">
            <v>-196384000</v>
          </cell>
          <cell r="DU113">
            <v>-6598000</v>
          </cell>
          <cell r="DV113">
            <v>21420000</v>
          </cell>
          <cell r="DW113">
            <v>2.31086158888456E-2</v>
          </cell>
          <cell r="DX113">
            <v>2.3655256116186799E-2</v>
          </cell>
          <cell r="DY113">
            <v>0</v>
          </cell>
          <cell r="DZ113">
            <v>116706500</v>
          </cell>
          <cell r="EA113">
            <v>21453000</v>
          </cell>
          <cell r="EC113">
            <v>822542000</v>
          </cell>
          <cell r="ED113">
            <v>-589935000</v>
          </cell>
          <cell r="EE113">
            <v>-165780000</v>
          </cell>
          <cell r="EF113">
            <v>-5868000</v>
          </cell>
          <cell r="EG113">
            <v>60959000</v>
          </cell>
          <cell r="EH113">
            <v>7.4110501348259403E-2</v>
          </cell>
          <cell r="EI113">
            <v>8.0042490444245704E-2</v>
          </cell>
          <cell r="EJ113">
            <v>0</v>
          </cell>
          <cell r="EK113">
            <v>103496000</v>
          </cell>
          <cell r="EL113">
            <v>9306000</v>
          </cell>
          <cell r="EN113">
            <v>998212000</v>
          </cell>
          <cell r="EO113">
            <v>-747007333.33333302</v>
          </cell>
          <cell r="EP113">
            <v>-202296000</v>
          </cell>
          <cell r="EQ113">
            <v>-9190000</v>
          </cell>
          <cell r="ER113">
            <v>39718666.666666597</v>
          </cell>
          <cell r="ES113">
            <v>3.9789810848463697E-2</v>
          </cell>
          <cell r="ET113">
            <v>4.1438646765061801E-2</v>
          </cell>
        </row>
        <row r="114">
          <cell r="B114" t="str">
            <v>SWADESHI INDUSTRIAL WORKS PLC</v>
          </cell>
          <cell r="C114" t="str">
            <v>exclude</v>
          </cell>
          <cell r="D114" t="str">
            <v>Independence(A+, A, A-, U)</v>
          </cell>
          <cell r="H114" t="str">
            <v/>
          </cell>
          <cell r="J114" t="str">
            <v>exclude</v>
          </cell>
          <cell r="K114" t="str">
            <v>Independence(A+, A, A-, U)</v>
          </cell>
          <cell r="M114" t="str">
            <v>SWADESHI INDUSTRIAL WORKS PLC</v>
          </cell>
          <cell r="N114" t="str">
            <v>The company is engaged in the manufacture and marketing of toilet soaps, laundry soaps, detergents, and personal care products in Sri Lanka. It was founded in 1938 and it conducts business from its registered head office which is located in Kandana, Sri Lanka.Some of the company's products are the following: Rani Soap, Rani Shower Gel, Rani King Coconut Shampoo, Khomba Soap, Khomba Herbal, Shower Cream, Khomba Herbal Shampoo, Khomba Baby Soap, Khomba Baby Cream, Khomba Baby Cologne, Khomba Baby Shampoo, Khomba Baby Oil, Lady Perfume, Lady Shower Gel, Apsara Venivel Ayurvedic Soap, Black Eagle Colonge Spray, And Black Eagle After Shave. The company has herbal ayurvedic heritage and is focus on personal care products that offered safe and gentle care using hand picked ingredients from nature. The company markets its products through distributors and dealers to consumers and institutional customers. It focuses on numerous quality enhancement processes, such as, ISO 9002, 5S, Kaizan, Quality Circles, to ensure continuous improvement in its product offering. Further, the company is committed to delighting its customers by providing products of the highest quality standard.</v>
          </cell>
          <cell r="O114" t="str">
            <v>Manufacturing</v>
          </cell>
          <cell r="P114" t="str">
            <v>www.swadeshiherbal.com</v>
          </cell>
          <cell r="R114" t="str">
            <v>Sri Lanka</v>
          </cell>
          <cell r="S114" t="str">
            <v>SWAD.N0000</v>
          </cell>
          <cell r="T114" t="str">
            <v>B+</v>
          </cell>
          <cell r="U114" t="str">
            <v>2841</v>
          </cell>
          <cell r="V114" t="str">
            <v>Engaged in the manufacture and marketing of toilet soaps, laundry soaps, detergents, and personal care products in Sri Lanka</v>
          </cell>
          <cell r="W114" t="str">
            <v>The Company is engaged in manufacturing and marketing of toilet soaps, laundry soaps, detergents and personal care products.</v>
          </cell>
          <cell r="Z114" t="str">
            <v>LK30213FS</v>
          </cell>
          <cell r="AA114">
            <v>4821688000</v>
          </cell>
          <cell r="AB114">
            <v>3134868000</v>
          </cell>
          <cell r="AC114">
            <v>3078073000</v>
          </cell>
          <cell r="AD114">
            <v>2361914000</v>
          </cell>
          <cell r="AE114">
            <v>5482912000</v>
          </cell>
          <cell r="AF114">
            <v>3385711000</v>
          </cell>
          <cell r="AG114">
            <v>3378554000</v>
          </cell>
          <cell r="AH114">
            <v>2728302000</v>
          </cell>
          <cell r="AI114">
            <v>-663512000</v>
          </cell>
          <cell r="AJ114">
            <v>-275895000</v>
          </cell>
          <cell r="AK114">
            <v>-315635000</v>
          </cell>
          <cell r="AL114">
            <v>-375749000</v>
          </cell>
          <cell r="AM114">
            <v>4819400000</v>
          </cell>
          <cell r="AN114">
            <v>3109816000</v>
          </cell>
          <cell r="AO114">
            <v>3062919000</v>
          </cell>
          <cell r="AP114">
            <v>2352553000</v>
          </cell>
          <cell r="AQ114">
            <v>2288000</v>
          </cell>
          <cell r="AR114">
            <v>25052000</v>
          </cell>
          <cell r="AS114">
            <v>15154000</v>
          </cell>
          <cell r="AT114">
            <v>9361000</v>
          </cell>
          <cell r="AU114">
            <v>-2785460000</v>
          </cell>
          <cell r="AV114">
            <v>-1895322000</v>
          </cell>
          <cell r="AW114">
            <v>-1677088000</v>
          </cell>
          <cell r="AX114">
            <v>-1341153000</v>
          </cell>
          <cell r="AY114">
            <v>0</v>
          </cell>
          <cell r="AZ114">
            <v>0</v>
          </cell>
          <cell r="BA114">
            <v>0</v>
          </cell>
          <cell r="BB114">
            <v>0</v>
          </cell>
          <cell r="BC114">
            <v>-1636471000</v>
          </cell>
          <cell r="BD114">
            <v>-1140970000</v>
          </cell>
          <cell r="BE114">
            <v>-1196607000</v>
          </cell>
          <cell r="BF114">
            <v>-917513000</v>
          </cell>
          <cell r="BG114">
            <v>399757000</v>
          </cell>
          <cell r="BH114">
            <v>98576000</v>
          </cell>
          <cell r="BI114">
            <v>204378000</v>
          </cell>
          <cell r="BJ114">
            <v>103248000</v>
          </cell>
          <cell r="BK114">
            <v>-27665000</v>
          </cell>
          <cell r="BL114">
            <v>-19751000</v>
          </cell>
          <cell r="BM114">
            <v>-24966000</v>
          </cell>
          <cell r="BN114">
            <v>-22645000</v>
          </cell>
          <cell r="BO114">
            <v>-26945000</v>
          </cell>
          <cell r="BP114">
            <v>-19031000</v>
          </cell>
          <cell r="BQ114">
            <v>-24386000</v>
          </cell>
          <cell r="BR114">
            <v>-22165000</v>
          </cell>
          <cell r="BS114">
            <v>-720000</v>
          </cell>
          <cell r="BT114">
            <v>-720000</v>
          </cell>
          <cell r="BU114">
            <v>-580000</v>
          </cell>
          <cell r="BV114">
            <v>-480000</v>
          </cell>
          <cell r="BW114">
            <v>199547000</v>
          </cell>
          <cell r="BX114">
            <v>4422000</v>
          </cell>
          <cell r="BY114">
            <v>128566000</v>
          </cell>
          <cell r="BZ114">
            <v>12100000</v>
          </cell>
          <cell r="CA114">
            <v>1695065000</v>
          </cell>
          <cell r="CB114">
            <v>1173414000</v>
          </cell>
          <cell r="CC114">
            <v>1000392000</v>
          </cell>
          <cell r="CD114">
            <v>831418000</v>
          </cell>
          <cell r="CE114">
            <v>904430000</v>
          </cell>
          <cell r="CF114">
            <v>665139000</v>
          </cell>
          <cell r="CG114">
            <v>529921000</v>
          </cell>
          <cell r="CH114">
            <v>348391000</v>
          </cell>
          <cell r="CI114">
            <v>492415000</v>
          </cell>
          <cell r="CJ114">
            <v>382103000</v>
          </cell>
          <cell r="CK114">
            <v>341218000</v>
          </cell>
          <cell r="CL114">
            <v>324537000</v>
          </cell>
          <cell r="CM114">
            <v>6874000</v>
          </cell>
          <cell r="CN114">
            <v>9228000</v>
          </cell>
          <cell r="CO114">
            <v>22041000</v>
          </cell>
          <cell r="CP114">
            <v>18222000</v>
          </cell>
          <cell r="CQ114">
            <v>31849000</v>
          </cell>
          <cell r="CR114">
            <v>20333000</v>
          </cell>
          <cell r="CS114">
            <v>5718000</v>
          </cell>
          <cell r="CT114">
            <v>17340000</v>
          </cell>
          <cell r="CU114" t="str">
            <v>n.a.</v>
          </cell>
          <cell r="CV114" t="str">
            <v>n.a.</v>
          </cell>
          <cell r="CW114" t="str">
            <v>n.a.</v>
          </cell>
          <cell r="CX114" t="str">
            <v>n.a.</v>
          </cell>
          <cell r="CY114">
            <v>645000</v>
          </cell>
          <cell r="CZ114">
            <v>64000</v>
          </cell>
          <cell r="DA114" t="str">
            <v>n.a.</v>
          </cell>
          <cell r="DB114" t="str">
            <v>n.a.</v>
          </cell>
          <cell r="DC114">
            <v>3405051000</v>
          </cell>
          <cell r="DD114">
            <v>2819339000</v>
          </cell>
          <cell r="DE114">
            <v>2456236000</v>
          </cell>
          <cell r="DF114">
            <v>1669671000</v>
          </cell>
          <cell r="DG114">
            <v>4819400000</v>
          </cell>
          <cell r="DH114">
            <v>-2785460000</v>
          </cell>
          <cell r="DI114">
            <v>-1636471000</v>
          </cell>
          <cell r="DJ114">
            <v>-27665000</v>
          </cell>
          <cell r="DK114">
            <v>369804000</v>
          </cell>
          <cell r="DL114">
            <v>7.6732373324480199E-2</v>
          </cell>
          <cell r="DM114">
            <v>8.3109567700078796E-2</v>
          </cell>
          <cell r="DN114">
            <v>0</v>
          </cell>
          <cell r="DO114">
            <v>784784500</v>
          </cell>
          <cell r="DP114">
            <v>354500</v>
          </cell>
          <cell r="DR114">
            <v>3109816000</v>
          </cell>
          <cell r="DS114">
            <v>-1895322000</v>
          </cell>
          <cell r="DT114">
            <v>-1140970000</v>
          </cell>
          <cell r="DU114">
            <v>-19751000</v>
          </cell>
          <cell r="DV114">
            <v>53773000</v>
          </cell>
          <cell r="DW114">
            <v>1.7291376724539301E-2</v>
          </cell>
          <cell r="DX114">
            <v>1.7595629380869299E-2</v>
          </cell>
          <cell r="DY114">
            <v>0</v>
          </cell>
          <cell r="DZ114">
            <v>597530000</v>
          </cell>
          <cell r="EA114" t="e">
            <v>#VALUE!</v>
          </cell>
          <cell r="EC114">
            <v>3062919000</v>
          </cell>
          <cell r="ED114">
            <v>-1677088000</v>
          </cell>
          <cell r="EE114">
            <v>-1196607000</v>
          </cell>
          <cell r="EF114">
            <v>-24966000</v>
          </cell>
          <cell r="EG114">
            <v>164258000</v>
          </cell>
          <cell r="EH114">
            <v>5.3627928129996297E-2</v>
          </cell>
          <cell r="EI114">
            <v>5.6666854109535397E-2</v>
          </cell>
          <cell r="EJ114">
            <v>0</v>
          </cell>
          <cell r="EK114">
            <v>439156000</v>
          </cell>
          <cell r="EL114" t="e">
            <v>#VALUE!</v>
          </cell>
          <cell r="EN114">
            <v>3664045000</v>
          </cell>
          <cell r="EO114">
            <v>-2119290000</v>
          </cell>
          <cell r="EP114">
            <v>-1324682666.6666701</v>
          </cell>
          <cell r="EQ114">
            <v>-24127333.333333299</v>
          </cell>
          <cell r="ER114">
            <v>195945000</v>
          </cell>
          <cell r="ES114">
            <v>5.3477782068724597E-2</v>
          </cell>
          <cell r="ET114">
            <v>5.6499235892852002E-2</v>
          </cell>
        </row>
        <row r="115">
          <cell r="B115" t="str">
            <v>JINCOSTECH CO,.LTD</v>
          </cell>
          <cell r="C115" t="str">
            <v>exclude</v>
          </cell>
          <cell r="D115" t="str">
            <v>Independence(A+, A, A-, U)</v>
          </cell>
          <cell r="H115" t="str">
            <v/>
          </cell>
          <cell r="J115" t="str">
            <v>exclude</v>
          </cell>
          <cell r="K115" t="str">
            <v>Independence(A+, A, A-, U)</v>
          </cell>
          <cell r="M115" t="str">
            <v>JINCOSTECH CO,.LTD</v>
          </cell>
          <cell r="N115" t="str">
            <v>This company is engaged in the manufacture of cosmetics. It was founded in 2010. The registered business office of the company is located in Siheung-si, Republic of Korea.The company offers skincare masks, toner, emulsion, cream, cleansing, essence, body lotion, body wash, body cream, body oil, and baby products. It also provides whitening, anti-wrinkle, sunblock, and multi-functional creams.The company is active and operational in the Republic of Korea.</v>
          </cell>
          <cell r="O115" t="str">
            <v>Manufacturing</v>
          </cell>
          <cell r="P115" t="str">
            <v>www.jincostech.com</v>
          </cell>
          <cell r="R115" t="str">
            <v>Republic of Korea</v>
          </cell>
          <cell r="S115" t="str">
            <v>250030</v>
          </cell>
          <cell r="T115" t="str">
            <v>B+</v>
          </cell>
          <cell r="U115" t="str">
            <v>2844</v>
          </cell>
          <cell r="V115" t="str">
            <v>Engaged in the manufacture of cosmetics</v>
          </cell>
          <cell r="W115" t="str">
            <v>Engaged in the manufacture of cosmetics [source: Bureau van Dijk]</v>
          </cell>
          <cell r="X115" t="str">
            <v>JIN COSTECH CO.,LTD.</v>
          </cell>
          <cell r="Z115" t="str">
            <v>KR1314110243742</v>
          </cell>
          <cell r="AA115">
            <v>17600849000</v>
          </cell>
          <cell r="AB115">
            <v>14887214000</v>
          </cell>
          <cell r="AC115">
            <v>26847558000</v>
          </cell>
          <cell r="AD115">
            <v>22564887000</v>
          </cell>
          <cell r="AE115">
            <v>17600849000</v>
          </cell>
          <cell r="AF115">
            <v>14887214000</v>
          </cell>
          <cell r="AG115">
            <v>26847558000</v>
          </cell>
          <cell r="AH115">
            <v>22564887000</v>
          </cell>
          <cell r="AI115" t="str">
            <v>n.a.</v>
          </cell>
          <cell r="AJ115" t="str">
            <v>n.a.</v>
          </cell>
          <cell r="AK115" t="str">
            <v>n.a.</v>
          </cell>
          <cell r="AL115" t="str">
            <v>n.a.</v>
          </cell>
          <cell r="AM115">
            <v>17600849000</v>
          </cell>
          <cell r="AN115">
            <v>14887214000</v>
          </cell>
          <cell r="AO115">
            <v>26847558000</v>
          </cell>
          <cell r="AP115">
            <v>22564887000</v>
          </cell>
          <cell r="AQ115" t="str">
            <v>n.a.</v>
          </cell>
          <cell r="AR115" t="str">
            <v>n.a.</v>
          </cell>
          <cell r="AS115" t="str">
            <v>n.a.</v>
          </cell>
          <cell r="AT115" t="str">
            <v>n.a.</v>
          </cell>
          <cell r="AU115">
            <v>-15920954000</v>
          </cell>
          <cell r="AV115">
            <v>-12674858000</v>
          </cell>
          <cell r="AW115">
            <v>-19070041000</v>
          </cell>
          <cell r="AX115">
            <v>-15735902000</v>
          </cell>
          <cell r="AY115">
            <v>-690328000</v>
          </cell>
          <cell r="AZ115">
            <v>-686294000</v>
          </cell>
          <cell r="BA115">
            <v>-552537000</v>
          </cell>
          <cell r="BB115">
            <v>-453559000</v>
          </cell>
          <cell r="BC115">
            <v>-3743749000</v>
          </cell>
          <cell r="BD115">
            <v>-3974719000</v>
          </cell>
          <cell r="BE115">
            <v>-3067720000</v>
          </cell>
          <cell r="BF115">
            <v>-4135737000</v>
          </cell>
          <cell r="BG115">
            <v>-2754182000</v>
          </cell>
          <cell r="BH115">
            <v>-2448657000</v>
          </cell>
          <cell r="BI115">
            <v>4157260000</v>
          </cell>
          <cell r="BJ115">
            <v>2239689000</v>
          </cell>
          <cell r="BK115">
            <v>-440392000</v>
          </cell>
          <cell r="BL115">
            <v>-299304000</v>
          </cell>
          <cell r="BM115">
            <v>-256390000</v>
          </cell>
          <cell r="BN115">
            <v>-271602000</v>
          </cell>
          <cell r="BO115">
            <v>-440392000</v>
          </cell>
          <cell r="BP115">
            <v>-299304000</v>
          </cell>
          <cell r="BQ115">
            <v>-256390000</v>
          </cell>
          <cell r="BR115">
            <v>-271602000</v>
          </cell>
          <cell r="BS115" t="str">
            <v>n.a.</v>
          </cell>
          <cell r="BT115" t="str">
            <v>n.a.</v>
          </cell>
          <cell r="BU115" t="str">
            <v>n.a.</v>
          </cell>
          <cell r="BV115" t="str">
            <v>n.a.</v>
          </cell>
          <cell r="BW115">
            <v>-4656558000</v>
          </cell>
          <cell r="BX115">
            <v>-381801000</v>
          </cell>
          <cell r="BY115">
            <v>2057618000</v>
          </cell>
          <cell r="BZ115">
            <v>571896000</v>
          </cell>
          <cell r="CA115">
            <v>7398013000</v>
          </cell>
          <cell r="CB115">
            <v>8163368000</v>
          </cell>
          <cell r="CC115">
            <v>10021742000</v>
          </cell>
          <cell r="CD115">
            <v>10776954000</v>
          </cell>
          <cell r="CE115">
            <v>1624803000</v>
          </cell>
          <cell r="CF115">
            <v>1991580000</v>
          </cell>
          <cell r="CG115">
            <v>1818322000</v>
          </cell>
          <cell r="CH115">
            <v>1761143000</v>
          </cell>
          <cell r="CI115">
            <v>3011608000</v>
          </cell>
          <cell r="CJ115">
            <v>2110576000</v>
          </cell>
          <cell r="CK115">
            <v>2278157000</v>
          </cell>
          <cell r="CL115">
            <v>2894724000</v>
          </cell>
          <cell r="CM115">
            <v>165395000</v>
          </cell>
          <cell r="CN115">
            <v>31762000</v>
          </cell>
          <cell r="CO115">
            <v>155462000</v>
          </cell>
          <cell r="CP115">
            <v>114818000</v>
          </cell>
          <cell r="CQ115">
            <v>2504925000</v>
          </cell>
          <cell r="CR115">
            <v>3882869000</v>
          </cell>
          <cell r="CS115">
            <v>5705883000</v>
          </cell>
          <cell r="CT115">
            <v>5780772000</v>
          </cell>
          <cell r="CU115" t="str">
            <v>n.a.</v>
          </cell>
          <cell r="CV115" t="str">
            <v>n.a.</v>
          </cell>
          <cell r="CW115" t="str">
            <v>n.a.</v>
          </cell>
          <cell r="CX115" t="str">
            <v>n.a.</v>
          </cell>
          <cell r="CY115">
            <v>1441555000</v>
          </cell>
          <cell r="CZ115">
            <v>1290302000</v>
          </cell>
          <cell r="DA115">
            <v>7155300000</v>
          </cell>
          <cell r="DB115">
            <v>3808759000</v>
          </cell>
          <cell r="DC115">
            <v>32922957000</v>
          </cell>
          <cell r="DD115">
            <v>35397235000</v>
          </cell>
          <cell r="DE115">
            <v>33129425000</v>
          </cell>
          <cell r="DF115">
            <v>31347066000</v>
          </cell>
          <cell r="DG115">
            <v>17600849000</v>
          </cell>
          <cell r="DH115">
            <v>-15920954000</v>
          </cell>
          <cell r="DI115">
            <v>-4434077000</v>
          </cell>
          <cell r="DJ115">
            <v>-440392000</v>
          </cell>
          <cell r="DK115">
            <v>-3194574000</v>
          </cell>
          <cell r="DL115">
            <v>-0.181501130996579</v>
          </cell>
          <cell r="DM115">
            <v>-0.15361909204732199</v>
          </cell>
          <cell r="DN115">
            <v>-690328000</v>
          </cell>
          <cell r="DO115">
            <v>1808191500</v>
          </cell>
          <cell r="DP115">
            <v>1365928500</v>
          </cell>
          <cell r="DR115">
            <v>14887214000</v>
          </cell>
          <cell r="DS115">
            <v>-12674858000</v>
          </cell>
          <cell r="DT115">
            <v>-4661013000</v>
          </cell>
          <cell r="DU115">
            <v>-299304000</v>
          </cell>
          <cell r="DV115">
            <v>-2747961000</v>
          </cell>
          <cell r="DW115">
            <v>-0.18458530924590699</v>
          </cell>
          <cell r="DX115">
            <v>-0.15582272361913099</v>
          </cell>
          <cell r="DY115">
            <v>-686294000</v>
          </cell>
          <cell r="DZ115">
            <v>1904951000</v>
          </cell>
          <cell r="EA115">
            <v>4222801000</v>
          </cell>
          <cell r="EC115">
            <v>26847558000</v>
          </cell>
          <cell r="ED115">
            <v>-19070041000</v>
          </cell>
          <cell r="EE115">
            <v>-3620257000</v>
          </cell>
          <cell r="EF115">
            <v>-256390000</v>
          </cell>
          <cell r="EG115">
            <v>3900870000</v>
          </cell>
          <cell r="EH115">
            <v>0.145297013605483</v>
          </cell>
          <cell r="EI115">
            <v>0.169997081931824</v>
          </cell>
          <cell r="EJ115">
            <v>-552537000</v>
          </cell>
          <cell r="EK115">
            <v>1789732500</v>
          </cell>
          <cell r="EL115">
            <v>5482029500</v>
          </cell>
          <cell r="EN115">
            <v>19778540333.333302</v>
          </cell>
          <cell r="EO115">
            <v>-15888617666.6667</v>
          </cell>
          <cell r="EP115">
            <v>-4238449000</v>
          </cell>
          <cell r="EQ115">
            <v>-332028666.66666698</v>
          </cell>
          <cell r="ER115">
            <v>-680555000.00000095</v>
          </cell>
          <cell r="ES115">
            <v>-3.4408757599419103E-2</v>
          </cell>
          <cell r="ET115">
            <v>-3.32641785431829E-2</v>
          </cell>
        </row>
        <row r="116">
          <cell r="B116" t="str">
            <v>NORDMASON CO.,LTD.</v>
          </cell>
          <cell r="C116" t="str">
            <v>exclude</v>
          </cell>
          <cell r="D116" t="str">
            <v>Insufficient financial data</v>
          </cell>
          <cell r="H116" t="str">
            <v/>
          </cell>
          <cell r="J116" t="str">
            <v>include before</v>
          </cell>
          <cell r="K116">
            <v>0</v>
          </cell>
          <cell r="M116" t="str">
            <v>NORDMASON CO.,LTD.</v>
          </cell>
          <cell r="N116" t="str">
            <v>This company is engaged in the manufacture and distribution of cosmetics and fragrances. It conducts business from its registered head office located in Seoul, Republic of Korea. The company was established in 2013.The company's products include gels and oils for tanning; functional cosmetics; night cream; lip balm; mask pack for cosmetic purposes; make-up; skin and anti-aging moisturizers; body oils; cosmetic preparations for body care; body skin and anti-aging cleanser; sun block cosmetics; eye cream; cosmetic nourishing creams; anti-wrinkle creams; facial cream; facial cleansers; cosmetics for the face and body; face oils; hand cream; and perfumes and toilet waters.</v>
          </cell>
          <cell r="O116" t="str">
            <v>Manufacturing</v>
          </cell>
          <cell r="P116" t="str">
            <v>www.huxley.co.kr</v>
          </cell>
          <cell r="R116" t="str">
            <v>Republic of Korea</v>
          </cell>
          <cell r="S116" t="str">
            <v>317860</v>
          </cell>
          <cell r="T116" t="str">
            <v>A-</v>
          </cell>
          <cell r="U116" t="str">
            <v>2844</v>
          </cell>
          <cell r="V116" t="str">
            <v>Engaged in the manufacture and distribution of cosmetics and fragrances</v>
          </cell>
          <cell r="W116" t="str">
            <v>Engaged in the manufacture and distribution of cosmetics and fragrances [source: Bureau van Dijk]</v>
          </cell>
          <cell r="X116" t="str">
            <v>KYUBEUAENKO CO.,LTD.</v>
          </cell>
          <cell r="Z116" t="str">
            <v>KR1101115209310</v>
          </cell>
          <cell r="AA116">
            <v>16324672000</v>
          </cell>
          <cell r="AB116" t="str">
            <v>n.a.</v>
          </cell>
          <cell r="AC116" t="str">
            <v>n.a.</v>
          </cell>
          <cell r="AD116" t="str">
            <v>n.a.</v>
          </cell>
          <cell r="AE116">
            <v>16324672000</v>
          </cell>
          <cell r="AF116" t="str">
            <v>n.a.</v>
          </cell>
          <cell r="AG116" t="str">
            <v>n.a.</v>
          </cell>
          <cell r="AH116" t="str">
            <v>n.a.</v>
          </cell>
          <cell r="AI116" t="str">
            <v>n.a.</v>
          </cell>
          <cell r="AJ116" t="str">
            <v>n.a.</v>
          </cell>
          <cell r="AK116" t="str">
            <v>n.a.</v>
          </cell>
          <cell r="AL116" t="str">
            <v>n.a.</v>
          </cell>
          <cell r="AM116">
            <v>16324672000</v>
          </cell>
          <cell r="AN116" t="str">
            <v>n.a.</v>
          </cell>
          <cell r="AO116" t="str">
            <v>n.a.</v>
          </cell>
          <cell r="AP116" t="str">
            <v>n.a.</v>
          </cell>
          <cell r="AQ116" t="str">
            <v>n.a.</v>
          </cell>
          <cell r="AR116" t="str">
            <v>n.a.</v>
          </cell>
          <cell r="AS116" t="str">
            <v>n.a.</v>
          </cell>
          <cell r="AT116" t="str">
            <v>n.a.</v>
          </cell>
          <cell r="AU116">
            <v>-7920986000</v>
          </cell>
          <cell r="AV116" t="str">
            <v>n.a.</v>
          </cell>
          <cell r="AW116" t="str">
            <v>n.a.</v>
          </cell>
          <cell r="AX116" t="str">
            <v>n.a.</v>
          </cell>
          <cell r="AY116" t="str">
            <v>n.a.</v>
          </cell>
          <cell r="AZ116" t="str">
            <v>n.a.</v>
          </cell>
          <cell r="BA116" t="str">
            <v>n.a.</v>
          </cell>
          <cell r="BB116" t="str">
            <v>n.a.</v>
          </cell>
          <cell r="BC116">
            <v>-10843739000</v>
          </cell>
          <cell r="BD116" t="str">
            <v>n.a.</v>
          </cell>
          <cell r="BE116" t="str">
            <v>n.a.</v>
          </cell>
          <cell r="BF116" t="str">
            <v>n.a.</v>
          </cell>
          <cell r="BG116">
            <v>-2440053000</v>
          </cell>
          <cell r="BH116" t="str">
            <v>n.a.</v>
          </cell>
          <cell r="BI116" t="str">
            <v>n.a.</v>
          </cell>
          <cell r="BJ116" t="str">
            <v>n.a.</v>
          </cell>
          <cell r="BK116">
            <v>-859453000</v>
          </cell>
          <cell r="BL116" t="str">
            <v>n.a.</v>
          </cell>
          <cell r="BM116" t="str">
            <v>n.a.</v>
          </cell>
          <cell r="BN116" t="str">
            <v>n.a.</v>
          </cell>
          <cell r="BO116">
            <v>-818480000</v>
          </cell>
          <cell r="BP116" t="str">
            <v>n.a.</v>
          </cell>
          <cell r="BQ116" t="str">
            <v>n.a.</v>
          </cell>
          <cell r="BR116" t="str">
            <v>n.a.</v>
          </cell>
          <cell r="BS116">
            <v>-40973000</v>
          </cell>
          <cell r="BT116" t="str">
            <v>n.a.</v>
          </cell>
          <cell r="BU116" t="str">
            <v>n.a.</v>
          </cell>
          <cell r="BV116" t="str">
            <v>n.a.</v>
          </cell>
          <cell r="BW116">
            <v>-2556354000</v>
          </cell>
          <cell r="BX116" t="str">
            <v>n.a.</v>
          </cell>
          <cell r="BY116" t="str">
            <v>n.a.</v>
          </cell>
          <cell r="BZ116" t="str">
            <v>n.a.</v>
          </cell>
          <cell r="CA116">
            <v>9785856000</v>
          </cell>
          <cell r="CB116" t="str">
            <v>n.a.</v>
          </cell>
          <cell r="CC116" t="str">
            <v>n.a.</v>
          </cell>
          <cell r="CD116" t="str">
            <v>n.a.</v>
          </cell>
          <cell r="CE116">
            <v>4469070000</v>
          </cell>
          <cell r="CF116" t="str">
            <v>n.a.</v>
          </cell>
          <cell r="CG116" t="str">
            <v>n.a.</v>
          </cell>
          <cell r="CH116" t="str">
            <v>n.a.</v>
          </cell>
          <cell r="CI116">
            <v>4360240000</v>
          </cell>
          <cell r="CJ116" t="str">
            <v>n.a.</v>
          </cell>
          <cell r="CK116" t="str">
            <v>n.a.</v>
          </cell>
          <cell r="CL116" t="str">
            <v>n.a.</v>
          </cell>
          <cell r="CM116">
            <v>210353000</v>
          </cell>
          <cell r="CN116" t="str">
            <v>n.a.</v>
          </cell>
          <cell r="CO116" t="str">
            <v>n.a.</v>
          </cell>
          <cell r="CP116" t="str">
            <v>n.a.</v>
          </cell>
          <cell r="CQ116">
            <v>67400000</v>
          </cell>
          <cell r="CR116" t="str">
            <v>n.a.</v>
          </cell>
          <cell r="CS116" t="str">
            <v>n.a.</v>
          </cell>
          <cell r="CT116" t="str">
            <v>n.a.</v>
          </cell>
          <cell r="CU116" t="str">
            <v>n.a.</v>
          </cell>
          <cell r="CV116" t="str">
            <v>n.a.</v>
          </cell>
          <cell r="CW116" t="str">
            <v>n.a.</v>
          </cell>
          <cell r="CX116" t="str">
            <v>n.a.</v>
          </cell>
          <cell r="CY116">
            <v>151026000</v>
          </cell>
          <cell r="CZ116" t="str">
            <v>n.a.</v>
          </cell>
          <cell r="DA116" t="str">
            <v>n.a.</v>
          </cell>
          <cell r="DB116" t="str">
            <v>n.a.</v>
          </cell>
          <cell r="DC116">
            <v>26277495000</v>
          </cell>
          <cell r="DD116" t="str">
            <v>n.a.</v>
          </cell>
          <cell r="DE116" t="str">
            <v>n.a.</v>
          </cell>
          <cell r="DF116" t="str">
            <v>n.a.</v>
          </cell>
          <cell r="DG116">
            <v>16324672000</v>
          </cell>
          <cell r="DH116">
            <v>-7920986000</v>
          </cell>
          <cell r="DI116">
            <v>-10843739000</v>
          </cell>
          <cell r="DJ116">
            <v>-859453000</v>
          </cell>
          <cell r="DK116">
            <v>-3299506000</v>
          </cell>
          <cell r="DL116">
            <v>-0.20211775158483999</v>
          </cell>
          <cell r="DM116">
            <v>-0.16813473664986101</v>
          </cell>
          <cell r="DN116" t="str">
            <v>n.a.</v>
          </cell>
          <cell r="DO116" t="e">
            <v>#VALUE!</v>
          </cell>
          <cell r="DP116" t="e">
            <v>#VALUE!</v>
          </cell>
          <cell r="DR116">
            <v>18631230000</v>
          </cell>
          <cell r="DS116">
            <v>-9138970000</v>
          </cell>
          <cell r="DT116">
            <v>-7781691000</v>
          </cell>
          <cell r="DU116">
            <v>-753803000</v>
          </cell>
          <cell r="DV116">
            <v>956766000</v>
          </cell>
          <cell r="DW116">
            <v>5.1352809234816998E-2</v>
          </cell>
          <cell r="DX116">
            <v>5.4132674122394898E-2</v>
          </cell>
          <cell r="DY116" t="str">
            <v>n.a.</v>
          </cell>
          <cell r="DZ116">
            <v>3485734</v>
          </cell>
          <cell r="EA116">
            <v>108803.5</v>
          </cell>
          <cell r="EC116">
            <v>19470825000</v>
          </cell>
          <cell r="ED116">
            <v>-8192906000</v>
          </cell>
          <cell r="EE116">
            <v>-8898918000</v>
          </cell>
          <cell r="EF116">
            <v>-731001000</v>
          </cell>
          <cell r="EG116">
            <v>1648000000</v>
          </cell>
          <cell r="EH116">
            <v>8.4639454157694902E-2</v>
          </cell>
          <cell r="EI116">
            <v>9.2465700583381105E-2</v>
          </cell>
          <cell r="EJ116" t="str">
            <v>n.a.</v>
          </cell>
          <cell r="EK116">
            <v>3659570</v>
          </cell>
          <cell r="EL116">
            <v>65858.5</v>
          </cell>
          <cell r="EN116">
            <v>18142242333.333302</v>
          </cell>
          <cell r="EO116">
            <v>-8417620666.6666698</v>
          </cell>
          <cell r="EP116">
            <v>-9174782666.6666698</v>
          </cell>
          <cell r="EQ116">
            <v>-781419000</v>
          </cell>
          <cell r="ER116">
            <v>-231580000.000002</v>
          </cell>
          <cell r="ES116">
            <v>-1.2764684527144301E-2</v>
          </cell>
          <cell r="ET116">
            <v>-1.2603800983743901E-2</v>
          </cell>
        </row>
        <row r="117">
          <cell r="B117" t="str">
            <v>MCLEAN TECHNOLOGIES BERHAD</v>
          </cell>
          <cell r="C117" t="str">
            <v>exclude</v>
          </cell>
          <cell r="D117" t="str">
            <v>Independence(A+, A, A-, U)</v>
          </cell>
          <cell r="H117" t="str">
            <v/>
          </cell>
          <cell r="J117" t="str">
            <v>exclude</v>
          </cell>
          <cell r="K117" t="str">
            <v>Independence(A+, A, A-, U)</v>
          </cell>
          <cell r="M117" t="str">
            <v>MCLEAN TECHNOLOGIES BERHAD</v>
          </cell>
          <cell r="N117" t="str">
            <v>The company is a Malaysia-based enterprise that provides precision cleaning and washing solutions for components of HDD, media cassettes, and trays, as well as medical devices and other components. It conducts its business from its registered head office located in Kuala Lumpur, Malaysia. It was incorporated in the year 2010.The company provides precision cleaning, clean room assembly, and sorting services to the HDD and semiconductor industries; and engaged in the sale of electronic components. It also provides precision plastic injection mouldings for components of HDD, including filters, media cassettes, and trays, as well as components for other industries comprising automotive, electronic, and electrical industries. The company provides its products and services to manufacturers and suppliers of HDD main components primarily in Malaysia, Singapore, and China.</v>
          </cell>
          <cell r="O117" t="str">
            <v>Services</v>
          </cell>
          <cell r="P117" t="str">
            <v>www.mclean.com.sg</v>
          </cell>
          <cell r="R117" t="str">
            <v>Malaysia</v>
          </cell>
          <cell r="S117" t="str">
            <v>0167</v>
          </cell>
          <cell r="T117" t="str">
            <v>B+</v>
          </cell>
          <cell r="U117" t="str">
            <v>2842</v>
          </cell>
          <cell r="V117" t="str">
            <v>Provides precision cleaning and washing solutions for components of HDD, media cassettes, and trays, as well as medical devices and other components</v>
          </cell>
          <cell r="W117" t="str">
            <v>The Group's principal activities are:
1) The provision of precision cleaning and washing solutions for components of HDD, media cassettes, trays, as well as medical devices and other components that require a high level of precision cleaning; and
2) The provision of precision plastic injection moulding for components of HDD such as filters, media cassettes and trays including components for other industries such as automotive, electronic and electrical industries.</v>
          </cell>
          <cell r="Z117" t="str">
            <v>MY893631-T</v>
          </cell>
          <cell r="AA117">
            <v>54639000</v>
          </cell>
          <cell r="AB117">
            <v>59818000</v>
          </cell>
          <cell r="AC117">
            <v>61268000</v>
          </cell>
          <cell r="AD117">
            <v>59270000</v>
          </cell>
          <cell r="AE117">
            <v>52373000</v>
          </cell>
          <cell r="AF117">
            <v>59318000</v>
          </cell>
          <cell r="AG117">
            <v>56134000</v>
          </cell>
          <cell r="AH117">
            <v>58668000</v>
          </cell>
          <cell r="AI117" t="str">
            <v>n.a.</v>
          </cell>
          <cell r="AJ117" t="str">
            <v>n.a.</v>
          </cell>
          <cell r="AK117" t="str">
            <v>n.a.</v>
          </cell>
          <cell r="AL117" t="str">
            <v>n.a.</v>
          </cell>
          <cell r="AM117">
            <v>52373000</v>
          </cell>
          <cell r="AN117">
            <v>59318000</v>
          </cell>
          <cell r="AO117">
            <v>56134000</v>
          </cell>
          <cell r="AP117">
            <v>58668000</v>
          </cell>
          <cell r="AQ117">
            <v>2266000</v>
          </cell>
          <cell r="AR117">
            <v>500000</v>
          </cell>
          <cell r="AS117">
            <v>5134000</v>
          </cell>
          <cell r="AT117">
            <v>602000</v>
          </cell>
          <cell r="AU117">
            <v>-43005000</v>
          </cell>
          <cell r="AV117">
            <v>-35292000</v>
          </cell>
          <cell r="AW117">
            <v>-35632000</v>
          </cell>
          <cell r="AX117">
            <v>-38138000</v>
          </cell>
          <cell r="AY117">
            <v>0</v>
          </cell>
          <cell r="AZ117">
            <v>0</v>
          </cell>
          <cell r="BA117">
            <v>0</v>
          </cell>
          <cell r="BB117">
            <v>0</v>
          </cell>
          <cell r="BC117">
            <v>-13969000</v>
          </cell>
          <cell r="BD117">
            <v>-19227000</v>
          </cell>
          <cell r="BE117">
            <v>-14200000</v>
          </cell>
          <cell r="BF117">
            <v>-17908000</v>
          </cell>
          <cell r="BG117">
            <v>-2335000</v>
          </cell>
          <cell r="BH117">
            <v>5299000</v>
          </cell>
          <cell r="BI117">
            <v>11436000</v>
          </cell>
          <cell r="BJ117">
            <v>3224000</v>
          </cell>
          <cell r="BK117">
            <v>-56000</v>
          </cell>
          <cell r="BL117">
            <v>-12381000</v>
          </cell>
          <cell r="BM117">
            <v>-7053000</v>
          </cell>
          <cell r="BN117">
            <v>-8195000</v>
          </cell>
          <cell r="BO117">
            <v>-56000</v>
          </cell>
          <cell r="BP117">
            <v>-12381000</v>
          </cell>
          <cell r="BQ117">
            <v>-7053000</v>
          </cell>
          <cell r="BR117">
            <v>-8195000</v>
          </cell>
          <cell r="BS117">
            <v>0</v>
          </cell>
          <cell r="BT117">
            <v>0</v>
          </cell>
          <cell r="BU117">
            <v>0</v>
          </cell>
          <cell r="BV117">
            <v>0</v>
          </cell>
          <cell r="BW117">
            <v>-2984000</v>
          </cell>
          <cell r="BX117">
            <v>-8223000</v>
          </cell>
          <cell r="BY117">
            <v>1927000</v>
          </cell>
          <cell r="BZ117">
            <v>-2438000</v>
          </cell>
          <cell r="CA117">
            <v>21182000</v>
          </cell>
          <cell r="CB117">
            <v>26821000</v>
          </cell>
          <cell r="CC117">
            <v>25398000</v>
          </cell>
          <cell r="CD117">
            <v>27476000</v>
          </cell>
          <cell r="CE117">
            <v>987000</v>
          </cell>
          <cell r="CF117">
            <v>1300000</v>
          </cell>
          <cell r="CG117">
            <v>814000</v>
          </cell>
          <cell r="CH117">
            <v>698000</v>
          </cell>
          <cell r="CI117">
            <v>11087000</v>
          </cell>
          <cell r="CJ117">
            <v>15422000</v>
          </cell>
          <cell r="CK117">
            <v>15422000</v>
          </cell>
          <cell r="CL117">
            <v>16854000</v>
          </cell>
          <cell r="CM117">
            <v>2225000</v>
          </cell>
          <cell r="CN117">
            <v>3820000</v>
          </cell>
          <cell r="CO117">
            <v>3810000</v>
          </cell>
          <cell r="CP117">
            <v>2157000</v>
          </cell>
          <cell r="CQ117">
            <v>3575000</v>
          </cell>
          <cell r="CR117">
            <v>4441000</v>
          </cell>
          <cell r="CS117">
            <v>4426000</v>
          </cell>
          <cell r="CT117">
            <v>6553000</v>
          </cell>
          <cell r="CU117" t="str">
            <v>n.a.</v>
          </cell>
          <cell r="CV117" t="str">
            <v>n.a.</v>
          </cell>
          <cell r="CW117" t="str">
            <v>n.a.</v>
          </cell>
          <cell r="CX117" t="str">
            <v>n.a.</v>
          </cell>
          <cell r="CY117">
            <v>13386000</v>
          </cell>
          <cell r="CZ117">
            <v>21128000</v>
          </cell>
          <cell r="DA117">
            <v>22635000</v>
          </cell>
          <cell r="DB117">
            <v>24971000</v>
          </cell>
          <cell r="DC117">
            <v>44942000</v>
          </cell>
          <cell r="DD117">
            <v>55387000</v>
          </cell>
          <cell r="DE117">
            <v>57677000</v>
          </cell>
          <cell r="DF117">
            <v>62202000</v>
          </cell>
          <cell r="DG117">
            <v>52373000</v>
          </cell>
          <cell r="DH117">
            <v>-43005000</v>
          </cell>
          <cell r="DI117">
            <v>-13969000</v>
          </cell>
          <cell r="DJ117">
            <v>-56000</v>
          </cell>
          <cell r="DK117">
            <v>-4657000</v>
          </cell>
          <cell r="DL117">
            <v>-8.8919863288335593E-2</v>
          </cell>
          <cell r="DM117">
            <v>-8.1658776082763507E-2</v>
          </cell>
          <cell r="DN117">
            <v>0</v>
          </cell>
          <cell r="DO117">
            <v>1143500</v>
          </cell>
          <cell r="DP117">
            <v>17257000</v>
          </cell>
          <cell r="DR117">
            <v>59318000</v>
          </cell>
          <cell r="DS117">
            <v>-35292000</v>
          </cell>
          <cell r="DT117">
            <v>-19227000</v>
          </cell>
          <cell r="DU117">
            <v>-12381000</v>
          </cell>
          <cell r="DV117">
            <v>-7582000</v>
          </cell>
          <cell r="DW117">
            <v>-0.12781954887218</v>
          </cell>
          <cell r="DX117">
            <v>-0.11333333333333299</v>
          </cell>
          <cell r="DY117">
            <v>0</v>
          </cell>
          <cell r="DZ117">
            <v>1057000</v>
          </cell>
          <cell r="EA117">
            <v>21881500</v>
          </cell>
          <cell r="EC117">
            <v>56134000</v>
          </cell>
          <cell r="ED117">
            <v>-35632000</v>
          </cell>
          <cell r="EE117">
            <v>-14200000</v>
          </cell>
          <cell r="EF117">
            <v>-7053000</v>
          </cell>
          <cell r="EG117">
            <v>-751000</v>
          </cell>
          <cell r="EH117">
            <v>-1.33787009655467E-2</v>
          </cell>
          <cell r="EI117">
            <v>-1.3202074360552001E-2</v>
          </cell>
          <cell r="EJ117">
            <v>0</v>
          </cell>
          <cell r="EK117">
            <v>756000</v>
          </cell>
          <cell r="EL117">
            <v>23803000</v>
          </cell>
          <cell r="EN117">
            <v>55941666.666666701</v>
          </cell>
          <cell r="EO117">
            <v>-37976333.333333299</v>
          </cell>
          <cell r="EP117">
            <v>-15798666.6666667</v>
          </cell>
          <cell r="EQ117">
            <v>-6496666.6666666698</v>
          </cell>
          <cell r="ER117">
            <v>-4330000</v>
          </cell>
          <cell r="ES117">
            <v>-7.7402055712796194E-2</v>
          </cell>
          <cell r="ET117">
            <v>-7.1841384840859501E-2</v>
          </cell>
        </row>
        <row r="118">
          <cell r="B118" t="str">
            <v>KM PHARMACEUTICAL CO.,LTD.</v>
          </cell>
          <cell r="C118" t="str">
            <v>exclude</v>
          </cell>
          <cell r="D118" t="str">
            <v>Independence(A+, A, A-, U)</v>
          </cell>
          <cell r="H118" t="str">
            <v/>
          </cell>
          <cell r="J118" t="e">
            <v>#N/A</v>
          </cell>
          <cell r="K118" t="e">
            <v>#N/A</v>
          </cell>
          <cell r="M118" t="str">
            <v>KM PHARMACEUTICAL CO.,LTD.</v>
          </cell>
          <cell r="N118" t="str">
            <v>This company is engaged in the manufacture and distribution of oral care products. It was incorporated in 2015 and conducts business from its registered business address located in Pyeongtaek-Si, Korea. The company supplies toothbrush and toothpaste, as well as a wide range of cosmetics and beauty care products. Its products are sold in the domestic market through its comprehensive marketing network.</v>
          </cell>
          <cell r="O118" t="str">
            <v>Manufacturing</v>
          </cell>
          <cell r="P118" t="str">
            <v>www.kmkmp.com</v>
          </cell>
          <cell r="R118" t="str">
            <v>Republic of Korea</v>
          </cell>
          <cell r="S118" t="str">
            <v>225430</v>
          </cell>
          <cell r="T118" t="str">
            <v>B-</v>
          </cell>
          <cell r="U118" t="str">
            <v>2841</v>
          </cell>
          <cell r="V118" t="str">
            <v>Manufacture and distribution of oral care products</v>
          </cell>
          <cell r="W118" t="str">
            <v>- The company is engaged in the business of manufacturing and selling Oral Care products, beauty care products, and other baby products.- Toothpastes for infants / adults, toothbrushes, baby shampoos and bodywashes are the main products. In addition, household goods such as dehumidifiers, fragrances, wipes, and tissue paper are also sold.- It is generating sales by signing an agreement with Iconic Co., Ltd., an animation planning specialist, for the use of characters (Pororo, friends, and small buses).</v>
          </cell>
          <cell r="X118" t="str">
            <v>IBKS NO.3 SPECIAL PURPOSE ACQUISITION COMPANY</v>
          </cell>
          <cell r="Z118" t="str">
            <v>KR1101115779909</v>
          </cell>
          <cell r="AA118">
            <v>15631452000</v>
          </cell>
          <cell r="AB118">
            <v>22705128000</v>
          </cell>
          <cell r="AC118">
            <v>22928127000</v>
          </cell>
          <cell r="AD118">
            <v>20338373000</v>
          </cell>
          <cell r="AE118">
            <v>15631452000</v>
          </cell>
          <cell r="AF118">
            <v>22705128000</v>
          </cell>
          <cell r="AG118">
            <v>22928127000</v>
          </cell>
          <cell r="AH118">
            <v>20338373000</v>
          </cell>
          <cell r="AI118" t="str">
            <v>n.a.</v>
          </cell>
          <cell r="AJ118" t="str">
            <v>n.a.</v>
          </cell>
          <cell r="AK118" t="str">
            <v>n.a.</v>
          </cell>
          <cell r="AL118" t="str">
            <v>n.a.</v>
          </cell>
          <cell r="AM118">
            <v>15631452000</v>
          </cell>
          <cell r="AN118">
            <v>22705128000</v>
          </cell>
          <cell r="AO118">
            <v>22928127000</v>
          </cell>
          <cell r="AP118">
            <v>20338373000</v>
          </cell>
          <cell r="AQ118" t="str">
            <v>n.a.</v>
          </cell>
          <cell r="AR118" t="str">
            <v>n.a.</v>
          </cell>
          <cell r="AS118" t="str">
            <v>n.a.</v>
          </cell>
          <cell r="AT118" t="str">
            <v>n.a.</v>
          </cell>
          <cell r="AU118">
            <v>-12406915000</v>
          </cell>
          <cell r="AV118">
            <v>-17041688000</v>
          </cell>
          <cell r="AW118">
            <v>-16987549000</v>
          </cell>
          <cell r="AX118">
            <v>-14552074000</v>
          </cell>
          <cell r="AY118">
            <v>-450382000</v>
          </cell>
          <cell r="AZ118">
            <v>-404561000</v>
          </cell>
          <cell r="BA118">
            <v>-306702000</v>
          </cell>
          <cell r="BB118">
            <v>-367520000</v>
          </cell>
          <cell r="BC118">
            <v>-3579781000</v>
          </cell>
          <cell r="BD118">
            <v>-4073249000</v>
          </cell>
          <cell r="BE118">
            <v>-4509479000</v>
          </cell>
          <cell r="BF118">
            <v>-6621054000</v>
          </cell>
          <cell r="BG118">
            <v>-805626000</v>
          </cell>
          <cell r="BH118">
            <v>1185630000</v>
          </cell>
          <cell r="BI118">
            <v>1124397000</v>
          </cell>
          <cell r="BJ118">
            <v>-1202275000</v>
          </cell>
          <cell r="BK118">
            <v>-440912000</v>
          </cell>
          <cell r="BL118">
            <v>-319492000</v>
          </cell>
          <cell r="BM118">
            <v>-412077000</v>
          </cell>
          <cell r="BN118">
            <v>-323755000</v>
          </cell>
          <cell r="BO118">
            <v>-401473000</v>
          </cell>
          <cell r="BP118">
            <v>-280205000</v>
          </cell>
          <cell r="BQ118">
            <v>-373104000</v>
          </cell>
          <cell r="BR118">
            <v>-311343000</v>
          </cell>
          <cell r="BS118">
            <v>-39439000</v>
          </cell>
          <cell r="BT118">
            <v>-39287000</v>
          </cell>
          <cell r="BU118">
            <v>-38973000</v>
          </cell>
          <cell r="BV118">
            <v>-12412000</v>
          </cell>
          <cell r="BW118">
            <v>-3924971000</v>
          </cell>
          <cell r="BX118">
            <v>-611186000</v>
          </cell>
          <cell r="BY118">
            <v>470877000</v>
          </cell>
          <cell r="BZ118">
            <v>-902231000</v>
          </cell>
          <cell r="CA118">
            <v>6345458000</v>
          </cell>
          <cell r="CB118">
            <v>9845996000</v>
          </cell>
          <cell r="CC118">
            <v>12107060000</v>
          </cell>
          <cell r="CD118">
            <v>7429866000</v>
          </cell>
          <cell r="CE118">
            <v>2453082000</v>
          </cell>
          <cell r="CF118">
            <v>2758903000</v>
          </cell>
          <cell r="CG118">
            <v>3122702000</v>
          </cell>
          <cell r="CH118">
            <v>3205173000</v>
          </cell>
          <cell r="CI118">
            <v>2272628000</v>
          </cell>
          <cell r="CJ118">
            <v>3749387000</v>
          </cell>
          <cell r="CK118">
            <v>2834487000</v>
          </cell>
          <cell r="CL118">
            <v>2353285000</v>
          </cell>
          <cell r="CM118">
            <v>150000000</v>
          </cell>
          <cell r="CN118">
            <v>565097000</v>
          </cell>
          <cell r="CO118">
            <v>151674000</v>
          </cell>
          <cell r="CP118">
            <v>793431000</v>
          </cell>
          <cell r="CQ118">
            <v>447749000</v>
          </cell>
          <cell r="CR118">
            <v>2131448000</v>
          </cell>
          <cell r="CS118">
            <v>5727019000</v>
          </cell>
          <cell r="CT118">
            <v>700007000</v>
          </cell>
          <cell r="CU118" t="str">
            <v>n.a.</v>
          </cell>
          <cell r="CV118" t="str">
            <v>n.a.</v>
          </cell>
          <cell r="CW118" t="str">
            <v>n.a.</v>
          </cell>
          <cell r="CX118" t="str">
            <v>n.a.</v>
          </cell>
          <cell r="CY118">
            <v>166524000</v>
          </cell>
          <cell r="CZ118">
            <v>167519000</v>
          </cell>
          <cell r="DA118">
            <v>477334000</v>
          </cell>
          <cell r="DB118">
            <v>1522564000</v>
          </cell>
          <cell r="DC118">
            <v>51281136000</v>
          </cell>
          <cell r="DD118">
            <v>52675924000</v>
          </cell>
          <cell r="DE118">
            <v>50240205000</v>
          </cell>
          <cell r="DF118">
            <v>43142804000</v>
          </cell>
          <cell r="DG118">
            <v>15631452000</v>
          </cell>
          <cell r="DH118">
            <v>-12406915000</v>
          </cell>
          <cell r="DI118">
            <v>-4030163000</v>
          </cell>
          <cell r="DJ118">
            <v>-440912000</v>
          </cell>
          <cell r="DK118">
            <v>-1246538000</v>
          </cell>
          <cell r="DL118">
            <v>-7.9745502848999603E-2</v>
          </cell>
          <cell r="DM118">
            <v>-7.3855832359184997E-2</v>
          </cell>
          <cell r="DN118">
            <v>-450382000</v>
          </cell>
          <cell r="DO118">
            <v>2605992500</v>
          </cell>
          <cell r="DP118">
            <v>167021500</v>
          </cell>
          <cell r="DR118">
            <v>22705128000</v>
          </cell>
          <cell r="DS118">
            <v>-17041688000</v>
          </cell>
          <cell r="DT118">
            <v>-4477810000</v>
          </cell>
          <cell r="DU118">
            <v>-319492000</v>
          </cell>
          <cell r="DV118">
            <v>866138000</v>
          </cell>
          <cell r="DW118">
            <v>3.8147241451358498E-2</v>
          </cell>
          <cell r="DX118">
            <v>3.9660167434483001E-2</v>
          </cell>
          <cell r="DY118">
            <v>-404561000</v>
          </cell>
          <cell r="DZ118">
            <v>2940802500</v>
          </cell>
          <cell r="EA118">
            <v>322426500</v>
          </cell>
          <cell r="EC118">
            <v>22928127000</v>
          </cell>
          <cell r="ED118">
            <v>-16987549000</v>
          </cell>
          <cell r="EE118">
            <v>-4816181000</v>
          </cell>
          <cell r="EF118">
            <v>-412077000</v>
          </cell>
          <cell r="EG118">
            <v>712320000</v>
          </cell>
          <cell r="EH118">
            <v>3.1067518075070001E-2</v>
          </cell>
          <cell r="EI118">
            <v>3.2063656296617997E-2</v>
          </cell>
          <cell r="EJ118">
            <v>-306702000</v>
          </cell>
          <cell r="EK118">
            <v>3163937500</v>
          </cell>
          <cell r="EL118">
            <v>999949000</v>
          </cell>
          <cell r="EN118">
            <v>20421569000</v>
          </cell>
          <cell r="EO118">
            <v>-15478717333.3333</v>
          </cell>
          <cell r="EP118">
            <v>-4441384666.6666698</v>
          </cell>
          <cell r="EQ118">
            <v>-390827000</v>
          </cell>
          <cell r="ER118">
            <v>110639999.999999</v>
          </cell>
          <cell r="ES118">
            <v>5.4178011493631597E-3</v>
          </cell>
          <cell r="ET118">
            <v>5.4473136113074401E-3</v>
          </cell>
        </row>
        <row r="119">
          <cell r="B119" t="str">
            <v>ENG KAH CORPORATION BERHAD</v>
          </cell>
          <cell r="C119" t="str">
            <v>exclude</v>
          </cell>
          <cell r="D119" t="str">
            <v>Independence(A+, A, A-, U)</v>
          </cell>
          <cell r="H119" t="str">
            <v/>
          </cell>
          <cell r="J119" t="str">
            <v>newly include</v>
          </cell>
          <cell r="K119">
            <v>0</v>
          </cell>
          <cell r="M119" t="str">
            <v>ENG KAH CORPORATION BERHAD</v>
          </cell>
          <cell r="N119" t="str">
            <v>This company, based in Malaysia, operates as an investment holding firm with subsidiaries engaged in the manufacture and sale of personal care, household, perfume, and toiletry products. It was incorporated in 1997 and has its registered headquarters located in Penang. The company offers perfume spray, roll-on, aerosol spray, deo-stick and lipstick, and cream products; face powder/face cosmetics, eye cosmetics, lip cosmetics/lip care pencil, and hair cosmetic products; and body wash/scrub, body moisturizer, slimming, and hair care products. Its household products include mouth fresheners, toothpastes, bust contouring creams, bust maximizers, and buttock contouring creams, as well as kitchen, house/toilet, and car products. It also provides skin care products, such as cleanser/scrub mask, moisturizers, day and night care, eye care treatment, and toner products.</v>
          </cell>
          <cell r="O119" t="str">
            <v>Services</v>
          </cell>
          <cell r="P119" t="str">
            <v>www.eng-kah.com</v>
          </cell>
          <cell r="R119" t="str">
            <v>Malaysia</v>
          </cell>
          <cell r="S119" t="str">
            <v>7149</v>
          </cell>
          <cell r="T119" t="str">
            <v>B+</v>
          </cell>
          <cell r="U119" t="str">
            <v>2844</v>
          </cell>
          <cell r="V119" t="str">
            <v>Operates as an investment holding firm with subsidiaries engaged in the manufacture and sale of personal care, household, perfume, and toiletry products</v>
          </cell>
          <cell r="W119" t="str">
            <v>The Company is an investment holding company involved in the manufacturing and sale of personal, household, perfume and toiletry products.</v>
          </cell>
          <cell r="Z119" t="str">
            <v>MY435649-H</v>
          </cell>
          <cell r="AA119">
            <v>50788000</v>
          </cell>
          <cell r="AB119">
            <v>53333000</v>
          </cell>
          <cell r="AC119">
            <v>52811000</v>
          </cell>
          <cell r="AD119">
            <v>51148000</v>
          </cell>
          <cell r="AE119">
            <v>50153000</v>
          </cell>
          <cell r="AF119">
            <v>48477000</v>
          </cell>
          <cell r="AG119">
            <v>51306000</v>
          </cell>
          <cell r="AH119">
            <v>49079000</v>
          </cell>
          <cell r="AI119" t="str">
            <v>n.a.</v>
          </cell>
          <cell r="AJ119" t="str">
            <v>n.a.</v>
          </cell>
          <cell r="AK119" t="str">
            <v>n.a.</v>
          </cell>
          <cell r="AL119" t="str">
            <v>n.a.</v>
          </cell>
          <cell r="AM119">
            <v>50153000</v>
          </cell>
          <cell r="AN119">
            <v>48477000</v>
          </cell>
          <cell r="AO119">
            <v>51306000</v>
          </cell>
          <cell r="AP119">
            <v>49079000</v>
          </cell>
          <cell r="AQ119">
            <v>635000</v>
          </cell>
          <cell r="AR119">
            <v>4856000</v>
          </cell>
          <cell r="AS119">
            <v>1505000</v>
          </cell>
          <cell r="AT119">
            <v>2069000</v>
          </cell>
          <cell r="AU119">
            <v>-38466000</v>
          </cell>
          <cell r="AV119">
            <v>-37048000</v>
          </cell>
          <cell r="AW119">
            <v>-34235000</v>
          </cell>
          <cell r="AX119">
            <v>-32227000</v>
          </cell>
          <cell r="AY119">
            <v>-1526000</v>
          </cell>
          <cell r="AZ119">
            <v>-1643000</v>
          </cell>
          <cell r="BA119">
            <v>-2022000</v>
          </cell>
          <cell r="BB119">
            <v>-3189000</v>
          </cell>
          <cell r="BC119">
            <v>-13144000</v>
          </cell>
          <cell r="BD119">
            <v>-13590000</v>
          </cell>
          <cell r="BE119">
            <v>-12313000</v>
          </cell>
          <cell r="BF119">
            <v>-13823000</v>
          </cell>
          <cell r="BG119">
            <v>-2348000</v>
          </cell>
          <cell r="BH119">
            <v>1052000</v>
          </cell>
          <cell r="BI119">
            <v>4241000</v>
          </cell>
          <cell r="BJ119">
            <v>1909000</v>
          </cell>
          <cell r="BK119">
            <v>-1170000</v>
          </cell>
          <cell r="BL119">
            <v>-1130000</v>
          </cell>
          <cell r="BM119">
            <v>-1160000</v>
          </cell>
          <cell r="BN119">
            <v>-1214000</v>
          </cell>
          <cell r="BO119">
            <v>-1170000</v>
          </cell>
          <cell r="BP119">
            <v>-1130000</v>
          </cell>
          <cell r="BQ119">
            <v>-1160000</v>
          </cell>
          <cell r="BR119">
            <v>-1214000</v>
          </cell>
          <cell r="BS119">
            <v>0</v>
          </cell>
          <cell r="BT119">
            <v>0</v>
          </cell>
          <cell r="BU119">
            <v>0</v>
          </cell>
          <cell r="BV119">
            <v>0</v>
          </cell>
          <cell r="BW119">
            <v>-3728000</v>
          </cell>
          <cell r="BX119">
            <v>-5705000</v>
          </cell>
          <cell r="BY119">
            <v>2647000</v>
          </cell>
          <cell r="BZ119">
            <v>778000</v>
          </cell>
          <cell r="CA119">
            <v>56333000</v>
          </cell>
          <cell r="CB119">
            <v>57977000</v>
          </cell>
          <cell r="CC119">
            <v>66491000</v>
          </cell>
          <cell r="CD119">
            <v>59008000</v>
          </cell>
          <cell r="CE119">
            <v>28523000</v>
          </cell>
          <cell r="CF119">
            <v>22583000</v>
          </cell>
          <cell r="CG119">
            <v>19721000</v>
          </cell>
          <cell r="CH119">
            <v>15326000</v>
          </cell>
          <cell r="CI119">
            <v>11623000</v>
          </cell>
          <cell r="CJ119">
            <v>14522000</v>
          </cell>
          <cell r="CK119">
            <v>14582000</v>
          </cell>
          <cell r="CL119">
            <v>10811000</v>
          </cell>
          <cell r="CM119">
            <v>1760000</v>
          </cell>
          <cell r="CN119">
            <v>2689000</v>
          </cell>
          <cell r="CO119">
            <v>2447000</v>
          </cell>
          <cell r="CP119">
            <v>2042000</v>
          </cell>
          <cell r="CQ119">
            <v>13041000</v>
          </cell>
          <cell r="CR119">
            <v>17086000</v>
          </cell>
          <cell r="CS119">
            <v>23935000</v>
          </cell>
          <cell r="CT119">
            <v>25531000</v>
          </cell>
          <cell r="CU119">
            <v>2326000</v>
          </cell>
          <cell r="CV119" t="str">
            <v>n.a.</v>
          </cell>
          <cell r="CW119" t="str">
            <v>n.a.</v>
          </cell>
          <cell r="CX119" t="str">
            <v>n.a.</v>
          </cell>
          <cell r="CY119">
            <v>4957000</v>
          </cell>
          <cell r="CZ119">
            <v>4874000</v>
          </cell>
          <cell r="DA119">
            <v>4684000</v>
          </cell>
          <cell r="DB119">
            <v>4541000</v>
          </cell>
          <cell r="DC119">
            <v>76875000</v>
          </cell>
          <cell r="DD119">
            <v>77995000</v>
          </cell>
          <cell r="DE119">
            <v>86779000</v>
          </cell>
          <cell r="DF119">
            <v>80292000</v>
          </cell>
          <cell r="DG119">
            <v>50153000</v>
          </cell>
          <cell r="DH119">
            <v>-38466000</v>
          </cell>
          <cell r="DI119">
            <v>-14670000</v>
          </cell>
          <cell r="DJ119">
            <v>-1170000</v>
          </cell>
          <cell r="DK119">
            <v>-4153000</v>
          </cell>
          <cell r="DL119">
            <v>-8.2806611767989993E-2</v>
          </cell>
          <cell r="DM119">
            <v>-7.6474054432291105E-2</v>
          </cell>
          <cell r="DN119">
            <v>-1526000</v>
          </cell>
          <cell r="DO119">
            <v>25553000</v>
          </cell>
          <cell r="DP119">
            <v>4915500</v>
          </cell>
          <cell r="DR119">
            <v>48477000</v>
          </cell>
          <cell r="DS119">
            <v>-37048000</v>
          </cell>
          <cell r="DT119">
            <v>-15233000</v>
          </cell>
          <cell r="DU119">
            <v>-1130000</v>
          </cell>
          <cell r="DV119">
            <v>-4934000</v>
          </cell>
          <cell r="DW119">
            <v>-0.101780225674031</v>
          </cell>
          <cell r="DX119">
            <v>-9.2377974574525804E-2</v>
          </cell>
          <cell r="DY119">
            <v>-1643000</v>
          </cell>
          <cell r="DZ119">
            <v>21152000</v>
          </cell>
          <cell r="EA119">
            <v>4779000</v>
          </cell>
          <cell r="EC119">
            <v>51306000</v>
          </cell>
          <cell r="ED119">
            <v>-34235000</v>
          </cell>
          <cell r="EE119">
            <v>-14335000</v>
          </cell>
          <cell r="EF119">
            <v>-1160000</v>
          </cell>
          <cell r="EG119">
            <v>1576000</v>
          </cell>
          <cell r="EH119">
            <v>3.0717654855182599E-2</v>
          </cell>
          <cell r="EI119">
            <v>3.1691132113412401E-2</v>
          </cell>
          <cell r="EJ119">
            <v>-2022000</v>
          </cell>
          <cell r="EK119">
            <v>17523500</v>
          </cell>
          <cell r="EL119">
            <v>4612500</v>
          </cell>
          <cell r="EN119">
            <v>49978666.666666701</v>
          </cell>
          <cell r="EO119">
            <v>-36583000</v>
          </cell>
          <cell r="EP119">
            <v>-14746000</v>
          </cell>
          <cell r="EQ119">
            <v>-1153333.33333333</v>
          </cell>
          <cell r="ER119">
            <v>-2503666.6666666698</v>
          </cell>
          <cell r="ES119">
            <v>-5.0094707075018702E-2</v>
          </cell>
          <cell r="ET119">
            <v>-4.7704941980476E-2</v>
          </cell>
        </row>
        <row r="120">
          <cell r="B120" t="str">
            <v>GFC LIFE SCIENCE CO.,LTD.</v>
          </cell>
          <cell r="C120" t="str">
            <v>exclude</v>
          </cell>
          <cell r="D120" t="str">
            <v>Independence(A+, A, A-, U)</v>
          </cell>
          <cell r="H120" t="str">
            <v/>
          </cell>
          <cell r="J120" t="str">
            <v>exclude</v>
          </cell>
          <cell r="K120" t="str">
            <v>Independence(A+, A, A-, U)</v>
          </cell>
          <cell r="M120" t="str">
            <v>GFC LIFE SCIENCE CO.,LTD.</v>
          </cell>
          <cell r="N120" t="str">
            <v>This company is engaged in the development of cosmetic products. It conducts business from its registered head office located in Hwaseong-si, Republic of Korea and was established in 2002. The company uses its strong research power and develops innovative cosmetics using a variety of sources. It makes customize products based on its scientific specialties and know-how and its marketing concept and formulation studies are done based on the clients' needs. Its cosmetic raw materials, marketing concepts, clinical studies, formulation guidelines, and other information such as scientific publications and patents are designed to help clients achieve maximum market impact. It secures competitiveness in the market through research and development using natural materials, and excavates materials according to rapid changes in the trend. It also provides services to satisfy customers' needs such as storytelling and professional data collection. Its materials are used and continuously recognized in many famous brand products. It was able to provide a total solution to its customers and to grow outwardly. The company also used Korea Skin Research Institute, a research institute specializing in clinical evaluation tests for cosmetics, as its subsidiary.</v>
          </cell>
          <cell r="O120" t="str">
            <v>Manufacturing</v>
          </cell>
          <cell r="P120" t="str">
            <v>www.gfcos.co.kr</v>
          </cell>
          <cell r="R120" t="str">
            <v>Republic of Korea</v>
          </cell>
          <cell r="S120" t="str">
            <v>388610</v>
          </cell>
          <cell r="T120" t="str">
            <v>D</v>
          </cell>
          <cell r="U120" t="str">
            <v>2844</v>
          </cell>
          <cell r="V120" t="str">
            <v>Engaged in the development of cosmetic products</v>
          </cell>
          <cell r="W120" t="str">
            <v>Engaged in the development of cosmetic products [source: Bureau van Dijk]</v>
          </cell>
          <cell r="X120" t="str">
            <v>GFC CO.,LTD.</v>
          </cell>
          <cell r="Z120" t="str">
            <v>KR1101112548993</v>
          </cell>
          <cell r="AA120">
            <v>14158238000</v>
          </cell>
          <cell r="AB120">
            <v>13736571000</v>
          </cell>
          <cell r="AC120">
            <v>13324201000</v>
          </cell>
          <cell r="AD120">
            <v>11350449000</v>
          </cell>
          <cell r="AE120">
            <v>14158238000</v>
          </cell>
          <cell r="AF120">
            <v>13736571000</v>
          </cell>
          <cell r="AG120">
            <v>13324201000</v>
          </cell>
          <cell r="AH120">
            <v>11350449000</v>
          </cell>
          <cell r="AI120" t="str">
            <v>n.a.</v>
          </cell>
          <cell r="AJ120" t="str">
            <v>n.a.</v>
          </cell>
          <cell r="AK120" t="str">
            <v>n.a.</v>
          </cell>
          <cell r="AL120" t="str">
            <v>n.a.</v>
          </cell>
          <cell r="AM120">
            <v>14158238000</v>
          </cell>
          <cell r="AN120">
            <v>13736571000</v>
          </cell>
          <cell r="AO120">
            <v>13324201000</v>
          </cell>
          <cell r="AP120">
            <v>11350449000</v>
          </cell>
          <cell r="AQ120" t="str">
            <v>n.a.</v>
          </cell>
          <cell r="AR120" t="str">
            <v>n.a.</v>
          </cell>
          <cell r="AS120" t="str">
            <v>n.a.</v>
          </cell>
          <cell r="AT120" t="str">
            <v>n.a.</v>
          </cell>
          <cell r="AU120">
            <v>-7954090000</v>
          </cell>
          <cell r="AV120">
            <v>-7250803000</v>
          </cell>
          <cell r="AW120">
            <v>-7339301000</v>
          </cell>
          <cell r="AX120">
            <v>-6705902000</v>
          </cell>
          <cell r="AY120">
            <v>-1076822000</v>
          </cell>
          <cell r="AZ120">
            <v>-840999000</v>
          </cell>
          <cell r="BA120">
            <v>-967779000</v>
          </cell>
          <cell r="BB120">
            <v>-433985000</v>
          </cell>
          <cell r="BC120">
            <v>-4043822000</v>
          </cell>
          <cell r="BD120">
            <v>-3815072000</v>
          </cell>
          <cell r="BE120">
            <v>-4190077000</v>
          </cell>
          <cell r="BF120">
            <v>-2902164000</v>
          </cell>
          <cell r="BG120">
            <v>1083504000</v>
          </cell>
          <cell r="BH120">
            <v>1829697000</v>
          </cell>
          <cell r="BI120">
            <v>827044000</v>
          </cell>
          <cell r="BJ120">
            <v>1308398000</v>
          </cell>
          <cell r="BK120">
            <v>-480953000</v>
          </cell>
          <cell r="BL120">
            <v>-450912000</v>
          </cell>
          <cell r="BM120">
            <v>-418369000</v>
          </cell>
          <cell r="BN120">
            <v>-450780000</v>
          </cell>
          <cell r="BO120">
            <v>-414163000</v>
          </cell>
          <cell r="BP120">
            <v>-375355000</v>
          </cell>
          <cell r="BQ120">
            <v>-345978000</v>
          </cell>
          <cell r="BR120">
            <v>-387904000</v>
          </cell>
          <cell r="BS120">
            <v>-66790000</v>
          </cell>
          <cell r="BT120">
            <v>-75557000</v>
          </cell>
          <cell r="BU120">
            <v>-72391000</v>
          </cell>
          <cell r="BV120">
            <v>-62876000</v>
          </cell>
          <cell r="BW120">
            <v>327303000</v>
          </cell>
          <cell r="BX120">
            <v>1617045000</v>
          </cell>
          <cell r="BY120">
            <v>-2862569000</v>
          </cell>
          <cell r="BZ120">
            <v>448696000</v>
          </cell>
          <cell r="CA120">
            <v>3393427000</v>
          </cell>
          <cell r="CB120">
            <v>3698947000</v>
          </cell>
          <cell r="CC120">
            <v>3462894000</v>
          </cell>
          <cell r="CD120">
            <v>4136728000</v>
          </cell>
          <cell r="CE120">
            <v>454892000</v>
          </cell>
          <cell r="CF120">
            <v>632122000</v>
          </cell>
          <cell r="CG120">
            <v>671001000</v>
          </cell>
          <cell r="CH120">
            <v>481397000</v>
          </cell>
          <cell r="CI120">
            <v>2208473000</v>
          </cell>
          <cell r="CJ120">
            <v>1716610000</v>
          </cell>
          <cell r="CK120">
            <v>1838685000</v>
          </cell>
          <cell r="CL120">
            <v>2022900000</v>
          </cell>
          <cell r="CM120" t="str">
            <v>n.a.</v>
          </cell>
          <cell r="CN120">
            <v>24000000</v>
          </cell>
          <cell r="CO120">
            <v>493542000</v>
          </cell>
          <cell r="CP120">
            <v>528856000</v>
          </cell>
          <cell r="CQ120">
            <v>625338000</v>
          </cell>
          <cell r="CR120">
            <v>1185996000</v>
          </cell>
          <cell r="CS120">
            <v>141887000</v>
          </cell>
          <cell r="CT120">
            <v>977201000</v>
          </cell>
          <cell r="CU120" t="str">
            <v>n.a.</v>
          </cell>
          <cell r="CV120" t="str">
            <v>n.a.</v>
          </cell>
          <cell r="CW120" t="str">
            <v>n.a.</v>
          </cell>
          <cell r="CX120" t="str">
            <v>n.a.</v>
          </cell>
          <cell r="CY120" t="str">
            <v>n.a.</v>
          </cell>
          <cell r="CZ120">
            <v>18930000</v>
          </cell>
          <cell r="DA120">
            <v>44610000</v>
          </cell>
          <cell r="DB120">
            <v>2534180000</v>
          </cell>
          <cell r="DC120">
            <v>18487197000</v>
          </cell>
          <cell r="DD120">
            <v>18022934000</v>
          </cell>
          <cell r="DE120">
            <v>20967262000</v>
          </cell>
          <cell r="DF120">
            <v>20141195000</v>
          </cell>
          <cell r="DG120">
            <v>14158238000</v>
          </cell>
          <cell r="DH120">
            <v>-7954090000</v>
          </cell>
          <cell r="DI120">
            <v>-5120644000</v>
          </cell>
          <cell r="DJ120">
            <v>-480953000</v>
          </cell>
          <cell r="DK120">
            <v>602551000</v>
          </cell>
          <cell r="DL120">
            <v>4.2558332470467003E-2</v>
          </cell>
          <cell r="DM120">
            <v>4.4450052586785201E-2</v>
          </cell>
          <cell r="DN120">
            <v>-1076822000</v>
          </cell>
          <cell r="DO120">
            <v>543507000</v>
          </cell>
          <cell r="DP120" t="e">
            <v>#VALUE!</v>
          </cell>
          <cell r="DR120">
            <v>13736571000</v>
          </cell>
          <cell r="DS120">
            <v>-7250803000</v>
          </cell>
          <cell r="DT120">
            <v>-4656071000</v>
          </cell>
          <cell r="DU120">
            <v>-450912000</v>
          </cell>
          <cell r="DV120">
            <v>1378785000</v>
          </cell>
          <cell r="DW120">
            <v>0.100373302769665</v>
          </cell>
          <cell r="DX120">
            <v>0.111572169966368</v>
          </cell>
          <cell r="DY120">
            <v>-840999000</v>
          </cell>
          <cell r="DZ120">
            <v>651561500</v>
          </cell>
          <cell r="EA120">
            <v>31770000</v>
          </cell>
          <cell r="EC120">
            <v>13324201000</v>
          </cell>
          <cell r="ED120">
            <v>-7339301000</v>
          </cell>
          <cell r="EE120">
            <v>-5157856000</v>
          </cell>
          <cell r="EF120">
            <v>-418369000</v>
          </cell>
          <cell r="EG120">
            <v>408675000</v>
          </cell>
          <cell r="EH120">
            <v>3.0671632768073699E-2</v>
          </cell>
          <cell r="EI120">
            <v>3.16421491466937E-2</v>
          </cell>
          <cell r="EJ120">
            <v>-967779000</v>
          </cell>
          <cell r="EK120">
            <v>576199000</v>
          </cell>
          <cell r="EL120">
            <v>1289395000</v>
          </cell>
          <cell r="EN120">
            <v>13739670000</v>
          </cell>
          <cell r="EO120">
            <v>-7514731333.3333302</v>
          </cell>
          <cell r="EP120">
            <v>-4978190333.3333302</v>
          </cell>
          <cell r="EQ120">
            <v>-450078000</v>
          </cell>
          <cell r="ER120">
            <v>796670333.33333397</v>
          </cell>
          <cell r="ES120">
            <v>5.7983221819252903E-2</v>
          </cell>
          <cell r="ET120">
            <v>6.1552217712334101E-2</v>
          </cell>
        </row>
        <row r="121">
          <cell r="B121" t="str">
            <v>BEAUTY COMMUNITY PCL</v>
          </cell>
          <cell r="C121" t="str">
            <v>exclude</v>
          </cell>
          <cell r="D121" t="str">
            <v>Consecutive loss</v>
          </cell>
          <cell r="H121" t="str">
            <v/>
          </cell>
          <cell r="J121" t="str">
            <v>exclude</v>
          </cell>
          <cell r="K121" t="str">
            <v>lev SDA/SDP</v>
          </cell>
          <cell r="M121" t="str">
            <v>BEAUTY COMMUNITY PCL</v>
          </cell>
          <cell r="N121" t="str">
            <v>The company is engaged in the retail sale of beauty products in Thailand. It was incorporated in 2010 and conducts business from its registered head office located in Bangkok, Thailand.The company is primarily involved in the retail distribution of cosmetics and beauty products in Thailand. It offers make-up, skincare, and accessories under the Beauty Buffet, Beauty Cottage, and Made In Nature brand concepts. The company's target customers range from teenager to working age, as well as supermarkets. It operates 133 Beauty Buffet shops and 26 Beauty Cottage shops. It serves customers through a network of retail shop, modern trade, wholesale, franchise, and international agency channels.</v>
          </cell>
          <cell r="O121" t="str">
            <v>Retail</v>
          </cell>
          <cell r="P121" t="str">
            <v>www.beautycommunity.co.th</v>
          </cell>
          <cell r="R121" t="str">
            <v>Thailand</v>
          </cell>
          <cell r="S121" t="str">
            <v>BEAUTY</v>
          </cell>
          <cell r="T121" t="str">
            <v>A+</v>
          </cell>
          <cell r="U121" t="str">
            <v>2844</v>
          </cell>
          <cell r="V121" t="str">
            <v>Engaged in the retail sale of beauty products</v>
          </cell>
          <cell r="W121" t="str">
            <v>The Comkpany engages in the retail distribution of cosmetics and skincare products. The company offers a variety of beauty products through selection of high-quality ingredients and package design. The products are separated in three categories, which are make-up, skincare, and made in nature products. The company was established in 2000 and is based Bangkok.</v>
          </cell>
          <cell r="Z121" t="str">
            <v>TH0107555000244</v>
          </cell>
          <cell r="AA121">
            <v>362861000</v>
          </cell>
          <cell r="AB121">
            <v>408862000</v>
          </cell>
          <cell r="AC121">
            <v>782246000</v>
          </cell>
          <cell r="AD121">
            <v>2013637000</v>
          </cell>
          <cell r="AE121">
            <v>352379000</v>
          </cell>
          <cell r="AF121">
            <v>387632000</v>
          </cell>
          <cell r="AG121">
            <v>769297000</v>
          </cell>
          <cell r="AH121">
            <v>2007208000</v>
          </cell>
          <cell r="AI121" t="str">
            <v>n.a.</v>
          </cell>
          <cell r="AJ121" t="str">
            <v>n.a.</v>
          </cell>
          <cell r="AK121" t="str">
            <v>n.a.</v>
          </cell>
          <cell r="AL121" t="str">
            <v>n.a.</v>
          </cell>
          <cell r="AM121">
            <v>352379000</v>
          </cell>
          <cell r="AN121">
            <v>387632000</v>
          </cell>
          <cell r="AO121">
            <v>769297000</v>
          </cell>
          <cell r="AP121">
            <v>2007208000</v>
          </cell>
          <cell r="AQ121">
            <v>10482000</v>
          </cell>
          <cell r="AR121">
            <v>21230000</v>
          </cell>
          <cell r="AS121">
            <v>12949000</v>
          </cell>
          <cell r="AT121">
            <v>6429000</v>
          </cell>
          <cell r="AU121">
            <v>-117028000</v>
          </cell>
          <cell r="AV121">
            <v>-145866000</v>
          </cell>
          <cell r="AW121">
            <v>-232698000</v>
          </cell>
          <cell r="AX121">
            <v>-740458000</v>
          </cell>
          <cell r="AY121">
            <v>0</v>
          </cell>
          <cell r="AZ121">
            <v>0</v>
          </cell>
          <cell r="BA121">
            <v>0</v>
          </cell>
          <cell r="BB121">
            <v>0</v>
          </cell>
          <cell r="BC121">
            <v>-265806000</v>
          </cell>
          <cell r="BD121">
            <v>-280733000</v>
          </cell>
          <cell r="BE121">
            <v>-511711000</v>
          </cell>
          <cell r="BF121">
            <v>-935858000</v>
          </cell>
          <cell r="BG121">
            <v>-19973000</v>
          </cell>
          <cell r="BH121">
            <v>-17737000</v>
          </cell>
          <cell r="BI121">
            <v>37837000</v>
          </cell>
          <cell r="BJ121">
            <v>337321000</v>
          </cell>
          <cell r="BK121">
            <v>-60819000</v>
          </cell>
          <cell r="BL121">
            <v>-77149000</v>
          </cell>
          <cell r="BM121">
            <v>-120578000</v>
          </cell>
          <cell r="BN121">
            <v>-53681000</v>
          </cell>
          <cell r="BO121">
            <v>-56845000</v>
          </cell>
          <cell r="BP121">
            <v>-73569000</v>
          </cell>
          <cell r="BQ121">
            <v>-117180000</v>
          </cell>
          <cell r="BR121">
            <v>-49343000</v>
          </cell>
          <cell r="BS121">
            <v>-3974000</v>
          </cell>
          <cell r="BT121">
            <v>-3580000</v>
          </cell>
          <cell r="BU121">
            <v>-3398000</v>
          </cell>
          <cell r="BV121">
            <v>-4338000</v>
          </cell>
          <cell r="BW121">
            <v>-67679000</v>
          </cell>
          <cell r="BX121">
            <v>-80768000</v>
          </cell>
          <cell r="BY121">
            <v>-104882000</v>
          </cell>
          <cell r="BZ121">
            <v>232576000</v>
          </cell>
          <cell r="CA121">
            <v>306603000</v>
          </cell>
          <cell r="CB121">
            <v>601733000</v>
          </cell>
          <cell r="CC121">
            <v>694029000</v>
          </cell>
          <cell r="CD121">
            <v>901120000</v>
          </cell>
          <cell r="CE121">
            <v>115581000</v>
          </cell>
          <cell r="CF121">
            <v>138246000</v>
          </cell>
          <cell r="CG121">
            <v>209016000</v>
          </cell>
          <cell r="CH121">
            <v>354875000</v>
          </cell>
          <cell r="CI121">
            <v>19120000</v>
          </cell>
          <cell r="CJ121">
            <v>24987000</v>
          </cell>
          <cell r="CK121">
            <v>42007000</v>
          </cell>
          <cell r="CL121">
            <v>73899000</v>
          </cell>
          <cell r="CM121">
            <v>1039000</v>
          </cell>
          <cell r="CN121">
            <v>254000</v>
          </cell>
          <cell r="CO121">
            <v>870000</v>
          </cell>
          <cell r="CP121">
            <v>1700000</v>
          </cell>
          <cell r="CQ121">
            <v>163505000</v>
          </cell>
          <cell r="CR121">
            <v>428094000</v>
          </cell>
          <cell r="CS121">
            <v>426375000</v>
          </cell>
          <cell r="CT121">
            <v>454656000</v>
          </cell>
          <cell r="CU121">
            <v>100000000</v>
          </cell>
          <cell r="CV121">
            <v>370117000</v>
          </cell>
          <cell r="CW121">
            <v>250432000</v>
          </cell>
          <cell r="CX121">
            <v>300000000</v>
          </cell>
          <cell r="CY121">
            <v>62633000</v>
          </cell>
          <cell r="CZ121">
            <v>62871000</v>
          </cell>
          <cell r="DA121">
            <v>195409000</v>
          </cell>
          <cell r="DB121">
            <v>339021000</v>
          </cell>
          <cell r="DC121">
            <v>897370000</v>
          </cell>
          <cell r="DD121">
            <v>974102000</v>
          </cell>
          <cell r="DE121">
            <v>1082255000</v>
          </cell>
          <cell r="DF121">
            <v>1315918000</v>
          </cell>
          <cell r="DG121">
            <v>352379000</v>
          </cell>
          <cell r="DH121">
            <v>-117028000</v>
          </cell>
          <cell r="DI121">
            <v>-265806000</v>
          </cell>
          <cell r="DJ121">
            <v>-60819000</v>
          </cell>
          <cell r="DK121">
            <v>-91274000</v>
          </cell>
          <cell r="DL121">
            <v>-0.25902224593406498</v>
          </cell>
          <cell r="DM121">
            <v>-0.20573285878828701</v>
          </cell>
          <cell r="DN121">
            <v>0</v>
          </cell>
          <cell r="DO121">
            <v>126913500</v>
          </cell>
          <cell r="DP121">
            <v>62752000</v>
          </cell>
          <cell r="DR121">
            <v>387632000</v>
          </cell>
          <cell r="DS121">
            <v>-145866000</v>
          </cell>
          <cell r="DT121">
            <v>-280733000</v>
          </cell>
          <cell r="DU121">
            <v>-77149000</v>
          </cell>
          <cell r="DV121">
            <v>-116116000</v>
          </cell>
          <cell r="DW121">
            <v>-0.29955215255706402</v>
          </cell>
          <cell r="DX121">
            <v>-0.230504140959369</v>
          </cell>
          <cell r="DY121">
            <v>0</v>
          </cell>
          <cell r="DZ121">
            <v>173631000</v>
          </cell>
          <cell r="EA121">
            <v>129140000</v>
          </cell>
          <cell r="EC121">
            <v>769297000</v>
          </cell>
          <cell r="ED121">
            <v>-232698000</v>
          </cell>
          <cell r="EE121">
            <v>-511711000</v>
          </cell>
          <cell r="EF121">
            <v>-120578000</v>
          </cell>
          <cell r="EG121">
            <v>-95690000</v>
          </cell>
          <cell r="EH121">
            <v>-0.12438629034040199</v>
          </cell>
          <cell r="EI121">
            <v>-0.11062594004303</v>
          </cell>
          <cell r="EJ121">
            <v>0</v>
          </cell>
          <cell r="EK121">
            <v>281945500</v>
          </cell>
          <cell r="EL121">
            <v>267215000</v>
          </cell>
          <cell r="EN121">
            <v>503102666.66666698</v>
          </cell>
          <cell r="EO121">
            <v>-165197333.33333299</v>
          </cell>
          <cell r="EP121">
            <v>-352750000</v>
          </cell>
          <cell r="EQ121">
            <v>-86182000</v>
          </cell>
          <cell r="ER121">
            <v>-101026666.666667</v>
          </cell>
          <cell r="ES121">
            <v>-0.20080725736562699</v>
          </cell>
          <cell r="ET121">
            <v>-0.16722688519235401</v>
          </cell>
        </row>
        <row r="122">
          <cell r="B122" t="str">
            <v>POWER FULX CO.,LTD.</v>
          </cell>
          <cell r="C122" t="str">
            <v>exclude</v>
          </cell>
          <cell r="D122" t="str">
            <v>Independence(A+, A, A-, U)</v>
          </cell>
          <cell r="H122" t="str">
            <v/>
          </cell>
          <cell r="J122" t="e">
            <v>#N/A</v>
          </cell>
          <cell r="K122" t="e">
            <v>#N/A</v>
          </cell>
          <cell r="M122" t="str">
            <v>POWER FULX CO.,LTD.</v>
          </cell>
          <cell r="N122" t="str">
            <v>This company, based in the Republic of Korea, is engaged in the retail trade of beauty products. It was incorporated in 2014 and has registered headquarters located in Seoul. The company offers a wide range of products such as foundations, eye shadow, eyeliners, care lip, nail care, facial treatment products, deodorants, hair care products, hair accessories, hair shampoo, and other products. It also offers manicure accessories, pedicure accessories, makeup accessories, cases for storage makeup tools, and fashionable accessories. The company conducts its business activities throughout the Republic of Korea and further serves the general public of the city, as well as the surrounding areas.</v>
          </cell>
          <cell r="O122" t="str">
            <v>Retail</v>
          </cell>
          <cell r="P122" t="str">
            <v>www.powerfulx.com</v>
          </cell>
          <cell r="R122" t="str">
            <v>Republic of Korea</v>
          </cell>
          <cell r="S122" t="str">
            <v>266870</v>
          </cell>
          <cell r="T122" t="str">
            <v>B+</v>
          </cell>
          <cell r="U122" t="str">
            <v>2844</v>
          </cell>
          <cell r="V122" t="str">
            <v>Engaged in the retail trade of beauty products</v>
          </cell>
          <cell r="W122" t="str">
            <v>Engaged in the retail trade of beauty products [source: Bureau van Dijk]</v>
          </cell>
          <cell r="X122" t="str">
            <v>FLEX POWER AWS CO.,LTD.</v>
          </cell>
          <cell r="Z122" t="str">
            <v>KR1101115569079</v>
          </cell>
          <cell r="AA122">
            <v>13276519000</v>
          </cell>
          <cell r="AB122">
            <v>14447887000</v>
          </cell>
          <cell r="AC122">
            <v>20393899000</v>
          </cell>
          <cell r="AD122">
            <v>15506225000</v>
          </cell>
          <cell r="AE122">
            <v>13276519000</v>
          </cell>
          <cell r="AF122">
            <v>14447887000</v>
          </cell>
          <cell r="AG122">
            <v>20393899000</v>
          </cell>
          <cell r="AH122">
            <v>15506225000</v>
          </cell>
          <cell r="AI122" t="str">
            <v>n.a.</v>
          </cell>
          <cell r="AJ122" t="str">
            <v>n.a.</v>
          </cell>
          <cell r="AK122" t="str">
            <v>n.a.</v>
          </cell>
          <cell r="AL122" t="str">
            <v>n.a.</v>
          </cell>
          <cell r="AM122">
            <v>13276519000</v>
          </cell>
          <cell r="AN122">
            <v>14447887000</v>
          </cell>
          <cell r="AO122">
            <v>20393899000</v>
          </cell>
          <cell r="AP122">
            <v>15506225000</v>
          </cell>
          <cell r="AQ122" t="str">
            <v>n.a.</v>
          </cell>
          <cell r="AR122" t="str">
            <v>n.a.</v>
          </cell>
          <cell r="AS122" t="str">
            <v>n.a.</v>
          </cell>
          <cell r="AT122" t="str">
            <v>n.a.</v>
          </cell>
          <cell r="AU122">
            <v>-3167607000</v>
          </cell>
          <cell r="AV122">
            <v>-3002538000</v>
          </cell>
          <cell r="AW122">
            <v>-6564517000</v>
          </cell>
          <cell r="AX122">
            <v>-4083096000</v>
          </cell>
          <cell r="AY122" t="str">
            <v>n.a.</v>
          </cell>
          <cell r="AZ122">
            <v>-2383930000</v>
          </cell>
          <cell r="BA122">
            <v>-2323606000</v>
          </cell>
          <cell r="BB122" t="str">
            <v>n.a.</v>
          </cell>
          <cell r="BC122">
            <v>-10177595000</v>
          </cell>
          <cell r="BD122">
            <v>-7659018000</v>
          </cell>
          <cell r="BE122">
            <v>-10305853000</v>
          </cell>
          <cell r="BF122">
            <v>-11316327000</v>
          </cell>
          <cell r="BG122">
            <v>-68683000</v>
          </cell>
          <cell r="BH122">
            <v>1402401000</v>
          </cell>
          <cell r="BI122">
            <v>1199923000</v>
          </cell>
          <cell r="BJ122">
            <v>106802000</v>
          </cell>
          <cell r="BK122">
            <v>-838731000</v>
          </cell>
          <cell r="BL122">
            <v>-839807000</v>
          </cell>
          <cell r="BM122">
            <v>-776904000</v>
          </cell>
          <cell r="BN122">
            <v>-860404000</v>
          </cell>
          <cell r="BO122">
            <v>-811367000</v>
          </cell>
          <cell r="BP122">
            <v>-811850000</v>
          </cell>
          <cell r="BQ122">
            <v>-754339000</v>
          </cell>
          <cell r="BR122">
            <v>-779450000</v>
          </cell>
          <cell r="BS122">
            <v>-27364000</v>
          </cell>
          <cell r="BT122">
            <v>-27957000</v>
          </cell>
          <cell r="BU122">
            <v>-22565000</v>
          </cell>
          <cell r="BV122">
            <v>-80954000</v>
          </cell>
          <cell r="BW122">
            <v>2700912000</v>
          </cell>
          <cell r="BX122">
            <v>-190180000</v>
          </cell>
          <cell r="BY122">
            <v>307472000</v>
          </cell>
          <cell r="BZ122">
            <v>-692234000</v>
          </cell>
          <cell r="CA122">
            <v>13220975000</v>
          </cell>
          <cell r="CB122">
            <v>17941254000</v>
          </cell>
          <cell r="CC122">
            <v>10305877000</v>
          </cell>
          <cell r="CD122">
            <v>8767963000</v>
          </cell>
          <cell r="CE122">
            <v>2701711000</v>
          </cell>
          <cell r="CF122">
            <v>2727008000</v>
          </cell>
          <cell r="CG122">
            <v>2548537000</v>
          </cell>
          <cell r="CH122">
            <v>1197182000</v>
          </cell>
          <cell r="CI122">
            <v>1280003000</v>
          </cell>
          <cell r="CJ122">
            <v>1149669000</v>
          </cell>
          <cell r="CK122">
            <v>1155260000</v>
          </cell>
          <cell r="CL122">
            <v>838915000</v>
          </cell>
          <cell r="CM122">
            <v>72212000</v>
          </cell>
          <cell r="CN122">
            <v>7297489000</v>
          </cell>
          <cell r="CO122">
            <v>814170000</v>
          </cell>
          <cell r="CP122">
            <v>20450000</v>
          </cell>
          <cell r="CQ122">
            <v>8814361000</v>
          </cell>
          <cell r="CR122">
            <v>5278133000</v>
          </cell>
          <cell r="CS122">
            <v>4926714000</v>
          </cell>
          <cell r="CT122">
            <v>6610554000</v>
          </cell>
          <cell r="CU122">
            <v>7044782000</v>
          </cell>
          <cell r="CV122">
            <v>795115000</v>
          </cell>
          <cell r="CW122" t="str">
            <v>n.a.</v>
          </cell>
          <cell r="CX122">
            <v>1994381000</v>
          </cell>
          <cell r="CY122">
            <v>2809064000</v>
          </cell>
          <cell r="CZ122">
            <v>1798732000</v>
          </cell>
          <cell r="DA122">
            <v>1846794000</v>
          </cell>
          <cell r="DB122">
            <v>973572000</v>
          </cell>
          <cell r="DC122">
            <v>17426159000</v>
          </cell>
          <cell r="DD122">
            <v>20111877000</v>
          </cell>
          <cell r="DE122">
            <v>19889864000</v>
          </cell>
          <cell r="DF122">
            <v>18612056000</v>
          </cell>
          <cell r="DG122">
            <v>13276519000</v>
          </cell>
          <cell r="DH122">
            <v>-3167607000</v>
          </cell>
          <cell r="DI122">
            <v>-10177595000</v>
          </cell>
          <cell r="DJ122">
            <v>-838731000</v>
          </cell>
          <cell r="DK122">
            <v>-907414000</v>
          </cell>
          <cell r="DL122">
            <v>-6.8347282898476594E-2</v>
          </cell>
          <cell r="DM122">
            <v>-6.3974780478728996E-2</v>
          </cell>
          <cell r="DN122" t="str">
            <v>n.a.</v>
          </cell>
          <cell r="DO122">
            <v>2714359500</v>
          </cell>
          <cell r="DP122">
            <v>2303898000</v>
          </cell>
          <cell r="DR122">
            <v>14447887000</v>
          </cell>
          <cell r="DS122">
            <v>-3002538000</v>
          </cell>
          <cell r="DT122">
            <v>-10042948000</v>
          </cell>
          <cell r="DU122">
            <v>-839807000</v>
          </cell>
          <cell r="DV122">
            <v>562594000</v>
          </cell>
          <cell r="DW122">
            <v>3.8939534895310303E-2</v>
          </cell>
          <cell r="DX122">
            <v>4.0517258080185997E-2</v>
          </cell>
          <cell r="DY122">
            <v>-2383930000</v>
          </cell>
          <cell r="DZ122">
            <v>2637772500</v>
          </cell>
          <cell r="EA122">
            <v>1822763000</v>
          </cell>
          <cell r="EC122">
            <v>20393899000</v>
          </cell>
          <cell r="ED122">
            <v>-6564517000</v>
          </cell>
          <cell r="EE122">
            <v>-12629459000</v>
          </cell>
          <cell r="EF122">
            <v>-776904000</v>
          </cell>
          <cell r="EG122">
            <v>423019000</v>
          </cell>
          <cell r="EH122">
            <v>2.0742428899937201E-2</v>
          </cell>
          <cell r="EI122">
            <v>2.11817906872406E-2</v>
          </cell>
          <cell r="EJ122">
            <v>-2323606000</v>
          </cell>
          <cell r="EK122">
            <v>1872859500</v>
          </cell>
          <cell r="EL122">
            <v>1410183000</v>
          </cell>
          <cell r="EN122">
            <v>16039435000</v>
          </cell>
          <cell r="EO122">
            <v>-4244887333.3333302</v>
          </cell>
          <cell r="EP122">
            <v>-10950000666.6667</v>
          </cell>
          <cell r="EQ122">
            <v>-818480666.66666698</v>
          </cell>
          <cell r="ER122">
            <v>26066333.333333399</v>
          </cell>
          <cell r="ES122">
            <v>1.62514037017721E-3</v>
          </cell>
          <cell r="ET122">
            <v>1.6277857505143699E-3</v>
          </cell>
        </row>
        <row r="123">
          <cell r="B123" t="str">
            <v>CNT DREAM CO.,LTD.</v>
          </cell>
          <cell r="C123" t="str">
            <v>exclude</v>
          </cell>
          <cell r="D123" t="str">
            <v>Independence(A+, A, A-, U)</v>
          </cell>
          <cell r="H123" t="str">
            <v/>
          </cell>
          <cell r="J123" t="str">
            <v>exclude</v>
          </cell>
          <cell r="K123" t="str">
            <v>Independence(A+, A, A-, U)</v>
          </cell>
          <cell r="M123" t="str">
            <v>CNT DREAM CO.,LTD.</v>
          </cell>
          <cell r="N123" t="str">
            <v>This company is engaged in the manufacture of soap, cleaning compound, and toilet preparation products. It conducts business from its registered head office located in Cheonan-Si, Republic of Korea. The company was incorporated in February 2011.The company specialises soap, cleaning compound, and toilet preparation products. It manufactures these products in compliance with the standards and other technical specifications that guarantees top quality and safety. It has state-of-the-art technology and equipment for manufacturing, as well as employs certified staff skilled in manufacturing operations.</v>
          </cell>
          <cell r="O123" t="str">
            <v>Manufacturing</v>
          </cell>
          <cell r="P123" t="str">
            <v>www.cntdream.com</v>
          </cell>
          <cell r="R123" t="str">
            <v>Republic of Korea</v>
          </cell>
          <cell r="S123" t="str">
            <v>286000</v>
          </cell>
          <cell r="T123" t="str">
            <v>B+</v>
          </cell>
          <cell r="U123" t="str">
            <v>2844</v>
          </cell>
          <cell r="V123" t="str">
            <v>Engaged in the manufacture of soap, cleaning compound, and toilet preparation products</v>
          </cell>
          <cell r="W123" t="str">
            <v>Engaged in the manufacture of soap, cleaning compound, and toilet preparation products [source: Bureau van Dijk]</v>
          </cell>
          <cell r="X123" t="str">
            <v>C&amp;T DREAM CO.,LTD.</v>
          </cell>
          <cell r="Z123" t="str">
            <v>KR1601110294176</v>
          </cell>
          <cell r="AA123">
            <v>12298337000</v>
          </cell>
          <cell r="AB123">
            <v>12385022000</v>
          </cell>
          <cell r="AC123">
            <v>20913215000</v>
          </cell>
          <cell r="AD123">
            <v>17847009000</v>
          </cell>
          <cell r="AE123">
            <v>12298337000</v>
          </cell>
          <cell r="AF123">
            <v>12385022000</v>
          </cell>
          <cell r="AG123">
            <v>20913215000</v>
          </cell>
          <cell r="AH123">
            <v>17847009000</v>
          </cell>
          <cell r="AI123" t="str">
            <v>n.a.</v>
          </cell>
          <cell r="AJ123" t="str">
            <v>n.a.</v>
          </cell>
          <cell r="AK123" t="str">
            <v>n.a.</v>
          </cell>
          <cell r="AL123" t="str">
            <v>n.a.</v>
          </cell>
          <cell r="AM123">
            <v>12298337000</v>
          </cell>
          <cell r="AN123">
            <v>12385022000</v>
          </cell>
          <cell r="AO123">
            <v>20913215000</v>
          </cell>
          <cell r="AP123">
            <v>17847009000</v>
          </cell>
          <cell r="AQ123" t="str">
            <v>n.a.</v>
          </cell>
          <cell r="AR123" t="str">
            <v>n.a.</v>
          </cell>
          <cell r="AS123" t="str">
            <v>n.a.</v>
          </cell>
          <cell r="AT123" t="str">
            <v>n.a.</v>
          </cell>
          <cell r="AU123">
            <v>-12752856000</v>
          </cell>
          <cell r="AV123">
            <v>-10394408000</v>
          </cell>
          <cell r="AW123">
            <v>-19332699000</v>
          </cell>
          <cell r="AX123">
            <v>-14515099000</v>
          </cell>
          <cell r="AY123">
            <v>-309032000</v>
          </cell>
          <cell r="AZ123">
            <v>-375237000</v>
          </cell>
          <cell r="BA123">
            <v>-302746000</v>
          </cell>
          <cell r="BB123">
            <v>-321892000</v>
          </cell>
          <cell r="BC123">
            <v>-2617778000</v>
          </cell>
          <cell r="BD123">
            <v>-5898874000</v>
          </cell>
          <cell r="BE123">
            <v>-6117377000</v>
          </cell>
          <cell r="BF123">
            <v>-5401258000</v>
          </cell>
          <cell r="BG123">
            <v>-3381329000</v>
          </cell>
          <cell r="BH123">
            <v>-4283497000</v>
          </cell>
          <cell r="BI123">
            <v>-4839607000</v>
          </cell>
          <cell r="BJ123">
            <v>-2391240000</v>
          </cell>
          <cell r="BK123">
            <v>-54261000</v>
          </cell>
          <cell r="BL123">
            <v>-66102000</v>
          </cell>
          <cell r="BM123">
            <v>-269005000</v>
          </cell>
          <cell r="BN123">
            <v>-304145000</v>
          </cell>
          <cell r="BO123">
            <v>-15798000</v>
          </cell>
          <cell r="BP123">
            <v>-66102000</v>
          </cell>
          <cell r="BQ123">
            <v>-86053000</v>
          </cell>
          <cell r="BR123">
            <v>-136528000</v>
          </cell>
          <cell r="BS123">
            <v>-38463000</v>
          </cell>
          <cell r="BT123" t="str">
            <v>n.a.</v>
          </cell>
          <cell r="BU123">
            <v>-182952000</v>
          </cell>
          <cell r="BV123">
            <v>-167617000</v>
          </cell>
          <cell r="BW123">
            <v>-7867363000</v>
          </cell>
          <cell r="BX123">
            <v>-4505561000</v>
          </cell>
          <cell r="BY123">
            <v>-6057116000</v>
          </cell>
          <cell r="BZ123">
            <v>-2960927000</v>
          </cell>
          <cell r="CA123">
            <v>2362742000</v>
          </cell>
          <cell r="CB123">
            <v>6876194000</v>
          </cell>
          <cell r="CC123">
            <v>10951998000</v>
          </cell>
          <cell r="CD123">
            <v>15372303000</v>
          </cell>
          <cell r="CE123">
            <v>1149597000</v>
          </cell>
          <cell r="CF123">
            <v>5096362000</v>
          </cell>
          <cell r="CG123">
            <v>5146985000</v>
          </cell>
          <cell r="CH123">
            <v>4998894000</v>
          </cell>
          <cell r="CI123">
            <v>984479000</v>
          </cell>
          <cell r="CJ123">
            <v>1417916000</v>
          </cell>
          <cell r="CK123">
            <v>5505591000</v>
          </cell>
          <cell r="CL123">
            <v>8032832000</v>
          </cell>
          <cell r="CM123">
            <v>151500000</v>
          </cell>
          <cell r="CN123">
            <v>156000000</v>
          </cell>
          <cell r="CO123">
            <v>138000000</v>
          </cell>
          <cell r="CP123">
            <v>846546000</v>
          </cell>
          <cell r="CQ123">
            <v>11571000</v>
          </cell>
          <cell r="CR123">
            <v>73660000</v>
          </cell>
          <cell r="CS123">
            <v>106075000</v>
          </cell>
          <cell r="CT123">
            <v>173740000</v>
          </cell>
          <cell r="CU123" t="str">
            <v>n.a.</v>
          </cell>
          <cell r="CV123" t="str">
            <v>n.a.</v>
          </cell>
          <cell r="CW123" t="str">
            <v>n.a.</v>
          </cell>
          <cell r="CX123" t="str">
            <v>n.a.</v>
          </cell>
          <cell r="CY123">
            <v>437687000</v>
          </cell>
          <cell r="CZ123">
            <v>437688000</v>
          </cell>
          <cell r="DA123">
            <v>437687000</v>
          </cell>
          <cell r="DB123">
            <v>437687000</v>
          </cell>
          <cell r="DC123">
            <v>9799017000</v>
          </cell>
          <cell r="DD123">
            <v>13797333000</v>
          </cell>
          <cell r="DE123">
            <v>16797816000</v>
          </cell>
          <cell r="DF123">
            <v>22258311000</v>
          </cell>
          <cell r="DG123">
            <v>12298337000</v>
          </cell>
          <cell r="DH123">
            <v>-12752856000</v>
          </cell>
          <cell r="DI123">
            <v>-2926810000</v>
          </cell>
          <cell r="DJ123">
            <v>-54261000</v>
          </cell>
          <cell r="DK123">
            <v>-3435590000</v>
          </cell>
          <cell r="DL123">
            <v>-0.27935402973589002</v>
          </cell>
          <cell r="DM123">
            <v>-0.21835553196605001</v>
          </cell>
          <cell r="DN123">
            <v>-309032000</v>
          </cell>
          <cell r="DO123">
            <v>3122979500</v>
          </cell>
          <cell r="DP123">
            <v>437687500</v>
          </cell>
          <cell r="DR123">
            <v>12385022000</v>
          </cell>
          <cell r="DS123">
            <v>-10394408000</v>
          </cell>
          <cell r="DT123">
            <v>-6274111000</v>
          </cell>
          <cell r="DU123">
            <v>-66102000</v>
          </cell>
          <cell r="DV123">
            <v>-4349599000</v>
          </cell>
          <cell r="DW123">
            <v>-0.35119832649469701</v>
          </cell>
          <cell r="DX123">
            <v>-0.25991619409845002</v>
          </cell>
          <cell r="DY123">
            <v>-375237000</v>
          </cell>
          <cell r="DZ123">
            <v>5121673500</v>
          </cell>
          <cell r="EA123">
            <v>437687500</v>
          </cell>
          <cell r="EC123">
            <v>20913215000</v>
          </cell>
          <cell r="ED123">
            <v>-19332699000</v>
          </cell>
          <cell r="EE123">
            <v>-6420123000</v>
          </cell>
          <cell r="EF123">
            <v>-269005000</v>
          </cell>
          <cell r="EG123">
            <v>-5108612000</v>
          </cell>
          <cell r="EH123">
            <v>-0.244276740807188</v>
          </cell>
          <cell r="EI123">
            <v>-0.19632026605972</v>
          </cell>
          <cell r="EJ123">
            <v>-302746000</v>
          </cell>
          <cell r="EK123">
            <v>5072939500</v>
          </cell>
          <cell r="EL123">
            <v>437687000</v>
          </cell>
          <cell r="EN123">
            <v>15198858000</v>
          </cell>
          <cell r="EO123">
            <v>-14159987666.6667</v>
          </cell>
          <cell r="EP123">
            <v>-5207014666.6666698</v>
          </cell>
          <cell r="EQ123">
            <v>-129789333.333333</v>
          </cell>
          <cell r="ER123">
            <v>-4297933666.6666698</v>
          </cell>
          <cell r="ES123">
            <v>-0.28278003957051701</v>
          </cell>
          <cell r="ET123">
            <v>-0.22044312418923601</v>
          </cell>
        </row>
        <row r="124">
          <cell r="B124" t="str">
            <v>INNOGENE CO.,LTD.</v>
          </cell>
          <cell r="C124" t="str">
            <v>exclude</v>
          </cell>
          <cell r="D124" t="str">
            <v>Independence(A+, A, A-, U)</v>
          </cell>
          <cell r="H124" t="str">
            <v/>
          </cell>
          <cell r="J124" t="str">
            <v>exclude</v>
          </cell>
          <cell r="K124" t="str">
            <v>Independence(A+, A, A-, U)</v>
          </cell>
          <cell r="M124" t="str">
            <v>INNOGENE CO.,LTD.</v>
          </cell>
          <cell r="N124" t="str">
            <v>This company operates as an anti-aging firm that makes a better world for the healthy life of mankind. It was established in 2005 and conducts business from its registered head office located in Seoul, Republic of Korea. The company's business operation specialises in the development of anti-aging solutions for healthy life of mankind through skin regeneration stem cell research and fusion technology of Medical Informatics. It specialises in the field of hair loss, atopy, psoriasis and medicinal cosmeterics (cosmeceutical) in skin regeneration such as improvement of elasticity and wound recovery in addition, actively exporting the world's first hair loss auto diagnosis and prognosis prediction system and professional medical equipment to 3,000 special hospitals in Korea as well as Asia and Europe. The company has core technologies for stem cells, which play a pivotal role in skin regeneration and hair follicle formation and developed the original technology to stabilize the aging regulator. It aims to do its best to become an anti-aging leader company that develops optimal treatment solutions by fusing skin regenerative stem cells with medical informatics.</v>
          </cell>
          <cell r="O124" t="str">
            <v>Services</v>
          </cell>
          <cell r="P124" t="str">
            <v>www.innogene.com</v>
          </cell>
          <cell r="R124" t="str">
            <v>Republic of Korea</v>
          </cell>
          <cell r="S124" t="str">
            <v>344860</v>
          </cell>
          <cell r="T124" t="str">
            <v>B+</v>
          </cell>
          <cell r="U124" t="str">
            <v>2844</v>
          </cell>
          <cell r="V124" t="str">
            <v>Operates as an anti-aging firm that makes a better world for the healthy life of mankind</v>
          </cell>
          <cell r="W124" t="str">
            <v>Operates as an anti-aging firm that makes a better world for the healthy life of mankind [source: Bureau van Dijk]</v>
          </cell>
          <cell r="Z124" t="str">
            <v>KR1101113301944</v>
          </cell>
          <cell r="AA124">
            <v>9139387000</v>
          </cell>
          <cell r="AB124">
            <v>9385018000</v>
          </cell>
          <cell r="AC124">
            <v>7181411000</v>
          </cell>
          <cell r="AD124">
            <v>5643670000</v>
          </cell>
          <cell r="AE124">
            <v>9139387000</v>
          </cell>
          <cell r="AF124">
            <v>9385018000</v>
          </cell>
          <cell r="AG124">
            <v>7181411000</v>
          </cell>
          <cell r="AH124">
            <v>5643670000</v>
          </cell>
          <cell r="AI124" t="str">
            <v>n.a.</v>
          </cell>
          <cell r="AJ124" t="str">
            <v>n.a.</v>
          </cell>
          <cell r="AK124" t="str">
            <v>n.a.</v>
          </cell>
          <cell r="AL124" t="str">
            <v>n.a.</v>
          </cell>
          <cell r="AM124">
            <v>9139387000</v>
          </cell>
          <cell r="AN124">
            <v>9385018000</v>
          </cell>
          <cell r="AO124">
            <v>7181411000</v>
          </cell>
          <cell r="AP124">
            <v>5643670000</v>
          </cell>
          <cell r="AQ124" t="str">
            <v>n.a.</v>
          </cell>
          <cell r="AR124" t="str">
            <v>n.a.</v>
          </cell>
          <cell r="AS124" t="str">
            <v>n.a.</v>
          </cell>
          <cell r="AT124" t="str">
            <v>n.a.</v>
          </cell>
          <cell r="AU124">
            <v>-2352364000</v>
          </cell>
          <cell r="AV124">
            <v>-2060885000</v>
          </cell>
          <cell r="AW124">
            <v>-1814434000</v>
          </cell>
          <cell r="AX124">
            <v>-1518767000</v>
          </cell>
          <cell r="AY124">
            <v>-326762000</v>
          </cell>
          <cell r="AZ124">
            <v>-308724000</v>
          </cell>
          <cell r="BA124">
            <v>-204328000</v>
          </cell>
          <cell r="BB124">
            <v>-420704000</v>
          </cell>
          <cell r="BC124">
            <v>-4833536000</v>
          </cell>
          <cell r="BD124">
            <v>-4483061000</v>
          </cell>
          <cell r="BE124">
            <v>-3898612000</v>
          </cell>
          <cell r="BF124">
            <v>-3815278000</v>
          </cell>
          <cell r="BG124">
            <v>1626725000</v>
          </cell>
          <cell r="BH124">
            <v>2532348000</v>
          </cell>
          <cell r="BI124">
            <v>1264037000</v>
          </cell>
          <cell r="BJ124">
            <v>-111079000</v>
          </cell>
          <cell r="BK124">
            <v>-139141000</v>
          </cell>
          <cell r="BL124">
            <v>-133806000</v>
          </cell>
          <cell r="BM124">
            <v>-138934000</v>
          </cell>
          <cell r="BN124">
            <v>-142761000</v>
          </cell>
          <cell r="BO124">
            <v>-124411000</v>
          </cell>
          <cell r="BP124">
            <v>-109050000</v>
          </cell>
          <cell r="BQ124">
            <v>-113251000</v>
          </cell>
          <cell r="BR124">
            <v>-110725000</v>
          </cell>
          <cell r="BS124">
            <v>-14730000</v>
          </cell>
          <cell r="BT124">
            <v>-24756000</v>
          </cell>
          <cell r="BU124">
            <v>-25683000</v>
          </cell>
          <cell r="BV124">
            <v>-32036000</v>
          </cell>
          <cell r="BW124">
            <v>1339325000</v>
          </cell>
          <cell r="BX124">
            <v>2257733000</v>
          </cell>
          <cell r="BY124">
            <v>790102000</v>
          </cell>
          <cell r="BZ124">
            <v>-412342000</v>
          </cell>
          <cell r="CA124">
            <v>6215982000</v>
          </cell>
          <cell r="CB124">
            <v>5065272000</v>
          </cell>
          <cell r="CC124">
            <v>2648202000</v>
          </cell>
          <cell r="CD124">
            <v>2429407000</v>
          </cell>
          <cell r="CE124">
            <v>1845453000</v>
          </cell>
          <cell r="CF124">
            <v>1184880000</v>
          </cell>
          <cell r="CG124">
            <v>831323000</v>
          </cell>
          <cell r="CH124">
            <v>925301000</v>
          </cell>
          <cell r="CI124">
            <v>1054219000</v>
          </cell>
          <cell r="CJ124">
            <v>1028649000</v>
          </cell>
          <cell r="CK124">
            <v>823903000</v>
          </cell>
          <cell r="CL124">
            <v>789019000</v>
          </cell>
          <cell r="CM124">
            <v>1837324000</v>
          </cell>
          <cell r="CN124">
            <v>1500000000</v>
          </cell>
          <cell r="CO124" t="str">
            <v>n.a.</v>
          </cell>
          <cell r="CP124" t="str">
            <v>n.a.</v>
          </cell>
          <cell r="CQ124">
            <v>1398136000</v>
          </cell>
          <cell r="CR124">
            <v>1313488000</v>
          </cell>
          <cell r="CS124">
            <v>716918000</v>
          </cell>
          <cell r="CT124">
            <v>467734000</v>
          </cell>
          <cell r="CU124" t="str">
            <v>n.a.</v>
          </cell>
          <cell r="CV124" t="str">
            <v>n.a.</v>
          </cell>
          <cell r="CW124" t="str">
            <v>n.a.</v>
          </cell>
          <cell r="CX124" t="str">
            <v>n.a.</v>
          </cell>
          <cell r="CY124">
            <v>188991000</v>
          </cell>
          <cell r="CZ124">
            <v>181577000</v>
          </cell>
          <cell r="DA124">
            <v>176765000</v>
          </cell>
          <cell r="DB124">
            <v>175319000</v>
          </cell>
          <cell r="DC124">
            <v>7949480000</v>
          </cell>
          <cell r="DD124">
            <v>6667787000</v>
          </cell>
          <cell r="DE124">
            <v>4390289000</v>
          </cell>
          <cell r="DF124">
            <v>4410687000</v>
          </cell>
          <cell r="DG124">
            <v>9139387000</v>
          </cell>
          <cell r="DH124">
            <v>-2352364000</v>
          </cell>
          <cell r="DI124">
            <v>-5160298000</v>
          </cell>
          <cell r="DJ124">
            <v>-139141000</v>
          </cell>
          <cell r="DK124">
            <v>1487584000</v>
          </cell>
          <cell r="DL124">
            <v>0.16276627743195499</v>
          </cell>
          <cell r="DM124">
            <v>0.19440960516103201</v>
          </cell>
          <cell r="DN124">
            <v>-326762000</v>
          </cell>
          <cell r="DO124">
            <v>1515166500</v>
          </cell>
          <cell r="DP124">
            <v>185284000</v>
          </cell>
          <cell r="DR124">
            <v>9385018000</v>
          </cell>
          <cell r="DS124">
            <v>-2060885000</v>
          </cell>
          <cell r="DT124">
            <v>-4791785000</v>
          </cell>
          <cell r="DU124">
            <v>-133806000</v>
          </cell>
          <cell r="DV124">
            <v>2398542000</v>
          </cell>
          <cell r="DW124">
            <v>0.25557137983113098</v>
          </cell>
          <cell r="DX124">
            <v>0.34331213618997602</v>
          </cell>
          <cell r="DY124">
            <v>-308724000</v>
          </cell>
          <cell r="DZ124">
            <v>1008101500</v>
          </cell>
          <cell r="EA124">
            <v>179171000</v>
          </cell>
          <cell r="EC124">
            <v>7181411000</v>
          </cell>
          <cell r="ED124">
            <v>-1814434000</v>
          </cell>
          <cell r="EE124">
            <v>-4102940000</v>
          </cell>
          <cell r="EF124">
            <v>-138934000</v>
          </cell>
          <cell r="EG124">
            <v>1125103000</v>
          </cell>
          <cell r="EH124">
            <v>0.15666879391807501</v>
          </cell>
          <cell r="EI124">
            <v>0.18577374202236699</v>
          </cell>
          <cell r="EJ124">
            <v>-204328000</v>
          </cell>
          <cell r="EK124">
            <v>878312000</v>
          </cell>
          <cell r="EL124">
            <v>176042000</v>
          </cell>
          <cell r="EN124">
            <v>8568605333.3333302</v>
          </cell>
          <cell r="EO124">
            <v>-2075894333.3333299</v>
          </cell>
          <cell r="EP124">
            <v>-4685007666.6666698</v>
          </cell>
          <cell r="EQ124">
            <v>-137293666.66666701</v>
          </cell>
          <cell r="ER124">
            <v>1670409666.6666701</v>
          </cell>
          <cell r="ES124">
            <v>0.194945338440141</v>
          </cell>
          <cell r="ET124">
            <v>0.242151679567222</v>
          </cell>
        </row>
        <row r="125">
          <cell r="B125" t="str">
            <v>SR BIOTEK INC.</v>
          </cell>
          <cell r="C125" t="str">
            <v>exclude</v>
          </cell>
          <cell r="D125" t="str">
            <v>Independence(A+, A, A-, U)</v>
          </cell>
          <cell r="H125" t="str">
            <v/>
          </cell>
          <cell r="J125" t="str">
            <v>exclude</v>
          </cell>
          <cell r="K125" t="str">
            <v>Independence(A+, A, A-, U)</v>
          </cell>
          <cell r="M125" t="str">
            <v>SR BIOTEK INC.</v>
          </cell>
          <cell r="N125" t="str">
            <v>This company, with registered head office in Seongnam-si, Republic of Korea, is engaged in the development and manufacture of skin care products. It specialises in producing peeling solutions and skin restoration products based on microneedles. It offers a unique technology called Raphitox, a bio material with micro needle shaped structure made through a special refining process after the extract of animal and plant cells. Raphitox helps skin heal by itself and can be used for all skin types.The company's product lines include: Idenel Raphitox Luxury Skin Nutritive Cream, Idenel Anti-Aging Care Cream, Idenel Gold &amp; Caviar Skin Recovery Program, Idenel Basic Care, Idenel AC Solution Care, Idenel Whitening &amp; Moisture Care, and Idenel Aloe Soothing Gel. Products include moisturizing creams, cleansers, toners, cooling masks, whitening ampoules, hyaluronic serums, and soothing gels.The company is dedicated to enhancing its customers' lives with confident and healthy beauty, and exceeding their expectations with high quality skin care products based on the world's leading nano biotechnology and the technology of applying key ingredients. It was established in 2005 as a business focusing on skin restoration.</v>
          </cell>
          <cell r="O125" t="str">
            <v>Manufacturing</v>
          </cell>
          <cell r="P125" t="str">
            <v>www.srbiotek.com</v>
          </cell>
          <cell r="R125" t="str">
            <v>Republic of Korea</v>
          </cell>
          <cell r="S125" t="str">
            <v>270210</v>
          </cell>
          <cell r="T125" t="str">
            <v>D</v>
          </cell>
          <cell r="U125" t="str">
            <v>2844</v>
          </cell>
          <cell r="V125" t="str">
            <v>Engaged in the development and manufacture of skin care products</v>
          </cell>
          <cell r="W125" t="str">
            <v>- Established in May 2007 for the purpose of manufacturing and distributing cosmetics, it is engaged in cosmetics OEM and ODM business and cosmetics manufacturing through its own brand.- its main product line is divided into OEM / ODM products and its own brand products (Idenel, Kissfil). OEM / ODM products are mainly sold domestically, and its brand products are mainly sold overseas and online.- Production of functional cosmetics using micro needle and hypotonic exfoliation cosmetics. In January 2018, Company obtained cGMP conformity certification from the Ministry of Medicine.</v>
          </cell>
          <cell r="X125" t="str">
            <v>URO COSMETICS CO.,LTD.</v>
          </cell>
          <cell r="Z125" t="str">
            <v>KR1311110188085</v>
          </cell>
          <cell r="AA125">
            <v>7411638000</v>
          </cell>
          <cell r="AB125">
            <v>5681249000</v>
          </cell>
          <cell r="AC125">
            <v>1685382000</v>
          </cell>
          <cell r="AD125">
            <v>1219130000</v>
          </cell>
          <cell r="AE125">
            <v>7411638000</v>
          </cell>
          <cell r="AF125">
            <v>5681249000</v>
          </cell>
          <cell r="AG125">
            <v>1685382000</v>
          </cell>
          <cell r="AH125">
            <v>1219130000</v>
          </cell>
          <cell r="AI125" t="str">
            <v>n.a.</v>
          </cell>
          <cell r="AJ125" t="str">
            <v>n.a.</v>
          </cell>
          <cell r="AK125" t="str">
            <v>n.a.</v>
          </cell>
          <cell r="AL125" t="str">
            <v>n.a.</v>
          </cell>
          <cell r="AM125">
            <v>7411638000</v>
          </cell>
          <cell r="AN125">
            <v>5681249000</v>
          </cell>
          <cell r="AO125">
            <v>1685382000</v>
          </cell>
          <cell r="AP125">
            <v>1219130000</v>
          </cell>
          <cell r="AQ125" t="str">
            <v>n.a.</v>
          </cell>
          <cell r="AR125" t="str">
            <v>n.a.</v>
          </cell>
          <cell r="AS125" t="str">
            <v>n.a.</v>
          </cell>
          <cell r="AT125" t="str">
            <v>n.a.</v>
          </cell>
          <cell r="AU125">
            <v>-6271191000</v>
          </cell>
          <cell r="AV125">
            <v>-4711522000</v>
          </cell>
          <cell r="AW125">
            <v>-1679554000</v>
          </cell>
          <cell r="AX125">
            <v>-998115000</v>
          </cell>
          <cell r="AY125">
            <v>-453401000</v>
          </cell>
          <cell r="AZ125">
            <v>-353365000</v>
          </cell>
          <cell r="BA125">
            <v>-333121000</v>
          </cell>
          <cell r="BB125">
            <v>-279866000</v>
          </cell>
          <cell r="BC125">
            <v>-1438731000</v>
          </cell>
          <cell r="BD125">
            <v>-964766000</v>
          </cell>
          <cell r="BE125">
            <v>-832924000</v>
          </cell>
          <cell r="BF125">
            <v>-407739000</v>
          </cell>
          <cell r="BG125">
            <v>-751685000</v>
          </cell>
          <cell r="BH125">
            <v>-348404000</v>
          </cell>
          <cell r="BI125">
            <v>-1160217000</v>
          </cell>
          <cell r="BJ125">
            <v>-466590000</v>
          </cell>
          <cell r="BK125">
            <v>-51715000</v>
          </cell>
          <cell r="BL125">
            <v>-45667000</v>
          </cell>
          <cell r="BM125">
            <v>-44239000</v>
          </cell>
          <cell r="BN125">
            <v>-49000000</v>
          </cell>
          <cell r="BO125">
            <v>-47327000</v>
          </cell>
          <cell r="BP125">
            <v>-43681000</v>
          </cell>
          <cell r="BQ125">
            <v>-43115000</v>
          </cell>
          <cell r="BR125">
            <v>-47876000</v>
          </cell>
          <cell r="BS125">
            <v>-4388000</v>
          </cell>
          <cell r="BT125">
            <v>-1986000</v>
          </cell>
          <cell r="BU125">
            <v>-1124000</v>
          </cell>
          <cell r="BV125">
            <v>-1124000</v>
          </cell>
          <cell r="BW125">
            <v>-956920000</v>
          </cell>
          <cell r="BX125">
            <v>-545662000</v>
          </cell>
          <cell r="BY125">
            <v>-1335935000</v>
          </cell>
          <cell r="BZ125">
            <v>-694530000</v>
          </cell>
          <cell r="CA125">
            <v>2136966000</v>
          </cell>
          <cell r="CB125">
            <v>1079704000</v>
          </cell>
          <cell r="CC125">
            <v>341109000</v>
          </cell>
          <cell r="CD125">
            <v>470344000</v>
          </cell>
          <cell r="CE125">
            <v>827487000</v>
          </cell>
          <cell r="CF125">
            <v>751213000</v>
          </cell>
          <cell r="CG125">
            <v>246840000</v>
          </cell>
          <cell r="CH125">
            <v>363145000</v>
          </cell>
          <cell r="CI125">
            <v>417245000</v>
          </cell>
          <cell r="CJ125">
            <v>206973000</v>
          </cell>
          <cell r="CK125">
            <v>8763000</v>
          </cell>
          <cell r="CL125">
            <v>9401000</v>
          </cell>
          <cell r="CM125" t="str">
            <v>n.a.</v>
          </cell>
          <cell r="CN125" t="str">
            <v>n.a.</v>
          </cell>
          <cell r="CO125" t="str">
            <v>n.a.</v>
          </cell>
          <cell r="CP125" t="str">
            <v>n.a.</v>
          </cell>
          <cell r="CQ125">
            <v>817057000</v>
          </cell>
          <cell r="CR125">
            <v>22758000</v>
          </cell>
          <cell r="CS125">
            <v>5443000</v>
          </cell>
          <cell r="CT125">
            <v>47335000</v>
          </cell>
          <cell r="CU125" t="str">
            <v>n.a.</v>
          </cell>
          <cell r="CV125" t="str">
            <v>n.a.</v>
          </cell>
          <cell r="CW125" t="str">
            <v>n.a.</v>
          </cell>
          <cell r="CX125" t="str">
            <v>n.a.</v>
          </cell>
          <cell r="CY125">
            <v>35113000</v>
          </cell>
          <cell r="CZ125">
            <v>28285000</v>
          </cell>
          <cell r="DA125">
            <v>17344000</v>
          </cell>
          <cell r="DB125">
            <v>11835000</v>
          </cell>
          <cell r="DC125">
            <v>3582165000</v>
          </cell>
          <cell r="DD125">
            <v>2567626000</v>
          </cell>
          <cell r="DE125">
            <v>1825045000</v>
          </cell>
          <cell r="DF125">
            <v>1982995000</v>
          </cell>
          <cell r="DG125">
            <v>7411638000</v>
          </cell>
          <cell r="DH125">
            <v>-6271191000</v>
          </cell>
          <cell r="DI125">
            <v>-1892132000</v>
          </cell>
          <cell r="DJ125">
            <v>-51715000</v>
          </cell>
          <cell r="DK125">
            <v>-803400000</v>
          </cell>
          <cell r="DL125">
            <v>-0.10839709116932</v>
          </cell>
          <cell r="DM125">
            <v>-9.7796260954605405E-2</v>
          </cell>
          <cell r="DN125">
            <v>-453401000</v>
          </cell>
          <cell r="DO125">
            <v>789350000</v>
          </cell>
          <cell r="DP125">
            <v>31699000</v>
          </cell>
          <cell r="DR125">
            <v>5681249000</v>
          </cell>
          <cell r="DS125">
            <v>-4711522000</v>
          </cell>
          <cell r="DT125">
            <v>-1318131000</v>
          </cell>
          <cell r="DU125">
            <v>-45667000</v>
          </cell>
          <cell r="DV125">
            <v>-394071000</v>
          </cell>
          <cell r="DW125">
            <v>-6.9363444552421494E-2</v>
          </cell>
          <cell r="DX125">
            <v>-6.4864237603945094E-2</v>
          </cell>
          <cell r="DY125">
            <v>-353365000</v>
          </cell>
          <cell r="DZ125">
            <v>499026500</v>
          </cell>
          <cell r="EA125">
            <v>22814500</v>
          </cell>
          <cell r="EC125">
            <v>1685382000</v>
          </cell>
          <cell r="ED125">
            <v>-1679554000</v>
          </cell>
          <cell r="EE125">
            <v>-1166045000</v>
          </cell>
          <cell r="EF125">
            <v>-44239000</v>
          </cell>
          <cell r="EG125">
            <v>-1204456000</v>
          </cell>
          <cell r="EH125">
            <v>-0.71464866718643005</v>
          </cell>
          <cell r="EI125">
            <v>-0.41679014532994602</v>
          </cell>
          <cell r="EJ125">
            <v>-333121000</v>
          </cell>
          <cell r="EK125">
            <v>304992500</v>
          </cell>
          <cell r="EL125">
            <v>14589500</v>
          </cell>
          <cell r="EN125">
            <v>4926089666.6666698</v>
          </cell>
          <cell r="EO125">
            <v>-4220755666.6666698</v>
          </cell>
          <cell r="EP125">
            <v>-1458769333.3333299</v>
          </cell>
          <cell r="EQ125">
            <v>-47207000</v>
          </cell>
          <cell r="ER125">
            <v>-800642333.33333302</v>
          </cell>
          <cell r="ES125">
            <v>-0.162531010905269</v>
          </cell>
          <cell r="ET125">
            <v>-0.139807892762108</v>
          </cell>
        </row>
        <row r="126">
          <cell r="B126" t="str">
            <v>B&amp;D LIFE HEALTH CO LTD</v>
          </cell>
          <cell r="C126" t="str">
            <v>exclude</v>
          </cell>
          <cell r="D126" t="str">
            <v>Independence(A+, A, A-, U)</v>
          </cell>
          <cell r="H126" t="str">
            <v/>
          </cell>
          <cell r="J126" t="str">
            <v>exclude</v>
          </cell>
          <cell r="K126" t="str">
            <v>Independence(A+, A, A-, U)</v>
          </cell>
          <cell r="M126" t="str">
            <v>B&amp;D LIFE HEALTH CO LTD</v>
          </cell>
          <cell r="N126" t="str">
            <v>This company is engaged in the manufacture of soaps and other detergents. It was incorporated in 2012 and has its registered business office located in Incheon, Republic of Korea.The company specializes in manufacturing and packaging soaps and other detergents, such as laundry detergents, dishwashing detergents, toothpaste gels, and tooth powders, and natural glycerin. These products are sold and distributed in domestic market as well as overseas through its comprehensive marketing network. It has advanced technology and equipment for manufacturing, as well as employs certified staff skilled in manufacturing operations in compliance with the standards and other technical specifications.</v>
          </cell>
          <cell r="O126" t="str">
            <v>Manufacturing</v>
          </cell>
          <cell r="P126" t="str">
            <v>www.e-seje.com</v>
          </cell>
          <cell r="R126" t="str">
            <v>Republic of Korea</v>
          </cell>
          <cell r="S126" t="str">
            <v>215050</v>
          </cell>
          <cell r="T126" t="str">
            <v>B+</v>
          </cell>
          <cell r="U126" t="str">
            <v>2841</v>
          </cell>
          <cell r="V126" t="str">
            <v>Engaged in the manufacture of soaps and other detergents</v>
          </cell>
          <cell r="W126" t="str">
            <v>The Company is a Korea-based company principally engaged in engaged in the manufacture and distribution eco-friendly laundry detergents.</v>
          </cell>
          <cell r="Z126" t="str">
            <v>KR1101114768440</v>
          </cell>
          <cell r="AA126" t="str">
            <v>n.a.</v>
          </cell>
          <cell r="AB126">
            <v>6822514000</v>
          </cell>
          <cell r="AC126">
            <v>16494155000</v>
          </cell>
          <cell r="AD126">
            <v>13681133000</v>
          </cell>
          <cell r="AE126" t="str">
            <v>n.a.</v>
          </cell>
          <cell r="AF126">
            <v>6822342000</v>
          </cell>
          <cell r="AG126">
            <v>16474091000</v>
          </cell>
          <cell r="AH126">
            <v>11720999000</v>
          </cell>
          <cell r="AI126" t="str">
            <v>n.a.</v>
          </cell>
          <cell r="AJ126" t="str">
            <v>n.a.</v>
          </cell>
          <cell r="AK126" t="str">
            <v>n.a.</v>
          </cell>
          <cell r="AL126" t="str">
            <v>n.a.</v>
          </cell>
          <cell r="AM126" t="str">
            <v>n.a.</v>
          </cell>
          <cell r="AN126">
            <v>6822342000</v>
          </cell>
          <cell r="AO126">
            <v>16474091000</v>
          </cell>
          <cell r="AP126">
            <v>11720999000</v>
          </cell>
          <cell r="AQ126" t="str">
            <v>n.a.</v>
          </cell>
          <cell r="AR126">
            <v>172000</v>
          </cell>
          <cell r="AS126">
            <v>20064000</v>
          </cell>
          <cell r="AT126">
            <v>1960134000</v>
          </cell>
          <cell r="AU126" t="str">
            <v>n.a.</v>
          </cell>
          <cell r="AV126">
            <v>-3802109000</v>
          </cell>
          <cell r="AW126">
            <v>-7427190000</v>
          </cell>
          <cell r="AX126">
            <v>-4649352000</v>
          </cell>
          <cell r="AY126" t="str">
            <v>n.a.</v>
          </cell>
          <cell r="AZ126">
            <v>0</v>
          </cell>
          <cell r="BA126">
            <v>0</v>
          </cell>
          <cell r="BB126">
            <v>0</v>
          </cell>
          <cell r="BC126" t="str">
            <v>n.a.</v>
          </cell>
          <cell r="BD126">
            <v>-6758404000</v>
          </cell>
          <cell r="BE126">
            <v>-7444473000</v>
          </cell>
          <cell r="BF126">
            <v>-7897989000</v>
          </cell>
          <cell r="BG126" t="str">
            <v>n.a.</v>
          </cell>
          <cell r="BH126">
            <v>-3737999000</v>
          </cell>
          <cell r="BI126">
            <v>1622492000</v>
          </cell>
          <cell r="BJ126">
            <v>1133792000</v>
          </cell>
          <cell r="BK126" t="str">
            <v>n.a.</v>
          </cell>
          <cell r="BL126">
            <v>-732200000</v>
          </cell>
          <cell r="BM126">
            <v>-692244000</v>
          </cell>
          <cell r="BN126">
            <v>-631304000</v>
          </cell>
          <cell r="BO126" t="str">
            <v>n.a.</v>
          </cell>
          <cell r="BP126">
            <v>-732200000</v>
          </cell>
          <cell r="BQ126">
            <v>-692244000</v>
          </cell>
          <cell r="BR126">
            <v>-631304000</v>
          </cell>
          <cell r="BS126" t="str">
            <v>n.a.</v>
          </cell>
          <cell r="BT126">
            <v>0</v>
          </cell>
          <cell r="BU126">
            <v>0</v>
          </cell>
          <cell r="BV126">
            <v>0</v>
          </cell>
          <cell r="BW126" t="str">
            <v>n.a.</v>
          </cell>
          <cell r="BX126">
            <v>-6388621000</v>
          </cell>
          <cell r="BY126">
            <v>200412000</v>
          </cell>
          <cell r="BZ126">
            <v>-489581000</v>
          </cell>
          <cell r="CA126" t="str">
            <v>n.a.</v>
          </cell>
          <cell r="CB126">
            <v>2599812000</v>
          </cell>
          <cell r="CC126">
            <v>6344338000</v>
          </cell>
          <cell r="CD126">
            <v>5175126000</v>
          </cell>
          <cell r="CE126" t="str">
            <v>n.a.</v>
          </cell>
          <cell r="CF126">
            <v>1516401000</v>
          </cell>
          <cell r="CG126">
            <v>1888821000</v>
          </cell>
          <cell r="CH126">
            <v>1500556000</v>
          </cell>
          <cell r="CI126" t="str">
            <v>n.a.</v>
          </cell>
          <cell r="CJ126">
            <v>551690000</v>
          </cell>
          <cell r="CK126">
            <v>2693748000</v>
          </cell>
          <cell r="CL126">
            <v>817349000</v>
          </cell>
          <cell r="CM126" t="str">
            <v>n.a.</v>
          </cell>
          <cell r="CN126">
            <v>50000000</v>
          </cell>
          <cell r="CO126">
            <v>1086302000</v>
          </cell>
          <cell r="CP126">
            <v>237790000</v>
          </cell>
          <cell r="CQ126" t="str">
            <v>n.a.</v>
          </cell>
          <cell r="CR126">
            <v>82724000</v>
          </cell>
          <cell r="CS126">
            <v>675344000</v>
          </cell>
          <cell r="CT126">
            <v>1732177000</v>
          </cell>
          <cell r="CU126" t="str">
            <v>n.a.</v>
          </cell>
          <cell r="CV126" t="str">
            <v>n.a.</v>
          </cell>
          <cell r="CW126" t="str">
            <v>n.a.</v>
          </cell>
          <cell r="CX126" t="str">
            <v>n.a.</v>
          </cell>
          <cell r="CY126" t="str">
            <v>n.a.</v>
          </cell>
          <cell r="CZ126">
            <v>119059000</v>
          </cell>
          <cell r="DA126">
            <v>604650000</v>
          </cell>
          <cell r="DB126">
            <v>63473000</v>
          </cell>
          <cell r="DC126" t="str">
            <v>n.a.</v>
          </cell>
          <cell r="DD126">
            <v>14241562000</v>
          </cell>
          <cell r="DE126">
            <v>25254750000</v>
          </cell>
          <cell r="DF126">
            <v>23313135000</v>
          </cell>
          <cell r="DG126" t="str">
            <v>无数据</v>
          </cell>
          <cell r="DH126" t="str">
            <v>n.a.</v>
          </cell>
          <cell r="DI126" t="str">
            <v>n.a.</v>
          </cell>
          <cell r="DJ126" t="str">
            <v>n.a.</v>
          </cell>
          <cell r="DK126" t="str">
            <v>无数据</v>
          </cell>
          <cell r="DL126" t="e">
            <v>#VALUE!</v>
          </cell>
          <cell r="DM126" t="e">
            <v>#VALUE!</v>
          </cell>
          <cell r="DN126" t="str">
            <v>n.a.</v>
          </cell>
          <cell r="DO126" t="e">
            <v>#VALUE!</v>
          </cell>
          <cell r="DP126" t="e">
            <v>#VALUE!</v>
          </cell>
          <cell r="DR126">
            <v>6822342000</v>
          </cell>
          <cell r="DS126">
            <v>-3802109000</v>
          </cell>
          <cell r="DT126">
            <v>-6758404000</v>
          </cell>
          <cell r="DU126">
            <v>-732200000</v>
          </cell>
          <cell r="DV126">
            <v>-4470371000</v>
          </cell>
          <cell r="DW126">
            <v>-0.65525460318465401</v>
          </cell>
          <cell r="DX126">
            <v>-0.39586333239851201</v>
          </cell>
          <cell r="DY126">
            <v>0</v>
          </cell>
          <cell r="DZ126">
            <v>1702611000</v>
          </cell>
          <cell r="EA126">
            <v>361854500</v>
          </cell>
          <cell r="EC126">
            <v>16474091000</v>
          </cell>
          <cell r="ED126">
            <v>-7427190000</v>
          </cell>
          <cell r="EE126">
            <v>-7444473000</v>
          </cell>
          <cell r="EF126">
            <v>-692244000</v>
          </cell>
          <cell r="EG126">
            <v>910184000</v>
          </cell>
          <cell r="EH126">
            <v>5.5249421652460197E-2</v>
          </cell>
          <cell r="EI126">
            <v>5.8480431680811303E-2</v>
          </cell>
          <cell r="EJ126">
            <v>0</v>
          </cell>
          <cell r="EK126">
            <v>1694688500</v>
          </cell>
          <cell r="EL126">
            <v>334061500</v>
          </cell>
          <cell r="EN126" t="e">
            <v>#VALUE!</v>
          </cell>
          <cell r="EO126" t="e">
            <v>#VALUE!</v>
          </cell>
          <cell r="EP126" t="e">
            <v>#VALUE!</v>
          </cell>
          <cell r="EQ126" t="e">
            <v>#VALUE!</v>
          </cell>
          <cell r="ER126" t="e">
            <v>#VALUE!</v>
          </cell>
          <cell r="ES126" t="e">
            <v>#VALUE!</v>
          </cell>
          <cell r="ET126" t="e">
            <v>#VALUE!</v>
          </cell>
        </row>
        <row r="127">
          <cell r="B127" t="str">
            <v>BANKA BIOLOO LIMITED</v>
          </cell>
          <cell r="C127" t="str">
            <v>exclude</v>
          </cell>
          <cell r="D127" t="str">
            <v>Independence(A+, A, A-, U)</v>
          </cell>
          <cell r="H127" t="str">
            <v/>
          </cell>
          <cell r="J127" t="str">
            <v>exclude</v>
          </cell>
          <cell r="K127" t="str">
            <v>Independence(A+, A, A-, U)</v>
          </cell>
          <cell r="M127" t="str">
            <v>BANKA BIOLOO LIMITED</v>
          </cell>
          <cell r="N127" t="str">
            <v>This company is engaged in providing sanitation infrastructure and human waste management solutions and services in India. It was founded in 2008 and is based in Hyderabad, India. The company manufactures, supplies, and installs bio-tanks for digestion of human waste. The company is also involved in the rental and AMC of mobile biotoilets; handling of low cost housing projects for sanitation requirement at rural area; sale of spares of control discharge toilet system to Indian Railways; and provision of consultancy services for development of large bio tanks, as well as waste water treatment and recycling solutions.</v>
          </cell>
          <cell r="O127" t="str">
            <v>Services</v>
          </cell>
          <cell r="P127" t="str">
            <v>www.bankabio.com</v>
          </cell>
          <cell r="R127" t="str">
            <v>India</v>
          </cell>
          <cell r="S127" t="str">
            <v>BANKA</v>
          </cell>
          <cell r="T127" t="str">
            <v>B+</v>
          </cell>
          <cell r="U127" t="str">
            <v>2844</v>
          </cell>
          <cell r="V127" t="str">
            <v>Engaged in providing sanitation infrastructure and human waste management solutions and services in India</v>
          </cell>
          <cell r="W127" t="str">
            <v>The Company is engaged in the business of operations and maintenance of bio-toilets, consultancy for development of large bio-tank and wastewater treatment and recycling solutions.</v>
          </cell>
          <cell r="Z127" t="str">
            <v>IN621257FI</v>
          </cell>
          <cell r="AA127">
            <v>424953000</v>
          </cell>
          <cell r="AB127">
            <v>388133000</v>
          </cell>
          <cell r="AC127">
            <v>305296000</v>
          </cell>
          <cell r="AD127">
            <v>478881000</v>
          </cell>
          <cell r="AE127">
            <v>487446000</v>
          </cell>
          <cell r="AF127">
            <v>447300000</v>
          </cell>
          <cell r="AG127">
            <v>356653000</v>
          </cell>
          <cell r="AH127">
            <v>550422000</v>
          </cell>
          <cell r="AI127">
            <v>-63948000</v>
          </cell>
          <cell r="AJ127">
            <v>-59792000</v>
          </cell>
          <cell r="AK127">
            <v>-52076000</v>
          </cell>
          <cell r="AL127">
            <v>-71772000</v>
          </cell>
          <cell r="AM127">
            <v>423498000</v>
          </cell>
          <cell r="AN127">
            <v>387508000</v>
          </cell>
          <cell r="AO127">
            <v>304577000</v>
          </cell>
          <cell r="AP127">
            <v>478650000</v>
          </cell>
          <cell r="AQ127">
            <v>1455000</v>
          </cell>
          <cell r="AR127">
            <v>625000</v>
          </cell>
          <cell r="AS127">
            <v>719000</v>
          </cell>
          <cell r="AT127">
            <v>231000</v>
          </cell>
          <cell r="AU127">
            <v>-55386000</v>
          </cell>
          <cell r="AV127">
            <v>-67213000</v>
          </cell>
          <cell r="AW127">
            <v>-38109000</v>
          </cell>
          <cell r="AX127">
            <v>-87906000</v>
          </cell>
          <cell r="AY127">
            <v>0</v>
          </cell>
          <cell r="AZ127">
            <v>0</v>
          </cell>
          <cell r="BA127">
            <v>0</v>
          </cell>
          <cell r="BB127">
            <v>0</v>
          </cell>
          <cell r="BC127">
            <v>-306184000</v>
          </cell>
          <cell r="BD127">
            <v>-264670000</v>
          </cell>
          <cell r="BE127">
            <v>-231964000</v>
          </cell>
          <cell r="BF127">
            <v>-304438000</v>
          </cell>
          <cell r="BG127">
            <v>63383000</v>
          </cell>
          <cell r="BH127">
            <v>56250000</v>
          </cell>
          <cell r="BI127">
            <v>35223000</v>
          </cell>
          <cell r="BJ127">
            <v>86537000</v>
          </cell>
          <cell r="BK127">
            <v>-14825000</v>
          </cell>
          <cell r="BL127">
            <v>-9415000</v>
          </cell>
          <cell r="BM127">
            <v>-5973000</v>
          </cell>
          <cell r="BN127">
            <v>-4665000</v>
          </cell>
          <cell r="BO127">
            <v>-14643000</v>
          </cell>
          <cell r="BP127">
            <v>-9187000</v>
          </cell>
          <cell r="BQ127">
            <v>-5744000</v>
          </cell>
          <cell r="BR127">
            <v>-4562000</v>
          </cell>
          <cell r="BS127">
            <v>-182000</v>
          </cell>
          <cell r="BT127">
            <v>-228000</v>
          </cell>
          <cell r="BU127">
            <v>-229000</v>
          </cell>
          <cell r="BV127">
            <v>-103000</v>
          </cell>
          <cell r="BW127">
            <v>25389000</v>
          </cell>
          <cell r="BX127">
            <v>31076000</v>
          </cell>
          <cell r="BY127">
            <v>22048000</v>
          </cell>
          <cell r="BZ127">
            <v>60456000</v>
          </cell>
          <cell r="CA127">
            <v>414829000</v>
          </cell>
          <cell r="CB127">
            <v>475591000</v>
          </cell>
          <cell r="CC127">
            <v>360067000</v>
          </cell>
          <cell r="CD127">
            <v>345449000</v>
          </cell>
          <cell r="CE127">
            <v>87211000</v>
          </cell>
          <cell r="CF127">
            <v>83893000</v>
          </cell>
          <cell r="CG127">
            <v>80302000</v>
          </cell>
          <cell r="CH127">
            <v>37619000</v>
          </cell>
          <cell r="CI127">
            <v>116998000</v>
          </cell>
          <cell r="CJ127">
            <v>203593000</v>
          </cell>
          <cell r="CK127">
            <v>116781000</v>
          </cell>
          <cell r="CL127">
            <v>149677000</v>
          </cell>
          <cell r="CM127">
            <v>157421000</v>
          </cell>
          <cell r="CN127">
            <v>117686000</v>
          </cell>
          <cell r="CO127">
            <v>29078000</v>
          </cell>
          <cell r="CP127">
            <v>105315000</v>
          </cell>
          <cell r="CQ127">
            <v>35769000</v>
          </cell>
          <cell r="CR127">
            <v>42803000</v>
          </cell>
          <cell r="CS127">
            <v>64814000</v>
          </cell>
          <cell r="CT127">
            <v>43317000</v>
          </cell>
          <cell r="CU127">
            <v>9912000</v>
          </cell>
          <cell r="CV127" t="str">
            <v>n.a.</v>
          </cell>
          <cell r="CW127" t="str">
            <v>n.a.</v>
          </cell>
          <cell r="CX127" t="str">
            <v>n.a.</v>
          </cell>
          <cell r="CY127">
            <v>87732000</v>
          </cell>
          <cell r="CZ127">
            <v>36057000</v>
          </cell>
          <cell r="DA127">
            <v>7774000</v>
          </cell>
          <cell r="DB127">
            <v>7046000</v>
          </cell>
          <cell r="DC127">
            <v>652074000</v>
          </cell>
          <cell r="DD127">
            <v>640543000</v>
          </cell>
          <cell r="DE127">
            <v>463710000</v>
          </cell>
          <cell r="DF127">
            <v>467743000</v>
          </cell>
          <cell r="DG127">
            <v>423498000</v>
          </cell>
          <cell r="DH127">
            <v>-55386000</v>
          </cell>
          <cell r="DI127">
            <v>-306184000</v>
          </cell>
          <cell r="DJ127">
            <v>-14825000</v>
          </cell>
          <cell r="DK127">
            <v>47103000</v>
          </cell>
          <cell r="DL127">
            <v>0.11122366575521</v>
          </cell>
          <cell r="DM127">
            <v>0.12514247001155701</v>
          </cell>
          <cell r="DN127">
            <v>0</v>
          </cell>
          <cell r="DO127">
            <v>85552000</v>
          </cell>
          <cell r="DP127">
            <v>61894500</v>
          </cell>
          <cell r="DR127">
            <v>387508000</v>
          </cell>
          <cell r="DS127">
            <v>-67213000</v>
          </cell>
          <cell r="DT127">
            <v>-264670000</v>
          </cell>
          <cell r="DU127">
            <v>-9415000</v>
          </cell>
          <cell r="DV127">
            <v>46210000</v>
          </cell>
          <cell r="DW127">
            <v>0.11924915098527</v>
          </cell>
          <cell r="DX127">
            <v>0.135394874860093</v>
          </cell>
          <cell r="DY127">
            <v>0</v>
          </cell>
          <cell r="DZ127">
            <v>82097500</v>
          </cell>
          <cell r="EA127">
            <v>21915500</v>
          </cell>
          <cell r="EC127">
            <v>304577000</v>
          </cell>
          <cell r="ED127">
            <v>-38109000</v>
          </cell>
          <cell r="EE127">
            <v>-231964000</v>
          </cell>
          <cell r="EF127">
            <v>-5973000</v>
          </cell>
          <cell r="EG127">
            <v>28531000</v>
          </cell>
          <cell r="EH127">
            <v>9.3674177629958902E-2</v>
          </cell>
          <cell r="EI127">
            <v>0.10335596241206201</v>
          </cell>
          <cell r="EJ127">
            <v>0</v>
          </cell>
          <cell r="EK127">
            <v>58960500</v>
          </cell>
          <cell r="EL127">
            <v>7410000</v>
          </cell>
          <cell r="EN127">
            <v>371861000</v>
          </cell>
          <cell r="EO127">
            <v>-53569333.333333299</v>
          </cell>
          <cell r="EP127">
            <v>-267606000</v>
          </cell>
          <cell r="EQ127">
            <v>-10071000</v>
          </cell>
          <cell r="ER127">
            <v>40614666.666666701</v>
          </cell>
          <cell r="ES127">
            <v>0.10922002217674499</v>
          </cell>
          <cell r="ET127">
            <v>0.122611671676366</v>
          </cell>
        </row>
        <row r="128">
          <cell r="B128" t="str">
            <v>HANOI SOAP JOINT STOCK COMPANY</v>
          </cell>
          <cell r="C128" t="str">
            <v>exclude</v>
          </cell>
          <cell r="D128" t="str">
            <v>Independence(A+, A, A-, U)</v>
          </cell>
          <cell r="H128" t="str">
            <v/>
          </cell>
          <cell r="J128" t="str">
            <v>exclude</v>
          </cell>
          <cell r="K128" t="str">
            <v>Independence(A+, A, A-, U)</v>
          </cell>
          <cell r="M128" t="str">
            <v>HANOI SOAP JOINT STOCK COMPANY</v>
          </cell>
          <cell r="N128" t="str">
            <v>The company is a Vietnam based enterprise engaged in the manufacture and sale of soap and other detergents. The company was established in the year 1960. Its registered business office is based in Ha Noi, Vietnam. it is registered as a limited liability company.The company's business activities include the manufacture and sale of soap, synthetic organic detergents, and inorganic alkaline detergents. It is also involved in the manufacture of crude and refined glycerin from vegetable and animal fats and oils.</v>
          </cell>
          <cell r="O128" t="str">
            <v>Manufacturing</v>
          </cell>
          <cell r="P128" t="str">
            <v>www.haso.com.vn</v>
          </cell>
          <cell r="R128" t="str">
            <v>Vietnam</v>
          </cell>
          <cell r="S128" t="str">
            <v>XPH</v>
          </cell>
          <cell r="T128" t="str">
            <v>D</v>
          </cell>
          <cell r="U128" t="str">
            <v>2841</v>
          </cell>
          <cell r="V128" t="str">
            <v>Engaged in the manufacture and sale of soap and other detergents</v>
          </cell>
          <cell r="W128" t="str">
            <v>The Company specializes in trading, manufacturing chemical detergents and soaps.</v>
          </cell>
          <cell r="Z128" t="str">
            <v>VN0103006569</v>
          </cell>
          <cell r="AA128">
            <v>47001855000</v>
          </cell>
          <cell r="AB128">
            <v>50360563000</v>
          </cell>
          <cell r="AC128">
            <v>48723430000</v>
          </cell>
          <cell r="AD128">
            <v>72924803000</v>
          </cell>
          <cell r="AE128">
            <v>47319668000</v>
          </cell>
          <cell r="AF128">
            <v>52825769000</v>
          </cell>
          <cell r="AG128">
            <v>48958427000</v>
          </cell>
          <cell r="AH128">
            <v>73485147000</v>
          </cell>
          <cell r="AI128">
            <v>-317813000</v>
          </cell>
          <cell r="AJ128">
            <v>-2465206000</v>
          </cell>
          <cell r="AK128">
            <v>-234997000</v>
          </cell>
          <cell r="AL128">
            <v>-560344000</v>
          </cell>
          <cell r="AM128">
            <v>47001855000</v>
          </cell>
          <cell r="AN128">
            <v>50360563000</v>
          </cell>
          <cell r="AO128">
            <v>48723430000</v>
          </cell>
          <cell r="AP128">
            <v>72924803000</v>
          </cell>
          <cell r="AQ128" t="str">
            <v>n.a.</v>
          </cell>
          <cell r="AR128" t="str">
            <v>n.a.</v>
          </cell>
          <cell r="AS128" t="str">
            <v>n.a.</v>
          </cell>
          <cell r="AT128" t="str">
            <v>n.a.</v>
          </cell>
          <cell r="AU128">
            <v>-34289010000</v>
          </cell>
          <cell r="AV128">
            <v>-40717115000</v>
          </cell>
          <cell r="AW128">
            <v>-33851583000</v>
          </cell>
          <cell r="AX128">
            <v>-67397475000</v>
          </cell>
          <cell r="AY128">
            <v>0</v>
          </cell>
          <cell r="AZ128">
            <v>0</v>
          </cell>
          <cell r="BA128">
            <v>0</v>
          </cell>
          <cell r="BB128">
            <v>0</v>
          </cell>
          <cell r="BC128">
            <v>-26275954000</v>
          </cell>
          <cell r="BD128">
            <v>-20000024000</v>
          </cell>
          <cell r="BE128">
            <v>-12610159000</v>
          </cell>
          <cell r="BF128">
            <v>-10075945000</v>
          </cell>
          <cell r="BG128">
            <v>-13563109000</v>
          </cell>
          <cell r="BH128">
            <v>-10356576000</v>
          </cell>
          <cell r="BI128">
            <v>2261688000</v>
          </cell>
          <cell r="BJ128">
            <v>-4548617000</v>
          </cell>
          <cell r="BK128">
            <v>-4124089000</v>
          </cell>
          <cell r="BL128">
            <v>-4936202000</v>
          </cell>
          <cell r="BM128">
            <v>-5240028000</v>
          </cell>
          <cell r="BN128">
            <v>-6146768000</v>
          </cell>
          <cell r="BO128">
            <v>-4124089000</v>
          </cell>
          <cell r="BP128">
            <v>-4802883000</v>
          </cell>
          <cell r="BQ128">
            <v>-4973391000</v>
          </cell>
          <cell r="BR128">
            <v>-5880131000</v>
          </cell>
          <cell r="BS128">
            <v>0</v>
          </cell>
          <cell r="BT128">
            <v>-133319000</v>
          </cell>
          <cell r="BU128">
            <v>-266637000</v>
          </cell>
          <cell r="BV128">
            <v>-266637000</v>
          </cell>
          <cell r="BW128">
            <v>-6885887000</v>
          </cell>
          <cell r="BX128">
            <v>-15261967000</v>
          </cell>
          <cell r="BY128">
            <v>41946000</v>
          </cell>
          <cell r="BZ128">
            <v>-5855955000</v>
          </cell>
          <cell r="CA128">
            <v>59561333000</v>
          </cell>
          <cell r="CB128">
            <v>62742223000</v>
          </cell>
          <cell r="CC128">
            <v>73744027000</v>
          </cell>
          <cell r="CD128">
            <v>72189816000</v>
          </cell>
          <cell r="CE128">
            <v>23771950000</v>
          </cell>
          <cell r="CF128">
            <v>29314622000</v>
          </cell>
          <cell r="CG128">
            <v>23834454000</v>
          </cell>
          <cell r="CH128">
            <v>7426315000</v>
          </cell>
          <cell r="CI128">
            <v>11071004000</v>
          </cell>
          <cell r="CJ128">
            <v>14167422000</v>
          </cell>
          <cell r="CK128">
            <v>13288341000</v>
          </cell>
          <cell r="CL128">
            <v>4192540000</v>
          </cell>
          <cell r="CM128">
            <v>3555983000</v>
          </cell>
          <cell r="CN128">
            <v>7245757000</v>
          </cell>
          <cell r="CO128">
            <v>2833426000</v>
          </cell>
          <cell r="CP128">
            <v>2507830000</v>
          </cell>
          <cell r="CQ128">
            <v>18408012000</v>
          </cell>
          <cell r="CR128">
            <v>6426798000</v>
          </cell>
          <cell r="CS128">
            <v>27245174000</v>
          </cell>
          <cell r="CT128">
            <v>54025630000</v>
          </cell>
          <cell r="CU128">
            <v>14000000000</v>
          </cell>
          <cell r="CV128">
            <v>4000000000</v>
          </cell>
          <cell r="CW128">
            <v>19500000000</v>
          </cell>
          <cell r="CX128">
            <v>48500000000</v>
          </cell>
          <cell r="CY128">
            <v>741973000</v>
          </cell>
          <cell r="CZ128">
            <v>1266514000</v>
          </cell>
          <cell r="DA128">
            <v>1123483000</v>
          </cell>
          <cell r="DB128">
            <v>834524000</v>
          </cell>
          <cell r="DC128">
            <v>173414114000</v>
          </cell>
          <cell r="DD128">
            <v>181103620000</v>
          </cell>
          <cell r="DE128">
            <v>198743422000</v>
          </cell>
          <cell r="DF128">
            <v>199634358000</v>
          </cell>
          <cell r="DG128">
            <v>47001855000</v>
          </cell>
          <cell r="DH128">
            <v>-34289010000</v>
          </cell>
          <cell r="DI128">
            <v>-26275954000</v>
          </cell>
          <cell r="DJ128">
            <v>-4124089000</v>
          </cell>
          <cell r="DK128">
            <v>-17687198000</v>
          </cell>
          <cell r="DL128">
            <v>-0.37630850952584699</v>
          </cell>
          <cell r="DM128">
            <v>-0.27341871892915198</v>
          </cell>
          <cell r="DN128">
            <v>0</v>
          </cell>
          <cell r="DO128">
            <v>26543286000</v>
          </cell>
          <cell r="DP128">
            <v>1004243500</v>
          </cell>
          <cell r="DR128">
            <v>50360563000</v>
          </cell>
          <cell r="DS128">
            <v>-40717115000</v>
          </cell>
          <cell r="DT128">
            <v>-20000024000</v>
          </cell>
          <cell r="DU128">
            <v>-4936202000</v>
          </cell>
          <cell r="DV128">
            <v>-15292778000</v>
          </cell>
          <cell r="DW128">
            <v>-0.30366574734281698</v>
          </cell>
          <cell r="DX128">
            <v>-0.23293221284808599</v>
          </cell>
          <cell r="DY128">
            <v>0</v>
          </cell>
          <cell r="DZ128">
            <v>26574538000</v>
          </cell>
          <cell r="EA128">
            <v>1194998500</v>
          </cell>
          <cell r="EC128">
            <v>48723430000</v>
          </cell>
          <cell r="ED128">
            <v>-33851583000</v>
          </cell>
          <cell r="EE128">
            <v>-12610159000</v>
          </cell>
          <cell r="EF128">
            <v>-5240028000</v>
          </cell>
          <cell r="EG128">
            <v>-2978340000</v>
          </cell>
          <cell r="EH128">
            <v>-6.1127469884611998E-2</v>
          </cell>
          <cell r="EI128">
            <v>-5.7606151588233803E-2</v>
          </cell>
          <cell r="EJ128">
            <v>0</v>
          </cell>
          <cell r="EK128">
            <v>15630384500</v>
          </cell>
          <cell r="EL128">
            <v>979003500</v>
          </cell>
          <cell r="EN128">
            <v>48695282666.666702</v>
          </cell>
          <cell r="EO128">
            <v>-36285902666.666702</v>
          </cell>
          <cell r="EP128">
            <v>-19628712333.333302</v>
          </cell>
          <cell r="EQ128">
            <v>-4766773000</v>
          </cell>
          <cell r="ER128">
            <v>-11986105333.3333</v>
          </cell>
          <cell r="ES128">
            <v>-0.246145102296288</v>
          </cell>
          <cell r="ET128">
            <v>-0.19752523349224199</v>
          </cell>
        </row>
        <row r="129">
          <cell r="B129" t="str">
            <v>XIAMEN EASY BEAUTY CO.,LTD</v>
          </cell>
          <cell r="C129" t="str">
            <v>exclude</v>
          </cell>
          <cell r="D129" t="str">
            <v>Independence(A+, A, A-, U)</v>
          </cell>
          <cell r="H129" t="str">
            <v/>
          </cell>
          <cell r="J129" t="str">
            <v>exclude</v>
          </cell>
          <cell r="K129" t="str">
            <v>Independence(A+, A, A-, U)</v>
          </cell>
          <cell r="M129" t="str">
            <v>XIAMEN EASY BEAUTY CO.,LTD</v>
          </cell>
          <cell r="N129" t="str">
            <v>This company, based in China, is engaged in the wholesale trade of beauty products and supplies. It was incorporated in 2009 and conducts business from its registered head office located in Xiamen, Fujian.The company sells a range of products include eye cream, essential oil, hand cream, black mask, compression mask, liquid foundation, pre-makeup milk, pressed powder, concealer, eyebrow powder, mascara, eyeliner, eyebrow pen, eye shadow, lip balm, bite lip makeup, lip gloss, lipstick, makeup remover, cleansing oil, and cleaning cotton. It conducts its business activities throughout China and further serves the general public of the city, as well as the surrounding areas.</v>
          </cell>
          <cell r="O129" t="str">
            <v>Wholesale</v>
          </cell>
          <cell r="P129" t="str">
            <v>www.pba.cn</v>
          </cell>
          <cell r="R129" t="str">
            <v>China</v>
          </cell>
          <cell r="S129" t="str">
            <v>835894</v>
          </cell>
          <cell r="T129" t="str">
            <v>B+</v>
          </cell>
          <cell r="U129" t="str">
            <v>2844</v>
          </cell>
          <cell r="V129" t="str">
            <v>Engaged in the wholesale trade of beauty products and supplies</v>
          </cell>
          <cell r="W129" t="str">
            <v>The Company is mainly engaged in the research and development of cosmetic, beauty, beauty and body instruments and network sales. The main products arePBA, YangSang, Philippines, Su Di brand cosmetics and cassava brand beauty instrument series products.</v>
          </cell>
          <cell r="X129" t="str">
            <v>XIAMEN MEIYI ONLINE TECHNOLOGY COMPANY LIMITED</v>
          </cell>
          <cell r="Z129" t="str">
            <v>CN47101PC</v>
          </cell>
          <cell r="AA129">
            <v>1723000</v>
          </cell>
          <cell r="AB129">
            <v>5820000</v>
          </cell>
          <cell r="AC129">
            <v>18821000</v>
          </cell>
          <cell r="AD129">
            <v>37069000</v>
          </cell>
          <cell r="AE129">
            <v>969000</v>
          </cell>
          <cell r="AF129">
            <v>5785000</v>
          </cell>
          <cell r="AG129">
            <v>18803000</v>
          </cell>
          <cell r="AH129">
            <v>35571000</v>
          </cell>
          <cell r="AI129">
            <v>0</v>
          </cell>
          <cell r="AJ129">
            <v>-1000</v>
          </cell>
          <cell r="AK129">
            <v>-81000</v>
          </cell>
          <cell r="AL129">
            <v>-259000</v>
          </cell>
          <cell r="AM129">
            <v>969000</v>
          </cell>
          <cell r="AN129">
            <v>5784000</v>
          </cell>
          <cell r="AO129">
            <v>18722000</v>
          </cell>
          <cell r="AP129">
            <v>35312000</v>
          </cell>
          <cell r="AQ129">
            <v>754000</v>
          </cell>
          <cell r="AR129">
            <v>36000</v>
          </cell>
          <cell r="AS129">
            <v>99000</v>
          </cell>
          <cell r="AT129">
            <v>1757000</v>
          </cell>
          <cell r="AU129">
            <v>-717000</v>
          </cell>
          <cell r="AV129">
            <v>-4107000</v>
          </cell>
          <cell r="AW129">
            <v>-11221000</v>
          </cell>
          <cell r="AX129">
            <v>-15274000</v>
          </cell>
          <cell r="AY129" t="str">
            <v>n.a.</v>
          </cell>
          <cell r="AZ129" t="str">
            <v>n.a.</v>
          </cell>
          <cell r="BA129" t="str">
            <v>n.a.</v>
          </cell>
          <cell r="BB129" t="str">
            <v>n.a.</v>
          </cell>
          <cell r="BC129">
            <v>-2613000</v>
          </cell>
          <cell r="BD129">
            <v>-11204000</v>
          </cell>
          <cell r="BE129">
            <v>-19745000</v>
          </cell>
          <cell r="BF129">
            <v>-31464000</v>
          </cell>
          <cell r="BG129">
            <v>-1607000</v>
          </cell>
          <cell r="BH129">
            <v>-9491000</v>
          </cell>
          <cell r="BI129">
            <v>-12145000</v>
          </cell>
          <cell r="BJ129">
            <v>-9669000</v>
          </cell>
          <cell r="BK129">
            <v>-53000</v>
          </cell>
          <cell r="BL129">
            <v>-124000</v>
          </cell>
          <cell r="BM129">
            <v>-187000</v>
          </cell>
          <cell r="BN129">
            <v>-265000</v>
          </cell>
          <cell r="BO129">
            <v>-37000</v>
          </cell>
          <cell r="BP129">
            <v>-98000</v>
          </cell>
          <cell r="BQ129">
            <v>-160000</v>
          </cell>
          <cell r="BR129">
            <v>-238000</v>
          </cell>
          <cell r="BS129">
            <v>-16000</v>
          </cell>
          <cell r="BT129">
            <v>-26000</v>
          </cell>
          <cell r="BU129">
            <v>-27000</v>
          </cell>
          <cell r="BV129">
            <v>-27000</v>
          </cell>
          <cell r="BW129">
            <v>-1724000</v>
          </cell>
          <cell r="BX129">
            <v>-12601000</v>
          </cell>
          <cell r="BY129">
            <v>-12836000</v>
          </cell>
          <cell r="BZ129">
            <v>-10031000</v>
          </cell>
          <cell r="CA129">
            <v>2151000</v>
          </cell>
          <cell r="CB129">
            <v>3443000</v>
          </cell>
          <cell r="CC129">
            <v>13457000</v>
          </cell>
          <cell r="CD129">
            <v>25357000</v>
          </cell>
          <cell r="CE129">
            <v>1128000</v>
          </cell>
          <cell r="CF129">
            <v>1522000</v>
          </cell>
          <cell r="CG129">
            <v>9708000</v>
          </cell>
          <cell r="CH129">
            <v>15646000</v>
          </cell>
          <cell r="CI129">
            <v>2000</v>
          </cell>
          <cell r="CJ129">
            <v>3000</v>
          </cell>
          <cell r="CK129">
            <v>616000</v>
          </cell>
          <cell r="CL129">
            <v>744000</v>
          </cell>
          <cell r="CM129">
            <v>611000</v>
          </cell>
          <cell r="CN129">
            <v>1311000</v>
          </cell>
          <cell r="CO129">
            <v>1783000</v>
          </cell>
          <cell r="CP129">
            <v>3994000</v>
          </cell>
          <cell r="CQ129">
            <v>54000</v>
          </cell>
          <cell r="CR129">
            <v>188000</v>
          </cell>
          <cell r="CS129">
            <v>262000</v>
          </cell>
          <cell r="CT129">
            <v>1393000</v>
          </cell>
          <cell r="CU129" t="str">
            <v>n.a.</v>
          </cell>
          <cell r="CV129" t="str">
            <v>n.a.</v>
          </cell>
          <cell r="CW129" t="str">
            <v>n.a.</v>
          </cell>
          <cell r="CX129" t="str">
            <v>n.a.</v>
          </cell>
          <cell r="CY129">
            <v>302000</v>
          </cell>
          <cell r="CZ129">
            <v>376000</v>
          </cell>
          <cell r="DA129">
            <v>1502000</v>
          </cell>
          <cell r="DB129">
            <v>1497000</v>
          </cell>
          <cell r="DC129">
            <v>3977000</v>
          </cell>
          <cell r="DD129">
            <v>5806000</v>
          </cell>
          <cell r="DE129">
            <v>15576000</v>
          </cell>
          <cell r="DF129">
            <v>28079000</v>
          </cell>
          <cell r="DG129">
            <v>969000</v>
          </cell>
          <cell r="DH129">
            <v>-717000</v>
          </cell>
          <cell r="DI129">
            <v>-2613000</v>
          </cell>
          <cell r="DJ129">
            <v>-53000</v>
          </cell>
          <cell r="DK129">
            <v>-2414000</v>
          </cell>
          <cell r="DL129">
            <v>-2.4912280701754401</v>
          </cell>
          <cell r="DM129">
            <v>-0.71356783919597999</v>
          </cell>
          <cell r="DN129" t="str">
            <v>n.a.</v>
          </cell>
          <cell r="DO129">
            <v>1325000</v>
          </cell>
          <cell r="DP129">
            <v>339000</v>
          </cell>
          <cell r="DR129">
            <v>5784000</v>
          </cell>
          <cell r="DS129">
            <v>-4107000</v>
          </cell>
          <cell r="DT129">
            <v>-11204000</v>
          </cell>
          <cell r="DU129">
            <v>-124000</v>
          </cell>
          <cell r="DV129">
            <v>-9651000</v>
          </cell>
          <cell r="DW129">
            <v>-1.6685684647302901</v>
          </cell>
          <cell r="DX129">
            <v>-0.62526724975704595</v>
          </cell>
          <cell r="DY129" t="str">
            <v>n.a.</v>
          </cell>
          <cell r="DZ129">
            <v>5615000</v>
          </cell>
          <cell r="EA129">
            <v>939000</v>
          </cell>
          <cell r="EC129">
            <v>18722000</v>
          </cell>
          <cell r="ED129">
            <v>-11221000</v>
          </cell>
          <cell r="EE129">
            <v>-19745000</v>
          </cell>
          <cell r="EF129">
            <v>-187000</v>
          </cell>
          <cell r="EG129">
            <v>-12431000</v>
          </cell>
          <cell r="EH129">
            <v>-0.66397820745646796</v>
          </cell>
          <cell r="EI129">
            <v>-0.39903059095432197</v>
          </cell>
          <cell r="EJ129" t="str">
            <v>n.a.</v>
          </cell>
          <cell r="EK129">
            <v>12677000</v>
          </cell>
          <cell r="EL129">
            <v>1499500</v>
          </cell>
          <cell r="EN129">
            <v>8491666.6666666698</v>
          </cell>
          <cell r="EO129">
            <v>-5348333.3333333302</v>
          </cell>
          <cell r="EP129">
            <v>-11187333.3333333</v>
          </cell>
          <cell r="EQ129">
            <v>-121333.33333333299</v>
          </cell>
          <cell r="ER129">
            <v>-8165333.3333333302</v>
          </cell>
          <cell r="ES129">
            <v>-0.961570166830226</v>
          </cell>
          <cell r="ET129">
            <v>-0.49020431850473301</v>
          </cell>
        </row>
        <row r="130">
          <cell r="B130" t="str">
            <v>CONTINENTAL CHEMICALS LTD</v>
          </cell>
          <cell r="C130" t="str">
            <v>exclude</v>
          </cell>
          <cell r="D130" t="str">
            <v>Independence(A+, A, A-, U)</v>
          </cell>
          <cell r="H130" t="str">
            <v/>
          </cell>
          <cell r="J130" t="str">
            <v>exclude</v>
          </cell>
          <cell r="K130" t="str">
            <v>Independence(A+, A, A-, U)</v>
          </cell>
          <cell r="M130" t="str">
            <v>CONTINENTAL CHEMICALS LTD</v>
          </cell>
          <cell r="N130" t="str">
            <v>This company is engaged in the manufacture handmade soaps, cosmetics detergents and toiletries. It was established in 1984. The registered head office of the company is located in Noida, India.The company primarily manufactures handmade products, including designated handmade soaps, loofah soaps, sponge soaps, shower gel, liquid shampoo, solid shampoo bar, liquid hair conditioner, face scrubs, salt and sugar scrubs, bubble bath balls, body moisturizers, nourishing cream, hot oil treatment, and massage bars. It also manufactures other products, including shaving creams, toothpaste, detergent powders, detergents cake and bar, cleaning powders, laundry soap, and bath hearts. Some of the company's major clients are the Ministry of Defense, Indian Railways, Indian Air Force, Lever Brothers (Hindustan lever Ltd.), Modi Group, and DCM Group of Companies.</v>
          </cell>
          <cell r="O130" t="str">
            <v>Manufacturing</v>
          </cell>
          <cell r="P130" t="str">
            <v>www.continentalchemicalsltd.com</v>
          </cell>
          <cell r="R130" t="str">
            <v>India</v>
          </cell>
          <cell r="S130" t="str">
            <v>506935</v>
          </cell>
          <cell r="T130" t="str">
            <v>D</v>
          </cell>
          <cell r="U130" t="str">
            <v>2841</v>
          </cell>
          <cell r="V130" t="str">
            <v>Engaged in the manufacture handmade soaps, cosmetics detergents and toiletries</v>
          </cell>
          <cell r="W130" t="str">
            <v>The Company is engaged in manufacturing facilities to manufacture handmade soaps, cosmetics detergents and toiletries.  The three Principal Product /Services of Company Product is: soap, detergents &amp; allied product &amp; software.</v>
          </cell>
          <cell r="Z130" t="str">
            <v>IN34821FI</v>
          </cell>
          <cell r="AA130">
            <v>11407000</v>
          </cell>
          <cell r="AB130">
            <v>10406000</v>
          </cell>
          <cell r="AC130">
            <v>9680000</v>
          </cell>
          <cell r="AD130">
            <v>11912000</v>
          </cell>
          <cell r="AE130">
            <v>4387000</v>
          </cell>
          <cell r="AF130">
            <v>4788000</v>
          </cell>
          <cell r="AG130">
            <v>1943000</v>
          </cell>
          <cell r="AH130">
            <v>3123000</v>
          </cell>
          <cell r="AI130" t="str">
            <v>n.a.</v>
          </cell>
          <cell r="AJ130" t="str">
            <v>n.a.</v>
          </cell>
          <cell r="AK130" t="str">
            <v>n.a.</v>
          </cell>
          <cell r="AL130" t="str">
            <v>n.a.</v>
          </cell>
          <cell r="AM130">
            <v>4387000</v>
          </cell>
          <cell r="AN130">
            <v>4788000</v>
          </cell>
          <cell r="AO130">
            <v>1943000</v>
          </cell>
          <cell r="AP130">
            <v>3123000</v>
          </cell>
          <cell r="AQ130">
            <v>7020000</v>
          </cell>
          <cell r="AR130">
            <v>5618000</v>
          </cell>
          <cell r="AS130">
            <v>7737000</v>
          </cell>
          <cell r="AT130">
            <v>8789000</v>
          </cell>
          <cell r="AU130" t="str">
            <v>n.a.</v>
          </cell>
          <cell r="AV130" t="str">
            <v>n.a.</v>
          </cell>
          <cell r="AW130" t="str">
            <v>n.a.</v>
          </cell>
          <cell r="AX130" t="str">
            <v>n.a.</v>
          </cell>
          <cell r="AY130">
            <v>0</v>
          </cell>
          <cell r="AZ130">
            <v>0</v>
          </cell>
          <cell r="BA130">
            <v>0</v>
          </cell>
          <cell r="BB130">
            <v>0</v>
          </cell>
          <cell r="BC130">
            <v>-8498000</v>
          </cell>
          <cell r="BD130">
            <v>-8408000</v>
          </cell>
          <cell r="BE130">
            <v>-6743000</v>
          </cell>
          <cell r="BF130">
            <v>-8973000</v>
          </cell>
          <cell r="BG130">
            <v>2909000</v>
          </cell>
          <cell r="BH130">
            <v>1998000</v>
          </cell>
          <cell r="BI130">
            <v>2937000</v>
          </cell>
          <cell r="BJ130">
            <v>2939000</v>
          </cell>
          <cell r="BK130">
            <v>-887000</v>
          </cell>
          <cell r="BL130">
            <v>-895000</v>
          </cell>
          <cell r="BM130">
            <v>-868000</v>
          </cell>
          <cell r="BN130">
            <v>-871000</v>
          </cell>
          <cell r="BO130">
            <v>-887000</v>
          </cell>
          <cell r="BP130">
            <v>-895000</v>
          </cell>
          <cell r="BQ130">
            <v>-868000</v>
          </cell>
          <cell r="BR130">
            <v>-871000</v>
          </cell>
          <cell r="BS130">
            <v>0</v>
          </cell>
          <cell r="BT130">
            <v>0</v>
          </cell>
          <cell r="BU130">
            <v>0</v>
          </cell>
          <cell r="BV130">
            <v>0</v>
          </cell>
          <cell r="BW130">
            <v>2494000</v>
          </cell>
          <cell r="BX130">
            <v>599000</v>
          </cell>
          <cell r="BY130">
            <v>1434000</v>
          </cell>
          <cell r="BZ130">
            <v>780000</v>
          </cell>
          <cell r="CA130">
            <v>25518000</v>
          </cell>
          <cell r="CB130">
            <v>23304000</v>
          </cell>
          <cell r="CC130">
            <v>22045000</v>
          </cell>
          <cell r="CD130">
            <v>19637000</v>
          </cell>
          <cell r="CE130" t="str">
            <v>n.a.</v>
          </cell>
          <cell r="CF130" t="str">
            <v>n.a.</v>
          </cell>
          <cell r="CG130" t="str">
            <v>n.a.</v>
          </cell>
          <cell r="CH130" t="str">
            <v>n.a.</v>
          </cell>
          <cell r="CI130">
            <v>8000</v>
          </cell>
          <cell r="CJ130">
            <v>155000</v>
          </cell>
          <cell r="CK130">
            <v>419000</v>
          </cell>
          <cell r="CL130">
            <v>516000</v>
          </cell>
          <cell r="CM130">
            <v>154000</v>
          </cell>
          <cell r="CN130">
            <v>1368000</v>
          </cell>
          <cell r="CO130">
            <v>75000</v>
          </cell>
          <cell r="CP130" t="str">
            <v>n.a.</v>
          </cell>
          <cell r="CQ130">
            <v>24431000</v>
          </cell>
          <cell r="CR130">
            <v>21567000</v>
          </cell>
          <cell r="CS130">
            <v>20720000</v>
          </cell>
          <cell r="CT130">
            <v>17669000</v>
          </cell>
          <cell r="CU130" t="str">
            <v>n.a.</v>
          </cell>
          <cell r="CV130" t="str">
            <v>n.a.</v>
          </cell>
          <cell r="CW130" t="str">
            <v>n.a.</v>
          </cell>
          <cell r="CX130" t="str">
            <v>n.a.</v>
          </cell>
          <cell r="CY130">
            <v>376000</v>
          </cell>
          <cell r="CZ130">
            <v>375000</v>
          </cell>
          <cell r="DA130">
            <v>374000</v>
          </cell>
          <cell r="DB130">
            <v>507000</v>
          </cell>
          <cell r="DC130">
            <v>50735000</v>
          </cell>
          <cell r="DD130">
            <v>49165000</v>
          </cell>
          <cell r="DE130">
            <v>48582000</v>
          </cell>
          <cell r="DF130">
            <v>46877000</v>
          </cell>
          <cell r="DG130">
            <v>4387000</v>
          </cell>
          <cell r="DH130" t="str">
            <v>n.a.</v>
          </cell>
          <cell r="DI130">
            <v>-8498000</v>
          </cell>
          <cell r="DJ130">
            <v>-887000</v>
          </cell>
          <cell r="DK130" t="e">
            <v>#VALUE!</v>
          </cell>
          <cell r="DL130" t="e">
            <v>#VALUE!</v>
          </cell>
          <cell r="DM130" t="e">
            <v>#VALUE!</v>
          </cell>
          <cell r="DN130">
            <v>0</v>
          </cell>
          <cell r="DO130" t="e">
            <v>#VALUE!</v>
          </cell>
          <cell r="DP130">
            <v>375500</v>
          </cell>
          <cell r="DR130">
            <v>4788000</v>
          </cell>
          <cell r="DS130" t="str">
            <v>n.a.</v>
          </cell>
          <cell r="DT130">
            <v>-8408000</v>
          </cell>
          <cell r="DU130">
            <v>-895000</v>
          </cell>
          <cell r="DV130" t="e">
            <v>#VALUE!</v>
          </cell>
          <cell r="DW130" t="e">
            <v>#VALUE!</v>
          </cell>
          <cell r="DX130" t="e">
            <v>#VALUE!</v>
          </cell>
          <cell r="DY130">
            <v>0</v>
          </cell>
          <cell r="DZ130" t="e">
            <v>#VALUE!</v>
          </cell>
          <cell r="EA130">
            <v>374500</v>
          </cell>
          <cell r="EC130">
            <v>1943000</v>
          </cell>
          <cell r="ED130" t="str">
            <v>n.a.</v>
          </cell>
          <cell r="EE130">
            <v>-6743000</v>
          </cell>
          <cell r="EF130">
            <v>-868000</v>
          </cell>
          <cell r="EG130" t="e">
            <v>#VALUE!</v>
          </cell>
          <cell r="EH130" t="e">
            <v>#VALUE!</v>
          </cell>
          <cell r="EI130" t="e">
            <v>#VALUE!</v>
          </cell>
          <cell r="EJ130">
            <v>0</v>
          </cell>
          <cell r="EK130" t="e">
            <v>#VALUE!</v>
          </cell>
          <cell r="EL130">
            <v>440500</v>
          </cell>
          <cell r="EN130">
            <v>3706000</v>
          </cell>
          <cell r="EO130" t="e">
            <v>#VALUE!</v>
          </cell>
          <cell r="EP130">
            <v>-7883000</v>
          </cell>
          <cell r="EQ130">
            <v>-883333.33333333302</v>
          </cell>
          <cell r="ER130" t="e">
            <v>#VALUE!</v>
          </cell>
          <cell r="ES130" t="e">
            <v>#VALUE!</v>
          </cell>
          <cell r="ET130" t="e">
            <v>#VALUE!</v>
          </cell>
        </row>
        <row r="131">
          <cell r="B131" t="str">
            <v>PAOS INDUSTRIES LIMITED</v>
          </cell>
          <cell r="C131" t="str">
            <v>exclude</v>
          </cell>
          <cell r="D131" t="str">
            <v>Insufficient financial data</v>
          </cell>
          <cell r="H131" t="str">
            <v/>
          </cell>
          <cell r="J131" t="str">
            <v>exclude</v>
          </cell>
          <cell r="K131" t="str">
            <v>Insufficient financial data</v>
          </cell>
          <cell r="M131" t="str">
            <v>PAOS INDUSTRIES LIMITED</v>
          </cell>
          <cell r="N131" t="str">
            <v>This company is engaged in the manufacture and sale of edible refined oils and other related products principally in India. It was incorporated in 1990. The registered headquarters of the company is located in New Delhi, India. The company is traded in Bombay Stock Exchange under stock code 530291.The company offers hydrogenated vegetable oils in India. It also offers vanaspati and refined oils. The company's edible oils include rice bran oil, cottonseed oil, sunflower oil, palm oil, soybean oil, and mustard oil. It offers its products under the RAJ brand name.</v>
          </cell>
          <cell r="O131" t="str">
            <v>Manufacturing</v>
          </cell>
          <cell r="P131" t="str">
            <v>www.rajoilmillsltd.com</v>
          </cell>
          <cell r="R131" t="str">
            <v>India</v>
          </cell>
          <cell r="S131" t="str">
            <v>530291</v>
          </cell>
          <cell r="T131" t="str">
            <v>A+</v>
          </cell>
          <cell r="U131" t="str">
            <v>2841</v>
          </cell>
          <cell r="V131" t="str">
            <v>Engaged in the manufacture and sale of edible refined oils and other related products principally in India</v>
          </cell>
          <cell r="W131" t="str">
            <v>The Company was engaged in the business of laundry soap, toilet soap and detergents powders formulations without manufacturing of LABSA facility.</v>
          </cell>
          <cell r="X131" t="str">
            <v>RAJ AGRO MILLS LTD</v>
          </cell>
          <cell r="Y131" t="str">
            <v>RAJ</v>
          </cell>
          <cell r="Z131" t="str">
            <v>IN32781FI</v>
          </cell>
          <cell r="AA131" t="str">
            <v>n.a.</v>
          </cell>
          <cell r="AB131" t="str">
            <v>n.a.</v>
          </cell>
          <cell r="AC131" t="str">
            <v>n.a.</v>
          </cell>
          <cell r="AD131" t="str">
            <v>n.a.</v>
          </cell>
          <cell r="AE131" t="str">
            <v>n.a.</v>
          </cell>
          <cell r="AF131" t="str">
            <v>n.a.</v>
          </cell>
          <cell r="AG131" t="str">
            <v>n.a.</v>
          </cell>
          <cell r="AH131" t="str">
            <v>n.a.</v>
          </cell>
          <cell r="AI131" t="str">
            <v>n.a.</v>
          </cell>
          <cell r="AJ131" t="str">
            <v>n.a.</v>
          </cell>
          <cell r="AK131" t="str">
            <v>n.a.</v>
          </cell>
          <cell r="AL131" t="str">
            <v>n.a.</v>
          </cell>
          <cell r="AM131" t="str">
            <v>n.a.</v>
          </cell>
          <cell r="AN131" t="str">
            <v>n.a.</v>
          </cell>
          <cell r="AO131" t="str">
            <v>n.a.</v>
          </cell>
          <cell r="AP131" t="str">
            <v>n.a.</v>
          </cell>
          <cell r="AQ131" t="str">
            <v>n.a.</v>
          </cell>
          <cell r="AR131" t="str">
            <v>n.a.</v>
          </cell>
          <cell r="AS131" t="str">
            <v>n.a.</v>
          </cell>
          <cell r="AT131" t="str">
            <v>n.a.</v>
          </cell>
          <cell r="AU131" t="str">
            <v>n.a.</v>
          </cell>
          <cell r="AV131" t="str">
            <v>n.a.</v>
          </cell>
          <cell r="AW131" t="str">
            <v>n.a.</v>
          </cell>
          <cell r="AX131" t="str">
            <v>n.a.</v>
          </cell>
          <cell r="AY131">
            <v>0</v>
          </cell>
          <cell r="AZ131">
            <v>0</v>
          </cell>
          <cell r="BA131">
            <v>0</v>
          </cell>
          <cell r="BB131">
            <v>0</v>
          </cell>
          <cell r="BC131">
            <v>-1357000</v>
          </cell>
          <cell r="BD131">
            <v>-1120000</v>
          </cell>
          <cell r="BE131">
            <v>-1971000</v>
          </cell>
          <cell r="BF131">
            <v>-1542000</v>
          </cell>
          <cell r="BG131">
            <v>-1357000</v>
          </cell>
          <cell r="BH131">
            <v>-1120000</v>
          </cell>
          <cell r="BI131">
            <v>-1971000</v>
          </cell>
          <cell r="BJ131">
            <v>-1542000</v>
          </cell>
          <cell r="BK131">
            <v>0</v>
          </cell>
          <cell r="BL131">
            <v>0</v>
          </cell>
          <cell r="BM131">
            <v>0</v>
          </cell>
          <cell r="BN131">
            <v>0</v>
          </cell>
          <cell r="BO131">
            <v>0</v>
          </cell>
          <cell r="BP131">
            <v>0</v>
          </cell>
          <cell r="BQ131">
            <v>0</v>
          </cell>
          <cell r="BR131">
            <v>0</v>
          </cell>
          <cell r="BS131">
            <v>0</v>
          </cell>
          <cell r="BT131">
            <v>0</v>
          </cell>
          <cell r="BU131">
            <v>0</v>
          </cell>
          <cell r="BV131">
            <v>0</v>
          </cell>
          <cell r="BW131">
            <v>-2904000</v>
          </cell>
          <cell r="BX131">
            <v>-3107000</v>
          </cell>
          <cell r="BY131">
            <v>-33029000</v>
          </cell>
          <cell r="BZ131">
            <v>-162000</v>
          </cell>
          <cell r="CA131">
            <v>123000</v>
          </cell>
          <cell r="CB131">
            <v>132000</v>
          </cell>
          <cell r="CC131">
            <v>259000</v>
          </cell>
          <cell r="CD131">
            <v>973000</v>
          </cell>
          <cell r="CE131" t="str">
            <v>n.a.</v>
          </cell>
          <cell r="CF131" t="str">
            <v>n.a.</v>
          </cell>
          <cell r="CG131" t="str">
            <v>n.a.</v>
          </cell>
          <cell r="CH131" t="str">
            <v>n.a.</v>
          </cell>
          <cell r="CI131" t="str">
            <v>n.a.</v>
          </cell>
          <cell r="CJ131" t="str">
            <v>n.a.</v>
          </cell>
          <cell r="CK131" t="str">
            <v>n.a.</v>
          </cell>
          <cell r="CL131" t="str">
            <v>n.a.</v>
          </cell>
          <cell r="CM131" t="str">
            <v>n.a.</v>
          </cell>
          <cell r="CN131" t="str">
            <v>n.a.</v>
          </cell>
          <cell r="CO131">
            <v>58000</v>
          </cell>
          <cell r="CP131">
            <v>52000</v>
          </cell>
          <cell r="CQ131">
            <v>123000</v>
          </cell>
          <cell r="CR131">
            <v>101000</v>
          </cell>
          <cell r="CS131">
            <v>170000</v>
          </cell>
          <cell r="CT131">
            <v>921000</v>
          </cell>
          <cell r="CU131" t="str">
            <v>n.a.</v>
          </cell>
          <cell r="CV131" t="str">
            <v>n.a.</v>
          </cell>
          <cell r="CW131" t="str">
            <v>n.a.</v>
          </cell>
          <cell r="CX131" t="str">
            <v>n.a.</v>
          </cell>
          <cell r="CY131" t="str">
            <v>n.a.</v>
          </cell>
          <cell r="CZ131" t="str">
            <v>n.a.</v>
          </cell>
          <cell r="DA131" t="str">
            <v>n.a.</v>
          </cell>
          <cell r="DB131" t="str">
            <v>n.a.</v>
          </cell>
          <cell r="DC131">
            <v>851000</v>
          </cell>
          <cell r="DD131">
            <v>936000</v>
          </cell>
          <cell r="DE131">
            <v>940000</v>
          </cell>
          <cell r="DF131">
            <v>30443000</v>
          </cell>
          <cell r="DG131" t="str">
            <v>无数据</v>
          </cell>
          <cell r="DH131" t="str">
            <v>n.a.</v>
          </cell>
          <cell r="DI131">
            <v>-1357000</v>
          </cell>
          <cell r="DJ131">
            <v>0</v>
          </cell>
          <cell r="DK131" t="str">
            <v>无数据</v>
          </cell>
          <cell r="DL131" t="e">
            <v>#VALUE!</v>
          </cell>
          <cell r="DM131" t="e">
            <v>#VALUE!</v>
          </cell>
          <cell r="DN131">
            <v>0</v>
          </cell>
          <cell r="DO131" t="e">
            <v>#VALUE!</v>
          </cell>
          <cell r="DP131" t="e">
            <v>#VALUE!</v>
          </cell>
          <cell r="DR131" t="str">
            <v>无数据</v>
          </cell>
          <cell r="DS131" t="str">
            <v>n.a.</v>
          </cell>
          <cell r="DT131">
            <v>-1120000</v>
          </cell>
          <cell r="DU131">
            <v>0</v>
          </cell>
          <cell r="DV131" t="str">
            <v>无数据</v>
          </cell>
          <cell r="DW131" t="e">
            <v>#VALUE!</v>
          </cell>
          <cell r="DX131" t="e">
            <v>#VALUE!</v>
          </cell>
          <cell r="DY131">
            <v>0</v>
          </cell>
          <cell r="DZ131" t="e">
            <v>#VALUE!</v>
          </cell>
          <cell r="EA131" t="e">
            <v>#VALUE!</v>
          </cell>
          <cell r="EC131" t="str">
            <v>无数据</v>
          </cell>
          <cell r="ED131" t="str">
            <v>n.a.</v>
          </cell>
          <cell r="EE131">
            <v>-1971000</v>
          </cell>
          <cell r="EF131">
            <v>0</v>
          </cell>
          <cell r="EG131" t="str">
            <v>无数据</v>
          </cell>
          <cell r="EH131" t="e">
            <v>#VALUE!</v>
          </cell>
          <cell r="EI131" t="e">
            <v>#VALUE!</v>
          </cell>
          <cell r="EJ131">
            <v>0</v>
          </cell>
          <cell r="EK131" t="e">
            <v>#VALUE!</v>
          </cell>
          <cell r="EL131" t="e">
            <v>#VALUE!</v>
          </cell>
          <cell r="EN131" t="e">
            <v>#VALUE!</v>
          </cell>
          <cell r="EO131" t="e">
            <v>#VALUE!</v>
          </cell>
          <cell r="EP131">
            <v>-1482666.66666667</v>
          </cell>
          <cell r="EQ131">
            <v>0</v>
          </cell>
          <cell r="ER131" t="e">
            <v>#VALUE!</v>
          </cell>
          <cell r="ES131" t="e">
            <v>#VALUE!</v>
          </cell>
          <cell r="ET131" t="e">
            <v>#VALUE!</v>
          </cell>
        </row>
        <row r="132">
          <cell r="B132" t="str">
            <v>VIVA GOODS COMPANY LIMITED</v>
          </cell>
          <cell r="C132" t="str">
            <v>exclude</v>
          </cell>
          <cell r="D132" t="str">
            <v>Independence(A+, A, A-, U)</v>
          </cell>
          <cell r="H132" t="str">
            <v/>
          </cell>
          <cell r="J132" t="str">
            <v>exclude</v>
          </cell>
          <cell r="K132" t="str">
            <v>Independence(A+, A, A-, U)</v>
          </cell>
          <cell r="M132" t="str">
            <v>VIVA GOODS COMPANY LIMITED</v>
          </cell>
          <cell r="N132" t="str">
            <v>This company, formerly known as Greaterchina Technology Group Limited, is engaged in the management activities of a holding company. It was incorporated in 2000. The registered business office of the company is located in Grand Cayman, Cayman Islands.The company provides administrative and supervisory services, and corporate governance as well as the execution of compliance functions to other business companies in its range of portfolio. Within the framework of its financial ability, the company invests in and provides funding for other companies. In addition, the company renders risk management and consultancy services, delivering a broad array of services and solutions focusing on business strategic planning.This holding company is active and operational, together with its subsidiaries, in Cayman Islands, Hong Kong, China, and Virgin Islands (British).Winner Rich Investment Limited, one of the company's listed subsidiaries, is involved in the provision of investment services.</v>
          </cell>
          <cell r="O132" t="str">
            <v>Services</v>
          </cell>
          <cell r="P132" t="str">
            <v>www.coolpoint.com.hk</v>
          </cell>
          <cell r="Q132" t="str">
            <v>Hong Kong SAR, China</v>
          </cell>
          <cell r="R132" t="str">
            <v>Cayman Islands</v>
          </cell>
          <cell r="S132" t="str">
            <v>08032</v>
          </cell>
          <cell r="T132" t="str">
            <v>C+</v>
          </cell>
          <cell r="U132" t="str">
            <v>2844</v>
          </cell>
          <cell r="V132" t="str">
            <v>Engaged in the management activities of a holding company</v>
          </cell>
          <cell r="W132" t="str">
            <v>The principal activity of The Company is investment holding. The Company and its subsidiaries are principally engaged in
trading of health-related products, and manufacturing, marketing and installation of proprietary energy-saving air conditioning
system and water heating equipment. The Group also engages in various sports-related businesses complemented with a
green element in order to promote higher quality of living in the PRC. Areas of focus initially include sports talent management,
competition/event production and management as well as sports and green themed community development.</v>
          </cell>
          <cell r="X132" t="str">
            <v>VIVA CHINA HOLDINGS LIMITED</v>
          </cell>
          <cell r="Z132" t="str">
            <v>KY30442FH</v>
          </cell>
          <cell r="AA132">
            <v>6973883000</v>
          </cell>
          <cell r="AB132">
            <v>1449926000</v>
          </cell>
          <cell r="AC132">
            <v>864173000</v>
          </cell>
          <cell r="AD132">
            <v>654914000</v>
          </cell>
          <cell r="AE132">
            <v>6900390000</v>
          </cell>
          <cell r="AF132">
            <v>1381637000</v>
          </cell>
          <cell r="AG132">
            <v>819036000</v>
          </cell>
          <cell r="AH132">
            <v>625004000</v>
          </cell>
          <cell r="AI132" t="str">
            <v>n.a.</v>
          </cell>
          <cell r="AJ132" t="str">
            <v>n.a.</v>
          </cell>
          <cell r="AK132" t="str">
            <v>n.a.</v>
          </cell>
          <cell r="AL132" t="str">
            <v>n.a.</v>
          </cell>
          <cell r="AM132">
            <v>6900390000</v>
          </cell>
          <cell r="AN132">
            <v>1381637000</v>
          </cell>
          <cell r="AO132">
            <v>819036000</v>
          </cell>
          <cell r="AP132">
            <v>625004000</v>
          </cell>
          <cell r="AQ132">
            <v>73493000</v>
          </cell>
          <cell r="AR132">
            <v>68289000</v>
          </cell>
          <cell r="AS132">
            <v>45137000</v>
          </cell>
          <cell r="AT132">
            <v>29910000</v>
          </cell>
          <cell r="AU132">
            <v>-3240089000</v>
          </cell>
          <cell r="AV132">
            <v>-616563000</v>
          </cell>
          <cell r="AW132">
            <v>-454108000</v>
          </cell>
          <cell r="AX132">
            <v>-487336000</v>
          </cell>
          <cell r="AY132">
            <v>0</v>
          </cell>
          <cell r="AZ132">
            <v>0</v>
          </cell>
          <cell r="BA132">
            <v>0</v>
          </cell>
          <cell r="BB132">
            <v>0</v>
          </cell>
          <cell r="BC132">
            <v>-3388107000</v>
          </cell>
          <cell r="BD132">
            <v>-988008000</v>
          </cell>
          <cell r="BE132">
            <v>-423919000</v>
          </cell>
          <cell r="BF132">
            <v>-269632000</v>
          </cell>
          <cell r="BG132">
            <v>345687000</v>
          </cell>
          <cell r="BH132">
            <v>-154645000</v>
          </cell>
          <cell r="BI132">
            <v>-13854000</v>
          </cell>
          <cell r="BJ132">
            <v>-102054000</v>
          </cell>
          <cell r="BK132">
            <v>-905590000</v>
          </cell>
          <cell r="BL132">
            <v>-279851000</v>
          </cell>
          <cell r="BM132">
            <v>-287710000</v>
          </cell>
          <cell r="BN132">
            <v>-65831000</v>
          </cell>
          <cell r="BO132">
            <v>-741336000</v>
          </cell>
          <cell r="BP132">
            <v>-247499000</v>
          </cell>
          <cell r="BQ132">
            <v>-123463000</v>
          </cell>
          <cell r="BR132">
            <v>-20004000</v>
          </cell>
          <cell r="BS132">
            <v>-164254000</v>
          </cell>
          <cell r="BT132">
            <v>-32352000</v>
          </cell>
          <cell r="BU132">
            <v>-164247000</v>
          </cell>
          <cell r="BV132">
            <v>-45827000</v>
          </cell>
          <cell r="BW132">
            <v>850416000</v>
          </cell>
          <cell r="BX132">
            <v>4562639000</v>
          </cell>
          <cell r="BY132">
            <v>1192392000</v>
          </cell>
          <cell r="BZ132">
            <v>834366000</v>
          </cell>
          <cell r="CA132">
            <v>8675314000</v>
          </cell>
          <cell r="CB132">
            <v>3848292000</v>
          </cell>
          <cell r="CC132">
            <v>2874758000</v>
          </cell>
          <cell r="CD132">
            <v>1194828000</v>
          </cell>
          <cell r="CE132">
            <v>4061130000</v>
          </cell>
          <cell r="CF132">
            <v>281279000</v>
          </cell>
          <cell r="CG132">
            <v>183863000</v>
          </cell>
          <cell r="CH132">
            <v>1807000</v>
          </cell>
          <cell r="CI132">
            <v>859478000</v>
          </cell>
          <cell r="CJ132">
            <v>97996000</v>
          </cell>
          <cell r="CK132">
            <v>82887000</v>
          </cell>
          <cell r="CL132">
            <v>199624000</v>
          </cell>
          <cell r="CM132">
            <v>323104000</v>
          </cell>
          <cell r="CN132">
            <v>312389000</v>
          </cell>
          <cell r="CO132">
            <v>388189000</v>
          </cell>
          <cell r="CP132">
            <v>296625000</v>
          </cell>
          <cell r="CQ132">
            <v>2981400000</v>
          </cell>
          <cell r="CR132">
            <v>3124259000</v>
          </cell>
          <cell r="CS132">
            <v>2134406000</v>
          </cell>
          <cell r="CT132">
            <v>652604000</v>
          </cell>
          <cell r="CU132">
            <v>6597000</v>
          </cell>
          <cell r="CV132">
            <v>590312000</v>
          </cell>
          <cell r="CW132">
            <v>276965000</v>
          </cell>
          <cell r="CX132">
            <v>3342000</v>
          </cell>
          <cell r="CY132" t="str">
            <v>n.a.</v>
          </cell>
          <cell r="CZ132">
            <v>3053000</v>
          </cell>
          <cell r="DA132">
            <v>3864000</v>
          </cell>
          <cell r="DB132">
            <v>4390000</v>
          </cell>
          <cell r="DC132">
            <v>17471931000</v>
          </cell>
          <cell r="DD132">
            <v>9110162000</v>
          </cell>
          <cell r="DE132">
            <v>6849920000</v>
          </cell>
          <cell r="DF132">
            <v>4866565000</v>
          </cell>
          <cell r="DG132">
            <v>6900390000</v>
          </cell>
          <cell r="DH132">
            <v>-3240089000</v>
          </cell>
          <cell r="DI132">
            <v>-3388107000</v>
          </cell>
          <cell r="DJ132">
            <v>-905590000</v>
          </cell>
          <cell r="DK132">
            <v>-633396000</v>
          </cell>
          <cell r="DL132">
            <v>-9.1791333533322E-2</v>
          </cell>
          <cell r="DM132">
            <v>-8.4074063160275603E-2</v>
          </cell>
          <cell r="DN132">
            <v>0</v>
          </cell>
          <cell r="DO132">
            <v>2171204500</v>
          </cell>
          <cell r="DP132" t="e">
            <v>#VALUE!</v>
          </cell>
          <cell r="DR132">
            <v>1381637000</v>
          </cell>
          <cell r="DS132">
            <v>-616563000</v>
          </cell>
          <cell r="DT132">
            <v>-988008000</v>
          </cell>
          <cell r="DU132">
            <v>-279851000</v>
          </cell>
          <cell r="DV132">
            <v>-502785000</v>
          </cell>
          <cell r="DW132">
            <v>-0.36390528047526199</v>
          </cell>
          <cell r="DX132">
            <v>-0.26681125565292702</v>
          </cell>
          <cell r="DY132">
            <v>0</v>
          </cell>
          <cell r="DZ132">
            <v>232571000</v>
          </cell>
          <cell r="EA132">
            <v>3458500</v>
          </cell>
          <cell r="EC132">
            <v>819036000</v>
          </cell>
          <cell r="ED132">
            <v>-454108000</v>
          </cell>
          <cell r="EE132">
            <v>-423919000</v>
          </cell>
          <cell r="EF132">
            <v>-287710000</v>
          </cell>
          <cell r="EG132">
            <v>-346701000</v>
          </cell>
          <cell r="EH132">
            <v>-0.42330373756464901</v>
          </cell>
          <cell r="EI132">
            <v>-0.29740927842214798</v>
          </cell>
          <cell r="EJ132">
            <v>0</v>
          </cell>
          <cell r="EK132">
            <v>92835000</v>
          </cell>
          <cell r="EL132">
            <v>4127000</v>
          </cell>
          <cell r="EN132">
            <v>3033687666.6666698</v>
          </cell>
          <cell r="EO132">
            <v>-1436920000</v>
          </cell>
          <cell r="EP132">
            <v>-1600011333.3333299</v>
          </cell>
          <cell r="EQ132">
            <v>-491050333.33333302</v>
          </cell>
          <cell r="ER132">
            <v>-494294000</v>
          </cell>
          <cell r="ES132">
            <v>-0.162935032973621</v>
          </cell>
          <cell r="ET132">
            <v>-0.140106737138184</v>
          </cell>
        </row>
        <row r="133">
          <cell r="B133" t="str">
            <v>MING FAI INTERNATIONAL HOLDINGS LIMITED</v>
          </cell>
          <cell r="C133" t="str">
            <v>exclude</v>
          </cell>
          <cell r="D133" t="str">
            <v>Independence(A+, A, A-, U)</v>
          </cell>
          <cell r="H133" t="str">
            <v/>
          </cell>
          <cell r="J133" t="str">
            <v>exclude</v>
          </cell>
          <cell r="K133" t="str">
            <v>lev SDA/SDP</v>
          </cell>
          <cell r="M133" t="str">
            <v>MING FAI INTERNATIONAL HOLDINGS LIMITED</v>
          </cell>
          <cell r="N133" t="str">
            <v>This company is engaged in the management activities of a holding company. It was incorporated in 1980. The registered business office of the company is located in George Town, Cayman Islands. The company provides group planning and strategy and in particular exercises financial control over its subsidiaries, settles their general policy and appoints their top managements, and provides central services. It also holds the securities and other equity interests of companies and enterprises for the purpose of owning a controlling interest and influencing the management decisions of these firms.This holding company is active and operational, together with its subsidiaries, in Cayman Islands, Virgin Islands (British), China, Singapore, and India.Ming Fai Asia Pacific Company Limited, one of the company's listed subsidiaries, is involved in the wholesale distribution of amenity products and accessories.</v>
          </cell>
          <cell r="O133" t="str">
            <v>Services</v>
          </cell>
          <cell r="P133" t="str">
            <v>www.mingfaigroup.com</v>
          </cell>
          <cell r="Q133" t="str">
            <v>Hong Kong SAR, China</v>
          </cell>
          <cell r="R133" t="str">
            <v>Cayman Islands</v>
          </cell>
          <cell r="S133" t="str">
            <v>03828</v>
          </cell>
          <cell r="T133" t="str">
            <v>B+</v>
          </cell>
          <cell r="U133" t="str">
            <v>2844</v>
          </cell>
          <cell r="V133" t="str">
            <v>Engaged in the management activities of a holding company</v>
          </cell>
          <cell r="W133" t="str">
            <v>The Company is an investment holding company. Its subsidiaries are principally engaged in the manufacturing and sales of amenity products and accessories and the distribution and retail business of cosmetics and fashion accessories in the People's Republic of China.</v>
          </cell>
          <cell r="Z133" t="str">
            <v>KY31135FH</v>
          </cell>
          <cell r="AA133">
            <v>1805783000</v>
          </cell>
          <cell r="AB133">
            <v>1444092000</v>
          </cell>
          <cell r="AC133">
            <v>1388830000</v>
          </cell>
          <cell r="AD133">
            <v>2054209000</v>
          </cell>
          <cell r="AE133">
            <v>1793025000</v>
          </cell>
          <cell r="AF133">
            <v>1435826000</v>
          </cell>
          <cell r="AG133">
            <v>1353099000</v>
          </cell>
          <cell r="AH133">
            <v>2043095000</v>
          </cell>
          <cell r="AI133" t="str">
            <v>n.a.</v>
          </cell>
          <cell r="AJ133" t="str">
            <v>n.a.</v>
          </cell>
          <cell r="AK133" t="str">
            <v>n.a.</v>
          </cell>
          <cell r="AL133" t="str">
            <v>n.a.</v>
          </cell>
          <cell r="AM133">
            <v>1793025000</v>
          </cell>
          <cell r="AN133">
            <v>1435826000</v>
          </cell>
          <cell r="AO133">
            <v>1353099000</v>
          </cell>
          <cell r="AP133">
            <v>2043095000</v>
          </cell>
          <cell r="AQ133">
            <v>12758000</v>
          </cell>
          <cell r="AR133">
            <v>8266000</v>
          </cell>
          <cell r="AS133">
            <v>35731000</v>
          </cell>
          <cell r="AT133">
            <v>11114000</v>
          </cell>
          <cell r="AU133">
            <v>-1303152000</v>
          </cell>
          <cell r="AV133">
            <v>-1100564000</v>
          </cell>
          <cell r="AW133">
            <v>-944359000</v>
          </cell>
          <cell r="AX133">
            <v>-1505200000</v>
          </cell>
          <cell r="AY133">
            <v>0</v>
          </cell>
          <cell r="AZ133">
            <v>0</v>
          </cell>
          <cell r="BA133">
            <v>0</v>
          </cell>
          <cell r="BB133">
            <v>0</v>
          </cell>
          <cell r="BC133">
            <v>-330391000</v>
          </cell>
          <cell r="BD133">
            <v>-317590000</v>
          </cell>
          <cell r="BE133">
            <v>-267711000</v>
          </cell>
          <cell r="BF133">
            <v>-356057000</v>
          </cell>
          <cell r="BG133">
            <v>172240000</v>
          </cell>
          <cell r="BH133">
            <v>25938000</v>
          </cell>
          <cell r="BI133">
            <v>176760000</v>
          </cell>
          <cell r="BJ133">
            <v>192952000</v>
          </cell>
          <cell r="BK133">
            <v>-65060000</v>
          </cell>
          <cell r="BL133">
            <v>-70376000</v>
          </cell>
          <cell r="BM133">
            <v>-59991000</v>
          </cell>
          <cell r="BN133">
            <v>-56863000</v>
          </cell>
          <cell r="BO133">
            <v>-64373000</v>
          </cell>
          <cell r="BP133">
            <v>-64764000</v>
          </cell>
          <cell r="BQ133">
            <v>-58736000</v>
          </cell>
          <cell r="BR133">
            <v>-54679000</v>
          </cell>
          <cell r="BS133">
            <v>-687000</v>
          </cell>
          <cell r="BT133">
            <v>-5612000</v>
          </cell>
          <cell r="BU133">
            <v>-1255000</v>
          </cell>
          <cell r="BV133">
            <v>-2184000</v>
          </cell>
          <cell r="BW133">
            <v>75511000</v>
          </cell>
          <cell r="BX133">
            <v>-93535000</v>
          </cell>
          <cell r="BY133">
            <v>79046000</v>
          </cell>
          <cell r="BZ133">
            <v>97936000</v>
          </cell>
          <cell r="CA133">
            <v>1204330000</v>
          </cell>
          <cell r="CB133">
            <v>1144736000</v>
          </cell>
          <cell r="CC133">
            <v>1192680000</v>
          </cell>
          <cell r="CD133">
            <v>1269396000</v>
          </cell>
          <cell r="CE133">
            <v>260176000</v>
          </cell>
          <cell r="CF133">
            <v>266284000</v>
          </cell>
          <cell r="CG133">
            <v>241670000</v>
          </cell>
          <cell r="CH133">
            <v>271064000</v>
          </cell>
          <cell r="CI133">
            <v>558835000</v>
          </cell>
          <cell r="CJ133">
            <v>509031000</v>
          </cell>
          <cell r="CK133">
            <v>498149000</v>
          </cell>
          <cell r="CL133">
            <v>587125000</v>
          </cell>
          <cell r="CM133">
            <v>35346000</v>
          </cell>
          <cell r="CN133">
            <v>56362000</v>
          </cell>
          <cell r="CO133">
            <v>38532000</v>
          </cell>
          <cell r="CP133">
            <v>45732000</v>
          </cell>
          <cell r="CQ133">
            <v>331174000</v>
          </cell>
          <cell r="CR133">
            <v>278603000</v>
          </cell>
          <cell r="CS133">
            <v>393940000</v>
          </cell>
          <cell r="CT133">
            <v>349144000</v>
          </cell>
          <cell r="CU133">
            <v>25818000</v>
          </cell>
          <cell r="CV133">
            <v>27439000</v>
          </cell>
          <cell r="CW133" t="str">
            <v>n.a.</v>
          </cell>
          <cell r="CX133" t="str">
            <v>n.a.</v>
          </cell>
          <cell r="CY133">
            <v>38445000</v>
          </cell>
          <cell r="CZ133">
            <v>43046000</v>
          </cell>
          <cell r="DA133">
            <v>43569000</v>
          </cell>
          <cell r="DB133">
            <v>101710000</v>
          </cell>
          <cell r="DC133">
            <v>1749461000</v>
          </cell>
          <cell r="DD133">
            <v>1738724000</v>
          </cell>
          <cell r="DE133">
            <v>1803435000</v>
          </cell>
          <cell r="DF133">
            <v>1838945000</v>
          </cell>
          <cell r="DG133">
            <v>1793025000</v>
          </cell>
          <cell r="DH133">
            <v>-1303152000</v>
          </cell>
          <cell r="DI133">
            <v>-330391000</v>
          </cell>
          <cell r="DJ133">
            <v>-65060000</v>
          </cell>
          <cell r="DK133">
            <v>94422000</v>
          </cell>
          <cell r="DL133">
            <v>5.2660726983728597E-2</v>
          </cell>
          <cell r="DM133">
            <v>5.5588033224950199E-2</v>
          </cell>
          <cell r="DN133">
            <v>0</v>
          </cell>
          <cell r="DO133">
            <v>263230000</v>
          </cell>
          <cell r="DP133">
            <v>40745500</v>
          </cell>
          <cell r="DR133">
            <v>1435826000</v>
          </cell>
          <cell r="DS133">
            <v>-1100564000</v>
          </cell>
          <cell r="DT133">
            <v>-317590000</v>
          </cell>
          <cell r="DU133">
            <v>-70376000</v>
          </cell>
          <cell r="DV133">
            <v>-52704000</v>
          </cell>
          <cell r="DW133">
            <v>-3.6706397571850603E-2</v>
          </cell>
          <cell r="DX133">
            <v>-3.54067435657998E-2</v>
          </cell>
          <cell r="DY133">
            <v>0</v>
          </cell>
          <cell r="DZ133">
            <v>253977000</v>
          </cell>
          <cell r="EA133">
            <v>43307500</v>
          </cell>
          <cell r="EC133">
            <v>1353099000</v>
          </cell>
          <cell r="ED133">
            <v>-944359000</v>
          </cell>
          <cell r="EE133">
            <v>-267711000</v>
          </cell>
          <cell r="EF133">
            <v>-59991000</v>
          </cell>
          <cell r="EG133">
            <v>81038000</v>
          </cell>
          <cell r="EH133">
            <v>5.9890665797550702E-2</v>
          </cell>
          <cell r="EI133">
            <v>6.3706064410433194E-2</v>
          </cell>
          <cell r="EJ133">
            <v>0</v>
          </cell>
          <cell r="EK133">
            <v>256367000</v>
          </cell>
          <cell r="EL133">
            <v>72639500</v>
          </cell>
          <cell r="EN133">
            <v>1527316666.6666701</v>
          </cell>
          <cell r="EO133">
            <v>-1116025000</v>
          </cell>
          <cell r="EP133">
            <v>-305230666.66666698</v>
          </cell>
          <cell r="EQ133">
            <v>-65142333.333333299</v>
          </cell>
          <cell r="ER133">
            <v>40918666.666666701</v>
          </cell>
          <cell r="ES133">
            <v>2.6791213348028701E-2</v>
          </cell>
          <cell r="ET133">
            <v>2.7528741741220501E-2</v>
          </cell>
        </row>
        <row r="134">
          <cell r="B134" t="str">
            <v>PROSPEROUS FUTURE HOLDINGS LIMITED</v>
          </cell>
          <cell r="C134" t="str">
            <v>exclude</v>
          </cell>
          <cell r="D134" t="str">
            <v>Consecutive loss</v>
          </cell>
          <cell r="H134" t="str">
            <v/>
          </cell>
          <cell r="J134" t="str">
            <v>exclude</v>
          </cell>
          <cell r="K134" t="str">
            <v>Consecutive loss</v>
          </cell>
          <cell r="M134" t="str">
            <v>PROSPEROUS FUTURE HOLDINGS LIMITED</v>
          </cell>
          <cell r="N134" t="str">
            <v>The company, with registered head office located in Grand Cayman, Cayman Islands, primarily designs and provides a range of children care products under its own brand, including skin care products, body and hair care products, oral care products and diaper products, which are tailored for the mid-end market segment in China. In addition to children care products, it also provides baby care products, household hygiene and adult care products under its own brand names and manufactures original equipment manufacturer (OEM) products. Its brands include Frog Prince, Shuangfeijian and Shenhuxi. The company has a network of 173 distributors, through which it distributes its products to retail stores, such as hypermarkets, supermarkets, mother and children products specialty stores and convenience stores. It was incorporated in 2011.</v>
          </cell>
          <cell r="O134" t="str">
            <v>Manufacturing</v>
          </cell>
          <cell r="Q134" t="str">
            <v>Hong Kong SAR, China</v>
          </cell>
          <cell r="R134" t="str">
            <v>Cayman Islands</v>
          </cell>
          <cell r="S134" t="str">
            <v>01259</v>
          </cell>
          <cell r="T134" t="str">
            <v>A</v>
          </cell>
          <cell r="U134" t="str">
            <v>2841</v>
          </cell>
          <cell r="V134" t="str">
            <v>Primarily designs and provides a range of children care products under its own brand, including skin care products, body and hair care products, oral care products and diaper products, which are tailored for the mid-end market segment in China</v>
          </cell>
          <cell r="W134" t="str">
            <v>The Company primarily design and provide a broad range of children care products under our own brand, including skin care products, body and hair care products, oral care products and diaper products, which are tailored for the mid-end market segment in China. In addition to children care products, we also provide baby care products, household hygiene products and adult care products under our own brand names and manufacture OEM products.</v>
          </cell>
          <cell r="X134" t="str">
            <v>FUTURE DEVELOPMENT HOLDINGS LIMITED</v>
          </cell>
          <cell r="Y134" t="str">
            <v>Frog Prince, Shuangfeijian and Shenhuxi</v>
          </cell>
          <cell r="Z134" t="str">
            <v>KY40149WB</v>
          </cell>
          <cell r="AA134">
            <v>925534000</v>
          </cell>
          <cell r="AB134">
            <v>1237280000</v>
          </cell>
          <cell r="AC134">
            <v>1418047064.0120699</v>
          </cell>
          <cell r="AD134">
            <v>940819374.53141999</v>
          </cell>
          <cell r="AE134">
            <v>904270000</v>
          </cell>
          <cell r="AF134">
            <v>1217138000</v>
          </cell>
          <cell r="AG134">
            <v>1394024855.3649399</v>
          </cell>
          <cell r="AH134">
            <v>932621124.76117003</v>
          </cell>
          <cell r="AI134" t="str">
            <v>n.a.</v>
          </cell>
          <cell r="AJ134" t="str">
            <v>n.a.</v>
          </cell>
          <cell r="AK134" t="str">
            <v>n.a.</v>
          </cell>
          <cell r="AL134" t="str">
            <v>n.a.</v>
          </cell>
          <cell r="AM134">
            <v>904270000</v>
          </cell>
          <cell r="AN134">
            <v>1217138000</v>
          </cell>
          <cell r="AO134">
            <v>1394024855.3649399</v>
          </cell>
          <cell r="AP134">
            <v>932621124.76117003</v>
          </cell>
          <cell r="AQ134">
            <v>21264000</v>
          </cell>
          <cell r="AR134">
            <v>20142000</v>
          </cell>
          <cell r="AS134">
            <v>24022208.647137001</v>
          </cell>
          <cell r="AT134">
            <v>8198249.77024977</v>
          </cell>
          <cell r="AU134">
            <v>-703551000</v>
          </cell>
          <cell r="AV134">
            <v>-954852000</v>
          </cell>
          <cell r="AW134">
            <v>-1064729112.08705</v>
          </cell>
          <cell r="AX134">
            <v>-745963828.70744503</v>
          </cell>
          <cell r="AY134">
            <v>0</v>
          </cell>
          <cell r="AZ134">
            <v>0</v>
          </cell>
          <cell r="BA134">
            <v>-45638399.952492498</v>
          </cell>
          <cell r="BB134">
            <v>-24778641.5364278</v>
          </cell>
          <cell r="BC134">
            <v>-273417000</v>
          </cell>
          <cell r="BD134">
            <v>-348736000</v>
          </cell>
          <cell r="BE134">
            <v>-259826144.93073899</v>
          </cell>
          <cell r="BF134">
            <v>-203494022.437516</v>
          </cell>
          <cell r="BG134">
            <v>-51434000</v>
          </cell>
          <cell r="BH134">
            <v>-66308000</v>
          </cell>
          <cell r="BI134">
            <v>47853407.041795403</v>
          </cell>
          <cell r="BJ134">
            <v>-33417118.149968602</v>
          </cell>
          <cell r="BK134">
            <v>-21840000</v>
          </cell>
          <cell r="BL134">
            <v>-13765000</v>
          </cell>
          <cell r="BM134">
            <v>-31040945.6264171</v>
          </cell>
          <cell r="BN134">
            <v>-40319206.353769198</v>
          </cell>
          <cell r="BO134">
            <v>-21165000</v>
          </cell>
          <cell r="BP134">
            <v>-13765000</v>
          </cell>
          <cell r="BQ134">
            <v>-26775840.920448199</v>
          </cell>
          <cell r="BR134">
            <v>-37194153.015571699</v>
          </cell>
          <cell r="BS134">
            <v>-675000</v>
          </cell>
          <cell r="BT134">
            <v>0</v>
          </cell>
          <cell r="BU134">
            <v>-4265104.7059688699</v>
          </cell>
          <cell r="BV134">
            <v>-3125053.3381974399</v>
          </cell>
          <cell r="BW134">
            <v>-88857000</v>
          </cell>
          <cell r="BX134">
            <v>-104891000</v>
          </cell>
          <cell r="BY134">
            <v>-40229606.529818699</v>
          </cell>
          <cell r="BZ134">
            <v>-53939490.535691701</v>
          </cell>
          <cell r="CA134">
            <v>709814000</v>
          </cell>
          <cell r="CB134">
            <v>1081337000</v>
          </cell>
          <cell r="CC134">
            <v>1257107282.70929</v>
          </cell>
          <cell r="CD134">
            <v>843509181.19403303</v>
          </cell>
          <cell r="CE134">
            <v>40094000</v>
          </cell>
          <cell r="CF134">
            <v>103874000</v>
          </cell>
          <cell r="CG134">
            <v>57256806.1793501</v>
          </cell>
          <cell r="CH134">
            <v>45493822.134529002</v>
          </cell>
          <cell r="CI134">
            <v>136848000</v>
          </cell>
          <cell r="CJ134">
            <v>236536000</v>
          </cell>
          <cell r="CK134">
            <v>336542268.881244</v>
          </cell>
          <cell r="CL134">
            <v>108937754.49195699</v>
          </cell>
          <cell r="CM134">
            <v>44240000</v>
          </cell>
          <cell r="CN134">
            <v>52915000</v>
          </cell>
          <cell r="CO134">
            <v>153419197.511089</v>
          </cell>
          <cell r="CP134">
            <v>172809654.21096399</v>
          </cell>
          <cell r="CQ134">
            <v>471364000</v>
          </cell>
          <cell r="CR134">
            <v>595983000</v>
          </cell>
          <cell r="CS134">
            <v>648097786.66028702</v>
          </cell>
          <cell r="CT134">
            <v>480316462.98726398</v>
          </cell>
          <cell r="CU134">
            <v>164270000</v>
          </cell>
          <cell r="CV134">
            <v>150690000</v>
          </cell>
          <cell r="CW134">
            <v>89202974.306644604</v>
          </cell>
          <cell r="CX134">
            <v>18841708.892855201</v>
          </cell>
          <cell r="CY134">
            <v>13710000</v>
          </cell>
          <cell r="CZ134">
            <v>39663000</v>
          </cell>
          <cell r="DA134">
            <v>32098027.210010499</v>
          </cell>
          <cell r="DB134">
            <v>27833481.479366198</v>
          </cell>
          <cell r="DC134">
            <v>913430000</v>
          </cell>
          <cell r="DD134">
            <v>1536565000</v>
          </cell>
          <cell r="DE134">
            <v>1696388153.04333</v>
          </cell>
          <cell r="DF134">
            <v>1221886939.2485001</v>
          </cell>
          <cell r="DG134">
            <v>904270000</v>
          </cell>
          <cell r="DH134">
            <v>-703551000</v>
          </cell>
          <cell r="DI134">
            <v>-273417000</v>
          </cell>
          <cell r="DJ134">
            <v>-21840000</v>
          </cell>
          <cell r="DK134">
            <v>-94538000</v>
          </cell>
          <cell r="DL134">
            <v>-0.104546208543908</v>
          </cell>
          <cell r="DM134">
            <v>-9.4650823781948099E-2</v>
          </cell>
          <cell r="DN134">
            <v>0</v>
          </cell>
          <cell r="DO134">
            <v>71984000</v>
          </cell>
          <cell r="DP134">
            <v>26686500</v>
          </cell>
          <cell r="DR134">
            <v>1217138000</v>
          </cell>
          <cell r="DS134">
            <v>-954852000</v>
          </cell>
          <cell r="DT134">
            <v>-348736000</v>
          </cell>
          <cell r="DU134">
            <v>-13765000</v>
          </cell>
          <cell r="DV134">
            <v>-100215000</v>
          </cell>
          <cell r="DW134">
            <v>-8.2336596178904903E-2</v>
          </cell>
          <cell r="DX134">
            <v>-7.6073003970841505E-2</v>
          </cell>
          <cell r="DY134">
            <v>0</v>
          </cell>
          <cell r="DZ134">
            <v>80565403.089675099</v>
          </cell>
          <cell r="EA134">
            <v>35880513.605005197</v>
          </cell>
          <cell r="EC134">
            <v>1394024855.3649399</v>
          </cell>
          <cell r="ED134">
            <v>-1064729112.08705</v>
          </cell>
          <cell r="EE134">
            <v>-305464544.88323098</v>
          </cell>
          <cell r="EF134">
            <v>-31040945.6264171</v>
          </cell>
          <cell r="EG134">
            <v>-7209747.2317585899</v>
          </cell>
          <cell r="EH134">
            <v>-5.1718928855620499E-3</v>
          </cell>
          <cell r="EI134">
            <v>-5.1452820379955296E-3</v>
          </cell>
          <cell r="EJ134">
            <v>-45638399.952492498</v>
          </cell>
          <cell r="EK134">
            <v>51375314.156939603</v>
          </cell>
          <cell r="EL134">
            <v>29965754.3446883</v>
          </cell>
          <cell r="EN134">
            <v>1171810951.7883101</v>
          </cell>
          <cell r="EO134">
            <v>-907710704.02901697</v>
          </cell>
          <cell r="EP134">
            <v>-309205848.29440999</v>
          </cell>
          <cell r="EQ134">
            <v>-22215315.208805699</v>
          </cell>
          <cell r="ER134">
            <v>-67320915.743919596</v>
          </cell>
          <cell r="ES134">
            <v>-5.7450321351904497E-2</v>
          </cell>
          <cell r="ET134">
            <v>-5.4329097255799902E-2</v>
          </cell>
        </row>
        <row r="135">
          <cell r="B135" t="str">
            <v>TANTECH HOLDINGS LTD</v>
          </cell>
          <cell r="C135" t="str">
            <v>exclude</v>
          </cell>
          <cell r="D135" t="str">
            <v>Significantly different activities</v>
          </cell>
          <cell r="E135" t="str">
            <v>新能源、环保产业</v>
          </cell>
          <cell r="H135" t="str">
            <v/>
          </cell>
          <cell r="J135" t="e">
            <v>#N/A</v>
          </cell>
          <cell r="K135" t="e">
            <v>#N/A</v>
          </cell>
          <cell r="M135" t="str">
            <v>TANTECH HOLDINGS LTD</v>
          </cell>
          <cell r="N135" t="str">
            <v>This company is engaged in the management activities of holding companies. The registered head office of the company is located in Road Town, Tortola, Virgin Islands (British).The company handles the administrative affairs and services of a holding company and grants management services to its subsidiaries. It also provides financial support and control function for the board. In addition, it is responsible for managing the group and its overall legal structure, tax planning, financial and equity structures. Furthermore, the company is involved in matters of policy, strategic planning, marketing, selecting and manning senior management positions, approving investments and budgets, and the overall ongoing monitoring of the group companies' performance.</v>
          </cell>
          <cell r="O135" t="str">
            <v>Services</v>
          </cell>
          <cell r="P135" t="str">
            <v>www.tantech.cn</v>
          </cell>
          <cell r="Q135" t="str">
            <v>China</v>
          </cell>
          <cell r="R135" t="str">
            <v>Virgin Islands (British)</v>
          </cell>
          <cell r="S135" t="str">
            <v>TANH</v>
          </cell>
          <cell r="T135" t="str">
            <v>A-</v>
          </cell>
          <cell r="U135" t="str">
            <v>2844</v>
          </cell>
          <cell r="V135" t="str">
            <v>Engaged in the management activities of holding companies</v>
          </cell>
          <cell r="W135" t="str">
            <v>The Company develops and manufactures bamboo-based charcoal products in the People s Republic of China and internationally.</v>
          </cell>
          <cell r="Z135" t="str">
            <v>VG40096ZG</v>
          </cell>
          <cell r="AA135">
            <v>53490000</v>
          </cell>
          <cell r="AB135">
            <v>55264000</v>
          </cell>
          <cell r="AC135">
            <v>42284000</v>
          </cell>
          <cell r="AD135">
            <v>49231000</v>
          </cell>
          <cell r="AE135">
            <v>53490000</v>
          </cell>
          <cell r="AF135">
            <v>55264000</v>
          </cell>
          <cell r="AG135">
            <v>42284000</v>
          </cell>
          <cell r="AH135">
            <v>49231000</v>
          </cell>
          <cell r="AI135" t="str">
            <v>n.a.</v>
          </cell>
          <cell r="AJ135" t="str">
            <v>n.a.</v>
          </cell>
          <cell r="AK135" t="str">
            <v>n.a.</v>
          </cell>
          <cell r="AL135" t="str">
            <v>n.a.</v>
          </cell>
          <cell r="AM135">
            <v>53490000</v>
          </cell>
          <cell r="AN135">
            <v>55264000</v>
          </cell>
          <cell r="AO135">
            <v>42284000</v>
          </cell>
          <cell r="AP135">
            <v>49231000</v>
          </cell>
          <cell r="AQ135" t="str">
            <v>n.a.</v>
          </cell>
          <cell r="AR135" t="str">
            <v>n.a.</v>
          </cell>
          <cell r="AS135" t="str">
            <v>n.a.</v>
          </cell>
          <cell r="AT135" t="str">
            <v>n.a.</v>
          </cell>
          <cell r="AU135">
            <v>-43045000</v>
          </cell>
          <cell r="AV135">
            <v>-43916000</v>
          </cell>
          <cell r="AW135">
            <v>-36930000</v>
          </cell>
          <cell r="AX135">
            <v>-42349000</v>
          </cell>
          <cell r="AY135">
            <v>-228000</v>
          </cell>
          <cell r="AZ135">
            <v>-8053000</v>
          </cell>
          <cell r="BA135">
            <v>-891000</v>
          </cell>
          <cell r="BB135">
            <v>-327000</v>
          </cell>
          <cell r="BC135">
            <v>-5292000</v>
          </cell>
          <cell r="BD135">
            <v>-10893000</v>
          </cell>
          <cell r="BE135">
            <v>-1932000</v>
          </cell>
          <cell r="BF135">
            <v>-4975000</v>
          </cell>
          <cell r="BG135">
            <v>4925000</v>
          </cell>
          <cell r="BH135">
            <v>-7598000</v>
          </cell>
          <cell r="BI135">
            <v>2531000</v>
          </cell>
          <cell r="BJ135">
            <v>1580000</v>
          </cell>
          <cell r="BK135">
            <v>-353000</v>
          </cell>
          <cell r="BL135">
            <v>-916000</v>
          </cell>
          <cell r="BM135">
            <v>-12876000</v>
          </cell>
          <cell r="BN135">
            <v>-10488000</v>
          </cell>
          <cell r="BO135">
            <v>-345000</v>
          </cell>
          <cell r="BP135">
            <v>-444000</v>
          </cell>
          <cell r="BQ135">
            <v>-436000</v>
          </cell>
          <cell r="BR135">
            <v>-463000</v>
          </cell>
          <cell r="BS135">
            <v>-8000</v>
          </cell>
          <cell r="BT135">
            <v>-472000</v>
          </cell>
          <cell r="BU135">
            <v>-12440000</v>
          </cell>
          <cell r="BV135">
            <v>-10025000</v>
          </cell>
          <cell r="BW135">
            <v>3021000</v>
          </cell>
          <cell r="BX135">
            <v>-8358000</v>
          </cell>
          <cell r="BY135">
            <v>-6520000</v>
          </cell>
          <cell r="BZ135">
            <v>-6357000</v>
          </cell>
          <cell r="CA135">
            <v>106756000</v>
          </cell>
          <cell r="CB135">
            <v>105808000</v>
          </cell>
          <cell r="CC135">
            <v>81901000</v>
          </cell>
          <cell r="CD135">
            <v>68162000</v>
          </cell>
          <cell r="CE135">
            <v>899000</v>
          </cell>
          <cell r="CF135">
            <v>1070000</v>
          </cell>
          <cell r="CG135">
            <v>671000</v>
          </cell>
          <cell r="CH135">
            <v>596000</v>
          </cell>
          <cell r="CI135">
            <v>40174000</v>
          </cell>
          <cell r="CJ135">
            <v>44963000</v>
          </cell>
          <cell r="CK135">
            <v>34411000</v>
          </cell>
          <cell r="CL135">
            <v>39353000</v>
          </cell>
          <cell r="CM135">
            <v>43864000</v>
          </cell>
          <cell r="CN135">
            <v>10354000</v>
          </cell>
          <cell r="CO135">
            <v>2580000</v>
          </cell>
          <cell r="CP135">
            <v>2040000</v>
          </cell>
          <cell r="CQ135">
            <v>18982000</v>
          </cell>
          <cell r="CR135">
            <v>43567000</v>
          </cell>
          <cell r="CS135">
            <v>37339000</v>
          </cell>
          <cell r="CT135">
            <v>12646000</v>
          </cell>
          <cell r="CU135">
            <v>5000</v>
          </cell>
          <cell r="CV135">
            <v>423000</v>
          </cell>
          <cell r="CW135">
            <v>220000</v>
          </cell>
          <cell r="CX135">
            <v>206000</v>
          </cell>
          <cell r="CY135">
            <v>427000</v>
          </cell>
          <cell r="CZ135">
            <v>393000</v>
          </cell>
          <cell r="DA135">
            <v>172000</v>
          </cell>
          <cell r="DB135">
            <v>173000</v>
          </cell>
          <cell r="DC135">
            <v>134132000</v>
          </cell>
          <cell r="DD135">
            <v>134527000</v>
          </cell>
          <cell r="DE135">
            <v>116295000</v>
          </cell>
          <cell r="DF135">
            <v>115451000</v>
          </cell>
          <cell r="DG135">
            <v>53490000</v>
          </cell>
          <cell r="DH135">
            <v>-43045000</v>
          </cell>
          <cell r="DI135">
            <v>-5520000</v>
          </cell>
          <cell r="DJ135">
            <v>-353000</v>
          </cell>
          <cell r="DK135">
            <v>4572000</v>
          </cell>
          <cell r="DL135">
            <v>8.5473920358945604E-2</v>
          </cell>
          <cell r="DM135">
            <v>9.34625291303815E-2</v>
          </cell>
          <cell r="DN135">
            <v>-228000</v>
          </cell>
          <cell r="DO135">
            <v>984500</v>
          </cell>
          <cell r="DP135">
            <v>410000</v>
          </cell>
          <cell r="DR135">
            <v>55264000</v>
          </cell>
          <cell r="DS135">
            <v>-43916000</v>
          </cell>
          <cell r="DT135">
            <v>-18946000</v>
          </cell>
          <cell r="DU135">
            <v>-916000</v>
          </cell>
          <cell r="DV135">
            <v>-8514000</v>
          </cell>
          <cell r="DW135">
            <v>-0.15406050955414</v>
          </cell>
          <cell r="DX135">
            <v>-0.133494308382201</v>
          </cell>
          <cell r="DY135">
            <v>-8053000</v>
          </cell>
          <cell r="DZ135">
            <v>870500</v>
          </cell>
          <cell r="EA135">
            <v>282500</v>
          </cell>
          <cell r="EC135">
            <v>42284000</v>
          </cell>
          <cell r="ED135">
            <v>-36930000</v>
          </cell>
          <cell r="EE135">
            <v>-2823000</v>
          </cell>
          <cell r="EF135">
            <v>-12876000</v>
          </cell>
          <cell r="EG135">
            <v>-10345000</v>
          </cell>
          <cell r="EH135">
            <v>-0.24465518872386699</v>
          </cell>
          <cell r="EI135">
            <v>-0.19656463166695201</v>
          </cell>
          <cell r="EJ135">
            <v>-891000</v>
          </cell>
          <cell r="EK135">
            <v>633500</v>
          </cell>
          <cell r="EL135">
            <v>172500</v>
          </cell>
          <cell r="EN135">
            <v>50346000</v>
          </cell>
          <cell r="EO135">
            <v>-41297000</v>
          </cell>
          <cell r="EP135">
            <v>-9096333.3333333302</v>
          </cell>
          <cell r="EQ135">
            <v>-4715000</v>
          </cell>
          <cell r="ER135">
            <v>-4762333.3333333302</v>
          </cell>
          <cell r="ES135">
            <v>-9.4592089407963598E-2</v>
          </cell>
          <cell r="ET135">
            <v>-8.6417662180553495E-2</v>
          </cell>
        </row>
        <row r="136">
          <cell r="B136" t="str">
            <v>NATURAL BEAUTY BIO-TECHNOLOGY LIMITED</v>
          </cell>
          <cell r="C136" t="str">
            <v>exclude</v>
          </cell>
          <cell r="D136" t="str">
            <v>Independence(A+, A, A-, U)</v>
          </cell>
          <cell r="H136" t="str">
            <v/>
          </cell>
          <cell r="J136" t="str">
            <v>exclude</v>
          </cell>
          <cell r="K136" t="str">
            <v>Independence(A+, A, A-, U)</v>
          </cell>
          <cell r="M136" t="str">
            <v>NATURAL BEAUTY BIO-TECHNOLOGY LIMITED</v>
          </cell>
          <cell r="N136" t="str">
            <v>This company primarily operates as an investment holding company that, through its subsidiaries, manufactures and sells skin care, beauty, and aromatherapeutic products, as well as color make up and health supplements under the Natural Beauty brand name in Hong Kong and internationally. It also offers skin treatments, beauty, and spa services, as well as skin care consulting and beauty training services. Its spas provide various services, including hydrotherapy, facial treatment, body care, and skin care analysis. In addition, the company engages in the wholesale and retail of skin care and beauty products, and related instuments; sale of jewelry, craftwork, adornment, leather, and horologe products; sale of hair care and cosmetic products; and provision of professional medical care products. The company operates in the People's Republic of China, Taiwan, Hong Kong, Malaysia, and Macau. Headquartered in Central, Hong Kong, the company was founded in 1976.It is involved in the management activities of holding companies.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group companies' performance.</v>
          </cell>
          <cell r="O136" t="str">
            <v>Services</v>
          </cell>
          <cell r="P136" t="str">
            <v>www.nblife.com</v>
          </cell>
          <cell r="Q136" t="str">
            <v>Hong Kong SAR, China</v>
          </cell>
          <cell r="R136" t="str">
            <v>Cayman Islands</v>
          </cell>
          <cell r="S136" t="str">
            <v>00157</v>
          </cell>
          <cell r="T136" t="str">
            <v>B+</v>
          </cell>
          <cell r="U136" t="str">
            <v>2844</v>
          </cell>
          <cell r="V136" t="str">
            <v>Operates as an investment holding company that, through its subsidiaries, manufactures and sells skin care, beauty, and aromatherapeutic products, as well as color make up and health supplements under the Natural Beauty brand name in Hong Kong and internationally</v>
          </cell>
          <cell r="W136" t="str">
            <v>The Company acts as an investment holding company.  The Group is principally engaged in manufacturing and selling of skin care, beauty and aromatherapeutic products and provision of skin treatments, beauty and spa services and skin care consulting and beauty training.</v>
          </cell>
          <cell r="Y136" t="str">
            <v>Natural Beauty</v>
          </cell>
          <cell r="Z136" t="str">
            <v>KY30590FH</v>
          </cell>
          <cell r="AA136">
            <v>344150000</v>
          </cell>
          <cell r="AB136">
            <v>494057000</v>
          </cell>
          <cell r="AC136">
            <v>422027000</v>
          </cell>
          <cell r="AD136">
            <v>442652000</v>
          </cell>
          <cell r="AE136">
            <v>335880000</v>
          </cell>
          <cell r="AF136">
            <v>487810000</v>
          </cell>
          <cell r="AG136">
            <v>410673000</v>
          </cell>
          <cell r="AH136">
            <v>438413000</v>
          </cell>
          <cell r="AI136" t="str">
            <v>n.a.</v>
          </cell>
          <cell r="AJ136" t="str">
            <v>n.a.</v>
          </cell>
          <cell r="AK136" t="str">
            <v>n.a.</v>
          </cell>
          <cell r="AL136" t="str">
            <v>n.a.</v>
          </cell>
          <cell r="AM136">
            <v>335880000</v>
          </cell>
          <cell r="AN136">
            <v>487810000</v>
          </cell>
          <cell r="AO136">
            <v>410673000</v>
          </cell>
          <cell r="AP136">
            <v>438413000</v>
          </cell>
          <cell r="AQ136">
            <v>8270000</v>
          </cell>
          <cell r="AR136">
            <v>6247000</v>
          </cell>
          <cell r="AS136">
            <v>11354000</v>
          </cell>
          <cell r="AT136">
            <v>4239000</v>
          </cell>
          <cell r="AU136">
            <v>-108023000</v>
          </cell>
          <cell r="AV136">
            <v>-140057000</v>
          </cell>
          <cell r="AW136">
            <v>-127383000</v>
          </cell>
          <cell r="AX136">
            <v>-130415000</v>
          </cell>
          <cell r="AY136">
            <v>-4428000</v>
          </cell>
          <cell r="AZ136">
            <v>-6804000</v>
          </cell>
          <cell r="BA136">
            <v>-5605000</v>
          </cell>
          <cell r="BB136">
            <v>-5051000</v>
          </cell>
          <cell r="BC136">
            <v>-210279000</v>
          </cell>
          <cell r="BD136">
            <v>-267613000</v>
          </cell>
          <cell r="BE136">
            <v>-236372000</v>
          </cell>
          <cell r="BF136">
            <v>-223889000</v>
          </cell>
          <cell r="BG136">
            <v>21420000</v>
          </cell>
          <cell r="BH136">
            <v>79583000</v>
          </cell>
          <cell r="BI136">
            <v>52667000</v>
          </cell>
          <cell r="BJ136">
            <v>83297000</v>
          </cell>
          <cell r="BK136">
            <v>-36432000</v>
          </cell>
          <cell r="BL136">
            <v>-34951000</v>
          </cell>
          <cell r="BM136">
            <v>-37260000</v>
          </cell>
          <cell r="BN136">
            <v>-34441000</v>
          </cell>
          <cell r="BO136">
            <v>-33876000</v>
          </cell>
          <cell r="BP136">
            <v>-33567000</v>
          </cell>
          <cell r="BQ136">
            <v>-35463000</v>
          </cell>
          <cell r="BR136">
            <v>-29084000</v>
          </cell>
          <cell r="BS136">
            <v>-2556000</v>
          </cell>
          <cell r="BT136">
            <v>-1384000</v>
          </cell>
          <cell r="BU136">
            <v>-1797000</v>
          </cell>
          <cell r="BV136">
            <v>-5357000</v>
          </cell>
          <cell r="BW136">
            <v>-30472000</v>
          </cell>
          <cell r="BX136">
            <v>35264000</v>
          </cell>
          <cell r="BY136">
            <v>7758000</v>
          </cell>
          <cell r="BZ136">
            <v>21908000</v>
          </cell>
          <cell r="CA136">
            <v>364900000</v>
          </cell>
          <cell r="CB136">
            <v>450331000</v>
          </cell>
          <cell r="CC136">
            <v>400481000</v>
          </cell>
          <cell r="CD136">
            <v>359928000</v>
          </cell>
          <cell r="CE136">
            <v>98831000</v>
          </cell>
          <cell r="CF136">
            <v>120961000</v>
          </cell>
          <cell r="CG136">
            <v>103280000</v>
          </cell>
          <cell r="CH136">
            <v>85492000</v>
          </cell>
          <cell r="CI136">
            <v>75799000</v>
          </cell>
          <cell r="CJ136">
            <v>115157000</v>
          </cell>
          <cell r="CK136">
            <v>113712000</v>
          </cell>
          <cell r="CL136">
            <v>98816000</v>
          </cell>
          <cell r="CM136">
            <v>5354000</v>
          </cell>
          <cell r="CN136">
            <v>5075000</v>
          </cell>
          <cell r="CO136">
            <v>5857000</v>
          </cell>
          <cell r="CP136">
            <v>5280000</v>
          </cell>
          <cell r="CQ136">
            <v>168609000</v>
          </cell>
          <cell r="CR136">
            <v>197082000</v>
          </cell>
          <cell r="CS136">
            <v>165606000</v>
          </cell>
          <cell r="CT136">
            <v>149111000</v>
          </cell>
          <cell r="CU136" t="str">
            <v>n.a.</v>
          </cell>
          <cell r="CV136">
            <v>3745000</v>
          </cell>
          <cell r="CW136">
            <v>3628000</v>
          </cell>
          <cell r="CX136">
            <v>3415000</v>
          </cell>
          <cell r="CY136">
            <v>121074000</v>
          </cell>
          <cell r="CZ136">
            <v>293099000</v>
          </cell>
          <cell r="DA136">
            <v>254446000</v>
          </cell>
          <cell r="DB136">
            <v>196426000</v>
          </cell>
          <cell r="DC136">
            <v>872309000</v>
          </cell>
          <cell r="DD136">
            <v>930444000</v>
          </cell>
          <cell r="DE136">
            <v>831972000</v>
          </cell>
          <cell r="DF136">
            <v>757400000</v>
          </cell>
          <cell r="DG136">
            <v>335880000</v>
          </cell>
          <cell r="DH136">
            <v>-108023000</v>
          </cell>
          <cell r="DI136">
            <v>-214707000</v>
          </cell>
          <cell r="DJ136">
            <v>-36432000</v>
          </cell>
          <cell r="DK136">
            <v>-23282000</v>
          </cell>
          <cell r="DL136">
            <v>-6.9316422531856603E-2</v>
          </cell>
          <cell r="DM136">
            <v>-6.4823116031205996E-2</v>
          </cell>
          <cell r="DN136">
            <v>-4428000</v>
          </cell>
          <cell r="DO136">
            <v>109896000</v>
          </cell>
          <cell r="DP136">
            <v>207086500</v>
          </cell>
          <cell r="DR136">
            <v>487810000</v>
          </cell>
          <cell r="DS136">
            <v>-140057000</v>
          </cell>
          <cell r="DT136">
            <v>-274417000</v>
          </cell>
          <cell r="DU136">
            <v>-34951000</v>
          </cell>
          <cell r="DV136">
            <v>38385000</v>
          </cell>
          <cell r="DW136">
            <v>7.86884237715504E-2</v>
          </cell>
          <cell r="DX136">
            <v>8.5409133893308106E-2</v>
          </cell>
          <cell r="DY136">
            <v>-6804000</v>
          </cell>
          <cell r="DZ136">
            <v>112120500</v>
          </cell>
          <cell r="EA136">
            <v>273772500</v>
          </cell>
          <cell r="EC136">
            <v>410673000</v>
          </cell>
          <cell r="ED136">
            <v>-127383000</v>
          </cell>
          <cell r="EE136">
            <v>-241977000</v>
          </cell>
          <cell r="EF136">
            <v>-37260000</v>
          </cell>
          <cell r="EG136">
            <v>4053000</v>
          </cell>
          <cell r="EH136">
            <v>9.8691659787714294E-3</v>
          </cell>
          <cell r="EI136">
            <v>9.9675372583739093E-3</v>
          </cell>
          <cell r="EJ136">
            <v>-5605000</v>
          </cell>
          <cell r="EK136">
            <v>94386000</v>
          </cell>
          <cell r="EL136">
            <v>225436000</v>
          </cell>
          <cell r="EN136">
            <v>411454333.33333302</v>
          </cell>
          <cell r="EO136">
            <v>-125154333.333333</v>
          </cell>
          <cell r="EP136">
            <v>-243700333.33333299</v>
          </cell>
          <cell r="EQ136">
            <v>-36214333.333333299</v>
          </cell>
          <cell r="ER136">
            <v>6385333.33333332</v>
          </cell>
          <cell r="ES136">
            <v>1.5518935677754401E-2</v>
          </cell>
          <cell r="ET136">
            <v>1.5763569498859001E-2</v>
          </cell>
        </row>
        <row r="137">
          <cell r="B137" t="str">
            <v>BAWANG INTERNATIONAL (GROUP) HOLDING LIMITED</v>
          </cell>
          <cell r="C137" t="str">
            <v>exclude</v>
          </cell>
          <cell r="D137" t="str">
            <v>Independence(A+, A, A-, U)</v>
          </cell>
          <cell r="H137" t="str">
            <v/>
          </cell>
          <cell r="J137" t="str">
            <v>exclude</v>
          </cell>
          <cell r="K137" t="str">
            <v>Independence(A+, A, A-, U)</v>
          </cell>
          <cell r="M137" t="str">
            <v>BAWANG INTERNATIONAL (GROUP) HOLDING LIMITED</v>
          </cell>
          <cell r="N137" t="str">
            <v>This company is engaged in the production and sale of Chinese hair-care, skin-care, as well as home and personal care products under the brand names, Bawang, Litao, Smerry and Royal Wind. It was incorporated in 2007 and it conducts business from its registered head office which is strategically located in Grand Cayman, Ky1-1111, Cayman Islands.The company's product range comprises herbal shampoo, toothpaste, shower gels and liquid soap. It sells these items through a network of distributors and retailers in China, Hong Kong, Macao and Singapore. In addition, it has also ventured in multi-faceted advertising and marketing strategies including: television commercials and sponsorship of television programs; advertising in newspapers, magazines, the Internet, public transportation, billboards, banners and kiosks; organizing regular and frequent in-store marketing activities and roadshows; and attending particular Chinese herbal-related events to market its products.</v>
          </cell>
          <cell r="O137" t="str">
            <v>Manufacturing; Wholesale; Services</v>
          </cell>
          <cell r="P137" t="str">
            <v>www.bawang.com.cn</v>
          </cell>
          <cell r="Q137" t="str">
            <v>China</v>
          </cell>
          <cell r="R137" t="str">
            <v>Cayman Islands</v>
          </cell>
          <cell r="S137" t="str">
            <v>01338</v>
          </cell>
          <cell r="T137" t="str">
            <v>D</v>
          </cell>
          <cell r="U137" t="str">
            <v>2844</v>
          </cell>
          <cell r="V137" t="str">
            <v>Engaged in the production and sale of Chinese hair-care, skin-care, as well as home and personal care products under the brand names, Bawang, Litao, Smerry and Royal Wind</v>
          </cell>
          <cell r="W137" t="str">
            <v>The Company is principally engaged in the manufacturing and sales of the HPC Products Business including hair-care and skin-care products, as well as sales of herbal tea products.</v>
          </cell>
          <cell r="Y137" t="str">
            <v>Bawang, Litao, Smerry and Royal Wind</v>
          </cell>
          <cell r="Z137" t="str">
            <v>KY40028WB</v>
          </cell>
          <cell r="AA137">
            <v>247656000</v>
          </cell>
          <cell r="AB137">
            <v>275322000</v>
          </cell>
          <cell r="AC137">
            <v>277453000</v>
          </cell>
          <cell r="AD137">
            <v>260674000</v>
          </cell>
          <cell r="AE137">
            <v>246341000</v>
          </cell>
          <cell r="AF137">
            <v>273604000</v>
          </cell>
          <cell r="AG137">
            <v>275987000</v>
          </cell>
          <cell r="AH137">
            <v>258158000</v>
          </cell>
          <cell r="AI137" t="str">
            <v>n.a.</v>
          </cell>
          <cell r="AJ137" t="str">
            <v>n.a.</v>
          </cell>
          <cell r="AK137" t="str">
            <v>n.a.</v>
          </cell>
          <cell r="AL137" t="str">
            <v>n.a.</v>
          </cell>
          <cell r="AM137">
            <v>246341000</v>
          </cell>
          <cell r="AN137">
            <v>273604000</v>
          </cell>
          <cell r="AO137">
            <v>275987000</v>
          </cell>
          <cell r="AP137">
            <v>258158000</v>
          </cell>
          <cell r="AQ137">
            <v>1315000</v>
          </cell>
          <cell r="AR137">
            <v>1718000</v>
          </cell>
          <cell r="AS137">
            <v>1466000</v>
          </cell>
          <cell r="AT137">
            <v>2516000</v>
          </cell>
          <cell r="AU137">
            <v>-107177000</v>
          </cell>
          <cell r="AV137">
            <v>-126995000</v>
          </cell>
          <cell r="AW137">
            <v>-124569000</v>
          </cell>
          <cell r="AX137">
            <v>-100415000</v>
          </cell>
          <cell r="AY137">
            <v>-14123000</v>
          </cell>
          <cell r="AZ137">
            <v>-15035000</v>
          </cell>
          <cell r="BA137">
            <v>-13586000</v>
          </cell>
          <cell r="BB137">
            <v>-14323000</v>
          </cell>
          <cell r="BC137">
            <v>-115949000</v>
          </cell>
          <cell r="BD137">
            <v>-113660000</v>
          </cell>
          <cell r="BE137">
            <v>-111837000</v>
          </cell>
          <cell r="BF137">
            <v>-135331000</v>
          </cell>
          <cell r="BG137">
            <v>10407000</v>
          </cell>
          <cell r="BH137">
            <v>19632000</v>
          </cell>
          <cell r="BI137">
            <v>27461000</v>
          </cell>
          <cell r="BJ137">
            <v>10605000</v>
          </cell>
          <cell r="BK137">
            <v>-32231000</v>
          </cell>
          <cell r="BL137">
            <v>-29248000</v>
          </cell>
          <cell r="BM137">
            <v>-29732000</v>
          </cell>
          <cell r="BN137">
            <v>-28399000</v>
          </cell>
          <cell r="BO137">
            <v>-32231000</v>
          </cell>
          <cell r="BP137">
            <v>-29248000</v>
          </cell>
          <cell r="BQ137">
            <v>-29732000</v>
          </cell>
          <cell r="BR137">
            <v>-28399000</v>
          </cell>
          <cell r="BS137">
            <v>0</v>
          </cell>
          <cell r="BT137">
            <v>0</v>
          </cell>
          <cell r="BU137">
            <v>0</v>
          </cell>
          <cell r="BV137">
            <v>0</v>
          </cell>
          <cell r="BW137">
            <v>-19431000</v>
          </cell>
          <cell r="BX137">
            <v>-9084000</v>
          </cell>
          <cell r="BY137">
            <v>-4038000</v>
          </cell>
          <cell r="BZ137">
            <v>-6100000</v>
          </cell>
          <cell r="CA137">
            <v>122411000</v>
          </cell>
          <cell r="CB137">
            <v>131429000</v>
          </cell>
          <cell r="CC137">
            <v>175014000</v>
          </cell>
          <cell r="CD137">
            <v>161442000</v>
          </cell>
          <cell r="CE137">
            <v>27056000</v>
          </cell>
          <cell r="CF137">
            <v>40815000</v>
          </cell>
          <cell r="CG137">
            <v>27307000</v>
          </cell>
          <cell r="CH137">
            <v>29382000</v>
          </cell>
          <cell r="CI137">
            <v>14281000</v>
          </cell>
          <cell r="CJ137">
            <v>19969000</v>
          </cell>
          <cell r="CK137">
            <v>22110000</v>
          </cell>
          <cell r="CL137">
            <v>21478000</v>
          </cell>
          <cell r="CM137">
            <v>3273000</v>
          </cell>
          <cell r="CN137">
            <v>1662000</v>
          </cell>
          <cell r="CO137">
            <v>1642000</v>
          </cell>
          <cell r="CP137">
            <v>4233000</v>
          </cell>
          <cell r="CQ137">
            <v>74404000</v>
          </cell>
          <cell r="CR137">
            <v>63269000</v>
          </cell>
          <cell r="CS137">
            <v>122342000</v>
          </cell>
          <cell r="CT137">
            <v>102195000</v>
          </cell>
          <cell r="CU137" t="str">
            <v>n.a.</v>
          </cell>
          <cell r="CV137" t="str">
            <v>n.a.</v>
          </cell>
          <cell r="CW137" t="str">
            <v>n.a.</v>
          </cell>
          <cell r="CX137" t="str">
            <v>n.a.</v>
          </cell>
          <cell r="CY137">
            <v>25704000</v>
          </cell>
          <cell r="CZ137">
            <v>34344000</v>
          </cell>
          <cell r="DA137">
            <v>37141000</v>
          </cell>
          <cell r="DB137">
            <v>35290000</v>
          </cell>
          <cell r="DC137">
            <v>244227000</v>
          </cell>
          <cell r="DD137">
            <v>295578000</v>
          </cell>
          <cell r="DE137">
            <v>264566000</v>
          </cell>
          <cell r="DF137">
            <v>290172000</v>
          </cell>
          <cell r="DG137">
            <v>246341000</v>
          </cell>
          <cell r="DH137">
            <v>-107177000</v>
          </cell>
          <cell r="DI137">
            <v>-130072000</v>
          </cell>
          <cell r="DJ137">
            <v>-32231000</v>
          </cell>
          <cell r="DK137">
            <v>-23139000</v>
          </cell>
          <cell r="DL137">
            <v>-9.3930770760855903E-2</v>
          </cell>
          <cell r="DM137">
            <v>-8.5865370342882594E-2</v>
          </cell>
          <cell r="DN137">
            <v>-14123000</v>
          </cell>
          <cell r="DO137">
            <v>33935500</v>
          </cell>
          <cell r="DP137">
            <v>30024000</v>
          </cell>
          <cell r="DR137">
            <v>273604000</v>
          </cell>
          <cell r="DS137">
            <v>-126995000</v>
          </cell>
          <cell r="DT137">
            <v>-128695000</v>
          </cell>
          <cell r="DU137">
            <v>-29248000</v>
          </cell>
          <cell r="DV137">
            <v>-11334000</v>
          </cell>
          <cell r="DW137">
            <v>-4.14248329702782E-2</v>
          </cell>
          <cell r="DX137">
            <v>-3.9777074310902702E-2</v>
          </cell>
          <cell r="DY137">
            <v>-15035000</v>
          </cell>
          <cell r="DZ137">
            <v>34061000</v>
          </cell>
          <cell r="EA137">
            <v>35742500</v>
          </cell>
          <cell r="EC137">
            <v>275987000</v>
          </cell>
          <cell r="ED137">
            <v>-124569000</v>
          </cell>
          <cell r="EE137">
            <v>-125423000</v>
          </cell>
          <cell r="EF137">
            <v>-29732000</v>
          </cell>
          <cell r="EG137">
            <v>-3737000</v>
          </cell>
          <cell r="EH137">
            <v>-1.35404928493009E-2</v>
          </cell>
          <cell r="EI137">
            <v>-1.33595973173557E-2</v>
          </cell>
          <cell r="EJ137">
            <v>-13586000</v>
          </cell>
          <cell r="EK137">
            <v>28344500</v>
          </cell>
          <cell r="EL137">
            <v>36215500</v>
          </cell>
          <cell r="EN137">
            <v>265310666.66666701</v>
          </cell>
          <cell r="EO137">
            <v>-119580333.333333</v>
          </cell>
          <cell r="EP137">
            <v>-128063333.333333</v>
          </cell>
          <cell r="EQ137">
            <v>-30403666.666666701</v>
          </cell>
          <cell r="ER137">
            <v>-12736666.6666667</v>
          </cell>
          <cell r="ES137">
            <v>-4.8006613630310203E-2</v>
          </cell>
          <cell r="ET137">
            <v>-4.5807548355076298E-2</v>
          </cell>
        </row>
        <row r="138">
          <cell r="B138" t="str">
            <v>THAI HO GROUP INC.</v>
          </cell>
          <cell r="C138" t="str">
            <v>exclude</v>
          </cell>
          <cell r="D138" t="str">
            <v>Insufficient financial data</v>
          </cell>
          <cell r="H138" t="str">
            <v/>
          </cell>
          <cell r="J138" t="str">
            <v>exclude</v>
          </cell>
          <cell r="K138" t="str">
            <v>Consecutive loss</v>
          </cell>
          <cell r="M138" t="str">
            <v>THAI HO GROUP INC.</v>
          </cell>
          <cell r="N138" t="str">
            <v>This company operates as a holding company for a group engaged in the manufacturing, processing, and sale of make-up, skin care products, and masks in China and internationally. It was incorporated in 2008 and has its registered office located in Shanghai, China. As a holding company, it is active in the ownership of enough voting stock in other companies to control management and operations by influencing or electing their board of directors. It also provides financial support and control function for the board and is responsible for managing the group and its overall legal structure, tax planning, financial and equity structures. In addition, the company is involved in matters of policy, strategic planning, marketing, approving investments and budgets, and the overall ongoing monitoring of its subsidiaries' operations.</v>
          </cell>
          <cell r="O138" t="str">
            <v>Services</v>
          </cell>
          <cell r="P138" t="str">
            <v>www.thaiho.com</v>
          </cell>
          <cell r="Q138" t="str">
            <v>Taiwan, China</v>
          </cell>
          <cell r="R138" t="str">
            <v>Cayman Islands</v>
          </cell>
          <cell r="S138" t="str">
            <v>4136</v>
          </cell>
          <cell r="T138" t="str">
            <v>U</v>
          </cell>
          <cell r="U138" t="str">
            <v>2844</v>
          </cell>
          <cell r="V138" t="str">
            <v>Operates as a holding company for a group engaged in the manufacturing, processing, and sale of make-up, skin care products, and masks</v>
          </cell>
          <cell r="W138" t="str">
            <v>The Company is mainly engaged in provision of cosmetics. The Company and its subsidiaries are mainly engaged in research and development, design, manufacturing and sales of make-up products and skin-care products.</v>
          </cell>
          <cell r="Z138" t="str">
            <v>KY40841FC</v>
          </cell>
          <cell r="AA138" t="str">
            <v>n.a.</v>
          </cell>
          <cell r="AB138">
            <v>933443000</v>
          </cell>
          <cell r="AC138">
            <v>1133793000</v>
          </cell>
          <cell r="AD138">
            <v>1024624000</v>
          </cell>
          <cell r="AE138" t="str">
            <v>n.a.</v>
          </cell>
          <cell r="AF138">
            <v>921586000</v>
          </cell>
          <cell r="AG138">
            <v>1128737000</v>
          </cell>
          <cell r="AH138">
            <v>1013923000</v>
          </cell>
          <cell r="AI138" t="str">
            <v>n.a.</v>
          </cell>
          <cell r="AJ138" t="str">
            <v>n.a.</v>
          </cell>
          <cell r="AK138" t="str">
            <v>n.a.</v>
          </cell>
          <cell r="AL138" t="str">
            <v>n.a.</v>
          </cell>
          <cell r="AM138" t="str">
            <v>n.a.</v>
          </cell>
          <cell r="AN138">
            <v>921586000</v>
          </cell>
          <cell r="AO138">
            <v>1128737000</v>
          </cell>
          <cell r="AP138">
            <v>1013923000</v>
          </cell>
          <cell r="AQ138" t="str">
            <v>n.a.</v>
          </cell>
          <cell r="AR138">
            <v>11857000</v>
          </cell>
          <cell r="AS138">
            <v>5056000</v>
          </cell>
          <cell r="AT138">
            <v>10701000</v>
          </cell>
          <cell r="AU138" t="str">
            <v>n.a.</v>
          </cell>
          <cell r="AV138">
            <v>-694832000</v>
          </cell>
          <cell r="AW138">
            <v>-794333000</v>
          </cell>
          <cell r="AX138">
            <v>-668424000</v>
          </cell>
          <cell r="AY138" t="str">
            <v>n.a.</v>
          </cell>
          <cell r="AZ138">
            <v>-98026000</v>
          </cell>
          <cell r="BA138">
            <v>-61354000</v>
          </cell>
          <cell r="BB138">
            <v>-72377000</v>
          </cell>
          <cell r="BC138" t="str">
            <v>n.a.</v>
          </cell>
          <cell r="BD138">
            <v>-259546000</v>
          </cell>
          <cell r="BE138">
            <v>-241401000</v>
          </cell>
          <cell r="BF138">
            <v>-273501000</v>
          </cell>
          <cell r="BG138" t="str">
            <v>n.a.</v>
          </cell>
          <cell r="BH138">
            <v>-118961000</v>
          </cell>
          <cell r="BI138">
            <v>36705000</v>
          </cell>
          <cell r="BJ138">
            <v>10322000</v>
          </cell>
          <cell r="BK138" t="str">
            <v>n.a.</v>
          </cell>
          <cell r="BL138">
            <v>-64342000</v>
          </cell>
          <cell r="BM138">
            <v>-67527000</v>
          </cell>
          <cell r="BN138">
            <v>-60720000</v>
          </cell>
          <cell r="BO138" t="str">
            <v>n.a.</v>
          </cell>
          <cell r="BP138">
            <v>-63438000</v>
          </cell>
          <cell r="BQ138">
            <v>-66541000</v>
          </cell>
          <cell r="BR138">
            <v>-58789000</v>
          </cell>
          <cell r="BS138" t="str">
            <v>n.a.</v>
          </cell>
          <cell r="BT138">
            <v>-904000</v>
          </cell>
          <cell r="BU138">
            <v>-986000</v>
          </cell>
          <cell r="BV138">
            <v>-1931000</v>
          </cell>
          <cell r="BW138" t="str">
            <v>n.a.</v>
          </cell>
          <cell r="BX138">
            <v>-183843000</v>
          </cell>
          <cell r="BY138">
            <v>-66487000</v>
          </cell>
          <cell r="BZ138">
            <v>-63138000</v>
          </cell>
          <cell r="CA138" t="str">
            <v>n.a.</v>
          </cell>
          <cell r="CB138">
            <v>406479000</v>
          </cell>
          <cell r="CC138">
            <v>609550000</v>
          </cell>
          <cell r="CD138">
            <v>491584000</v>
          </cell>
          <cell r="CE138" t="str">
            <v>n.a.</v>
          </cell>
          <cell r="CF138">
            <v>106350000</v>
          </cell>
          <cell r="CG138">
            <v>142201000</v>
          </cell>
          <cell r="CH138">
            <v>121169000</v>
          </cell>
          <cell r="CI138" t="str">
            <v>n.a.</v>
          </cell>
          <cell r="CJ138">
            <v>136698000</v>
          </cell>
          <cell r="CK138">
            <v>177252000</v>
          </cell>
          <cell r="CL138">
            <v>102501000</v>
          </cell>
          <cell r="CM138" t="str">
            <v>n.a.</v>
          </cell>
          <cell r="CN138">
            <v>6634000</v>
          </cell>
          <cell r="CO138">
            <v>4026000</v>
          </cell>
          <cell r="CP138">
            <v>4396000</v>
          </cell>
          <cell r="CQ138" t="str">
            <v>n.a.</v>
          </cell>
          <cell r="CR138">
            <v>130956000</v>
          </cell>
          <cell r="CS138">
            <v>267497000</v>
          </cell>
          <cell r="CT138">
            <v>247096000</v>
          </cell>
          <cell r="CU138" t="str">
            <v>n.a.</v>
          </cell>
          <cell r="CV138">
            <v>11303000</v>
          </cell>
          <cell r="CW138">
            <v>20189000</v>
          </cell>
          <cell r="CX138">
            <v>45599000</v>
          </cell>
          <cell r="CY138" t="str">
            <v>n.a.</v>
          </cell>
          <cell r="CZ138">
            <v>40079000</v>
          </cell>
          <cell r="DA138">
            <v>46819000</v>
          </cell>
          <cell r="DB138">
            <v>39222000</v>
          </cell>
          <cell r="DC138" t="str">
            <v>n.a.</v>
          </cell>
          <cell r="DD138">
            <v>894463000</v>
          </cell>
          <cell r="DE138">
            <v>1109095000</v>
          </cell>
          <cell r="DF138">
            <v>1001133000</v>
          </cell>
          <cell r="DG138" t="str">
            <v>无数据</v>
          </cell>
          <cell r="DH138" t="str">
            <v>n.a.</v>
          </cell>
          <cell r="DI138" t="str">
            <v>n.a.</v>
          </cell>
          <cell r="DJ138" t="str">
            <v>n.a.</v>
          </cell>
          <cell r="DK138" t="str">
            <v>无数据</v>
          </cell>
          <cell r="DL138" t="e">
            <v>#VALUE!</v>
          </cell>
          <cell r="DM138" t="e">
            <v>#VALUE!</v>
          </cell>
          <cell r="DN138" t="str">
            <v>n.a.</v>
          </cell>
          <cell r="DO138" t="e">
            <v>#VALUE!</v>
          </cell>
          <cell r="DP138" t="e">
            <v>#VALUE!</v>
          </cell>
          <cell r="DR138">
            <v>921586000</v>
          </cell>
          <cell r="DS138">
            <v>-694832000</v>
          </cell>
          <cell r="DT138">
            <v>-357572000</v>
          </cell>
          <cell r="DU138">
            <v>-64342000</v>
          </cell>
          <cell r="DV138">
            <v>-195160000</v>
          </cell>
          <cell r="DW138">
            <v>-0.211765369699627</v>
          </cell>
          <cell r="DX138">
            <v>-0.17475773362967001</v>
          </cell>
          <cell r="DY138">
            <v>-98026000</v>
          </cell>
          <cell r="DZ138">
            <v>124275500</v>
          </cell>
          <cell r="EA138">
            <v>43449000</v>
          </cell>
          <cell r="EC138">
            <v>1128737000</v>
          </cell>
          <cell r="ED138">
            <v>-794333000</v>
          </cell>
          <cell r="EE138">
            <v>-302755000</v>
          </cell>
          <cell r="EF138">
            <v>-67527000</v>
          </cell>
          <cell r="EG138">
            <v>-35878000</v>
          </cell>
          <cell r="EH138">
            <v>-3.1785969628000101E-2</v>
          </cell>
          <cell r="EI138">
            <v>-3.0806747294170201E-2</v>
          </cell>
          <cell r="EJ138">
            <v>-61354000</v>
          </cell>
          <cell r="EK138">
            <v>131685000</v>
          </cell>
          <cell r="EL138">
            <v>43020500</v>
          </cell>
          <cell r="EN138" t="e">
            <v>#VALUE!</v>
          </cell>
          <cell r="EO138" t="e">
            <v>#VALUE!</v>
          </cell>
          <cell r="EP138" t="e">
            <v>#VALUE!</v>
          </cell>
          <cell r="EQ138" t="e">
            <v>#VALUE!</v>
          </cell>
          <cell r="ER138" t="e">
            <v>#VALUE!</v>
          </cell>
          <cell r="ES138" t="e">
            <v>#VALUE!</v>
          </cell>
          <cell r="ET138" t="e">
            <v>#VALUE!</v>
          </cell>
        </row>
        <row r="139">
          <cell r="B139" t="str">
            <v>LUO LIH-FEN HOLDING CO., LTD.</v>
          </cell>
          <cell r="C139" t="str">
            <v>exclude</v>
          </cell>
          <cell r="D139" t="str">
            <v>Independence(A+, A, A-, U)</v>
          </cell>
          <cell r="H139" t="str">
            <v/>
          </cell>
          <cell r="J139" t="str">
            <v>exclude</v>
          </cell>
          <cell r="K139" t="str">
            <v>Independence(A+, A, A-, U)</v>
          </cell>
          <cell r="M139" t="str">
            <v>LUO LIH-FEN HOLDING CO., LTD.</v>
          </cell>
          <cell r="N139" t="str">
            <v>This company is engaged in the management activities of a holding company. It was incorporated in 2016, and has its registered business office located in Camana Bay, Cayman Islands.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v>
          </cell>
          <cell r="O139" t="str">
            <v>Services</v>
          </cell>
          <cell r="P139" t="str">
            <v>www.luolifen.com</v>
          </cell>
          <cell r="Q139" t="str">
            <v>China</v>
          </cell>
          <cell r="R139" t="str">
            <v>Cayman Islands</v>
          </cell>
          <cell r="S139" t="str">
            <v>6666</v>
          </cell>
          <cell r="T139" t="str">
            <v>B+</v>
          </cell>
          <cell r="U139" t="str">
            <v>2844</v>
          </cell>
          <cell r="V139" t="str">
            <v>Engaged in the management activities of a holding company</v>
          </cell>
          <cell r="W139" t="str">
            <v>The Company and its subsidiaries are mainly engaged in the research and development, manufacture and sales of facial beauty care products. The Company's main products include facial cleanser, toner, essence, face cream, mask and eye suits. The Company distributes its products to end consumers through dealers in each province. The Company also provides consultation services, as well as distributes raw materials, semi-finished products and packaging materials. The Company distributes its products in domestic market and to overseas markets</v>
          </cell>
          <cell r="Z139" t="str">
            <v>KY41185WB</v>
          </cell>
          <cell r="AA139">
            <v>881176000</v>
          </cell>
          <cell r="AB139">
            <v>937742000</v>
          </cell>
          <cell r="AC139">
            <v>876790000</v>
          </cell>
          <cell r="AD139">
            <v>1458821000</v>
          </cell>
          <cell r="AE139">
            <v>865506000</v>
          </cell>
          <cell r="AF139">
            <v>916866000</v>
          </cell>
          <cell r="AG139">
            <v>844885000</v>
          </cell>
          <cell r="AH139">
            <v>1445695000</v>
          </cell>
          <cell r="AI139" t="str">
            <v>n.a.</v>
          </cell>
          <cell r="AJ139" t="str">
            <v>n.a.</v>
          </cell>
          <cell r="AK139" t="str">
            <v>n.a.</v>
          </cell>
          <cell r="AL139" t="str">
            <v>n.a.</v>
          </cell>
          <cell r="AM139">
            <v>865506000</v>
          </cell>
          <cell r="AN139">
            <v>916866000</v>
          </cell>
          <cell r="AO139">
            <v>844885000</v>
          </cell>
          <cell r="AP139">
            <v>1445695000</v>
          </cell>
          <cell r="AQ139">
            <v>15670000</v>
          </cell>
          <cell r="AR139">
            <v>20876000</v>
          </cell>
          <cell r="AS139">
            <v>31905000</v>
          </cell>
          <cell r="AT139">
            <v>13126000</v>
          </cell>
          <cell r="AU139">
            <v>-280839000</v>
          </cell>
          <cell r="AV139">
            <v>-323196000</v>
          </cell>
          <cell r="AW139">
            <v>-278355000</v>
          </cell>
          <cell r="AX139">
            <v>-430579000</v>
          </cell>
          <cell r="AY139">
            <v>-56570000</v>
          </cell>
          <cell r="AZ139">
            <v>-60173000</v>
          </cell>
          <cell r="BA139">
            <v>-69453000</v>
          </cell>
          <cell r="BB139">
            <v>-67273000</v>
          </cell>
          <cell r="BC139">
            <v>-422306000</v>
          </cell>
          <cell r="BD139">
            <v>-420569000</v>
          </cell>
          <cell r="BE139">
            <v>-389154000</v>
          </cell>
          <cell r="BF139">
            <v>-385280000</v>
          </cell>
          <cell r="BG139">
            <v>121461000</v>
          </cell>
          <cell r="BH139">
            <v>133804000</v>
          </cell>
          <cell r="BI139">
            <v>139828000</v>
          </cell>
          <cell r="BJ139">
            <v>575689000</v>
          </cell>
          <cell r="BK139">
            <v>-61661000</v>
          </cell>
          <cell r="BL139">
            <v>-59783000</v>
          </cell>
          <cell r="BM139">
            <v>-48705000</v>
          </cell>
          <cell r="BN139">
            <v>-35327000</v>
          </cell>
          <cell r="BO139">
            <v>-57661000</v>
          </cell>
          <cell r="BP139">
            <v>-55981000</v>
          </cell>
          <cell r="BQ139">
            <v>-46266000</v>
          </cell>
          <cell r="BR139">
            <v>-33961000</v>
          </cell>
          <cell r="BS139">
            <v>-4000000</v>
          </cell>
          <cell r="BT139">
            <v>-3802000</v>
          </cell>
          <cell r="BU139">
            <v>-2439000</v>
          </cell>
          <cell r="BV139">
            <v>-1366000</v>
          </cell>
          <cell r="BW139">
            <v>54814000</v>
          </cell>
          <cell r="BX139">
            <v>70240000</v>
          </cell>
          <cell r="BY139">
            <v>104147000</v>
          </cell>
          <cell r="BZ139">
            <v>497740000</v>
          </cell>
          <cell r="CA139">
            <v>1299970000</v>
          </cell>
          <cell r="CB139">
            <v>1224594000</v>
          </cell>
          <cell r="CC139">
            <v>1405878000</v>
          </cell>
          <cell r="CD139">
            <v>1681026000</v>
          </cell>
          <cell r="CE139">
            <v>75151000</v>
          </cell>
          <cell r="CF139">
            <v>72492000</v>
          </cell>
          <cell r="CG139">
            <v>104193000</v>
          </cell>
          <cell r="CH139">
            <v>77728000</v>
          </cell>
          <cell r="CI139">
            <v>2557000</v>
          </cell>
          <cell r="CJ139">
            <v>3829000</v>
          </cell>
          <cell r="CK139">
            <v>11440000</v>
          </cell>
          <cell r="CL139">
            <v>10696000</v>
          </cell>
          <cell r="CM139">
            <v>12665000</v>
          </cell>
          <cell r="CN139">
            <v>43164000</v>
          </cell>
          <cell r="CO139">
            <v>35658000</v>
          </cell>
          <cell r="CP139">
            <v>18839000</v>
          </cell>
          <cell r="CQ139">
            <v>1188923000</v>
          </cell>
          <cell r="CR139">
            <v>1083288000</v>
          </cell>
          <cell r="CS139">
            <v>1223011000</v>
          </cell>
          <cell r="CT139">
            <v>1534021000</v>
          </cell>
          <cell r="CU139">
            <v>572092000</v>
          </cell>
          <cell r="CV139">
            <v>615008000</v>
          </cell>
          <cell r="CW139">
            <v>632999000</v>
          </cell>
          <cell r="CX139">
            <v>690879000</v>
          </cell>
          <cell r="CY139">
            <v>201915000</v>
          </cell>
          <cell r="CZ139">
            <v>134144000</v>
          </cell>
          <cell r="DA139">
            <v>45083000</v>
          </cell>
          <cell r="DB139">
            <v>9457000</v>
          </cell>
          <cell r="DC139">
            <v>2129149000</v>
          </cell>
          <cell r="DD139">
            <v>2006728000</v>
          </cell>
          <cell r="DE139">
            <v>2079050000</v>
          </cell>
          <cell r="DF139">
            <v>2195479000</v>
          </cell>
          <cell r="DG139">
            <v>865506000</v>
          </cell>
          <cell r="DH139">
            <v>-280839000</v>
          </cell>
          <cell r="DI139">
            <v>-478876000</v>
          </cell>
          <cell r="DJ139">
            <v>-61661000</v>
          </cell>
          <cell r="DK139">
            <v>44130000</v>
          </cell>
          <cell r="DL139">
            <v>5.0987514817921499E-2</v>
          </cell>
          <cell r="DM139">
            <v>5.3726916783543702E-2</v>
          </cell>
          <cell r="DN139">
            <v>-56570000</v>
          </cell>
          <cell r="DO139">
            <v>73821500</v>
          </cell>
          <cell r="DP139">
            <v>168029500</v>
          </cell>
          <cell r="DR139">
            <v>916866000</v>
          </cell>
          <cell r="DS139">
            <v>-323196000</v>
          </cell>
          <cell r="DT139">
            <v>-480742000</v>
          </cell>
          <cell r="DU139">
            <v>-59783000</v>
          </cell>
          <cell r="DV139">
            <v>53145000</v>
          </cell>
          <cell r="DW139">
            <v>5.7963759153464099E-2</v>
          </cell>
          <cell r="DX139">
            <v>6.15302858214632E-2</v>
          </cell>
          <cell r="DY139">
            <v>-60173000</v>
          </cell>
          <cell r="DZ139">
            <v>88342500</v>
          </cell>
          <cell r="EA139">
            <v>89613500</v>
          </cell>
          <cell r="EC139">
            <v>844885000</v>
          </cell>
          <cell r="ED139">
            <v>-278355000</v>
          </cell>
          <cell r="EE139">
            <v>-458607000</v>
          </cell>
          <cell r="EF139">
            <v>-48705000</v>
          </cell>
          <cell r="EG139">
            <v>59218000</v>
          </cell>
          <cell r="EH139">
            <v>7.0090012250187905E-2</v>
          </cell>
          <cell r="EI139">
            <v>7.5372899714510097E-2</v>
          </cell>
          <cell r="EJ139">
            <v>-69453000</v>
          </cell>
          <cell r="EK139">
            <v>90960500</v>
          </cell>
          <cell r="EL139">
            <v>27270000</v>
          </cell>
          <cell r="EN139">
            <v>875752333.33333302</v>
          </cell>
          <cell r="EO139">
            <v>-294130000</v>
          </cell>
          <cell r="EP139">
            <v>-472741666.66666698</v>
          </cell>
          <cell r="EQ139">
            <v>-56716333.333333299</v>
          </cell>
          <cell r="ER139">
            <v>52164333.333333403</v>
          </cell>
          <cell r="ES139">
            <v>5.9565166255147503E-2</v>
          </cell>
          <cell r="ET139">
            <v>6.3337898722824207E-2</v>
          </cell>
        </row>
        <row r="140">
          <cell r="B140" t="str">
            <v>RENAISSANCE ASIA SILK ROAD GROUP LIMITED</v>
          </cell>
          <cell r="C140" t="str">
            <v>exclude</v>
          </cell>
          <cell r="D140" t="str">
            <v>Consecutive loss</v>
          </cell>
          <cell r="H140" t="str">
            <v/>
          </cell>
          <cell r="J140" t="str">
            <v>exclude</v>
          </cell>
          <cell r="K140" t="str">
            <v>Consecutive loss</v>
          </cell>
          <cell r="M140" t="str">
            <v>RENAISSANCE ASIA SILK ROAD GROUP LIMITED</v>
          </cell>
          <cell r="N140" t="str">
            <v>This firm primarily operates as a holding company. The company, incorporated in 2000, was formerly known as Global Green Tech Group Limited. Its registered head office located in George Town, Cayman Islands. The company exercises financial control over its subsidiaries and provides central services as well as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v>
          </cell>
          <cell r="O140" t="str">
            <v>Services</v>
          </cell>
          <cell r="P140" t="str">
            <v>www.cb-resources.com</v>
          </cell>
          <cell r="Q140" t="str">
            <v>Hong Kong SAR, China</v>
          </cell>
          <cell r="R140" t="str">
            <v>Cayman Islands</v>
          </cell>
          <cell r="S140" t="str">
            <v>00274</v>
          </cell>
          <cell r="T140" t="str">
            <v>A+</v>
          </cell>
          <cell r="U140" t="str">
            <v>2844</v>
          </cell>
          <cell r="V140" t="str">
            <v>Operates as a holding company</v>
          </cell>
          <cell r="W140" t="str">
            <v>The principal activities of the Company are investment holding and its subsidiaries are principally engaged in manufacturing and sale of household products, industrial products, cosmetics and skincare products and bio-technology products with medical and cosmetics applications, provision of loan financing services and investment and/or trading in market securities, bonds, foreign currencies, various funds and other income generated fixed assets' portfolios.</v>
          </cell>
          <cell r="X140" t="str">
            <v>CHINA BILLION RESOURCES LIMITED</v>
          </cell>
          <cell r="Z140" t="str">
            <v>KY30735FH</v>
          </cell>
          <cell r="AA140">
            <v>207711000</v>
          </cell>
          <cell r="AB140">
            <v>141067000</v>
          </cell>
          <cell r="AC140">
            <v>57981000</v>
          </cell>
          <cell r="AD140">
            <v>44565000</v>
          </cell>
          <cell r="AE140">
            <v>207435000</v>
          </cell>
          <cell r="AF140">
            <v>119066000</v>
          </cell>
          <cell r="AG140">
            <v>57152000</v>
          </cell>
          <cell r="AH140">
            <v>44556000</v>
          </cell>
          <cell r="AI140" t="str">
            <v>n.a.</v>
          </cell>
          <cell r="AJ140" t="str">
            <v>n.a.</v>
          </cell>
          <cell r="AK140" t="str">
            <v>n.a.</v>
          </cell>
          <cell r="AL140" t="str">
            <v>n.a.</v>
          </cell>
          <cell r="AM140">
            <v>207435000</v>
          </cell>
          <cell r="AN140">
            <v>119066000</v>
          </cell>
          <cell r="AO140">
            <v>57152000</v>
          </cell>
          <cell r="AP140">
            <v>44556000</v>
          </cell>
          <cell r="AQ140">
            <v>276000</v>
          </cell>
          <cell r="AR140">
            <v>22001000</v>
          </cell>
          <cell r="AS140">
            <v>829000</v>
          </cell>
          <cell r="AT140">
            <v>9000</v>
          </cell>
          <cell r="AU140">
            <v>-115792000</v>
          </cell>
          <cell r="AV140">
            <v>-49377000</v>
          </cell>
          <cell r="AW140">
            <v>-16222000</v>
          </cell>
          <cell r="AX140">
            <v>-19279000</v>
          </cell>
          <cell r="AY140">
            <v>0</v>
          </cell>
          <cell r="AZ140">
            <v>0</v>
          </cell>
          <cell r="BA140">
            <v>0</v>
          </cell>
          <cell r="BB140">
            <v>0</v>
          </cell>
          <cell r="BC140">
            <v>-48622000</v>
          </cell>
          <cell r="BD140">
            <v>-44206000</v>
          </cell>
          <cell r="BE140">
            <v>-33678000</v>
          </cell>
          <cell r="BF140">
            <v>-37340000</v>
          </cell>
          <cell r="BG140">
            <v>43297000</v>
          </cell>
          <cell r="BH140">
            <v>47484000</v>
          </cell>
          <cell r="BI140">
            <v>8081000</v>
          </cell>
          <cell r="BJ140">
            <v>-12054000</v>
          </cell>
          <cell r="BK140">
            <v>-51636000</v>
          </cell>
          <cell r="BL140">
            <v>-90711000</v>
          </cell>
          <cell r="BM140">
            <v>-128584000</v>
          </cell>
          <cell r="BN140">
            <v>-80617000</v>
          </cell>
          <cell r="BO140">
            <v>-43925000</v>
          </cell>
          <cell r="BP140">
            <v>-66960000</v>
          </cell>
          <cell r="BQ140">
            <v>-127540000</v>
          </cell>
          <cell r="BR140">
            <v>-36117000</v>
          </cell>
          <cell r="BS140">
            <v>-7711000</v>
          </cell>
          <cell r="BT140">
            <v>-23751000</v>
          </cell>
          <cell r="BU140">
            <v>-1044000</v>
          </cell>
          <cell r="BV140">
            <v>-44500000</v>
          </cell>
          <cell r="BW140">
            <v>-38572000</v>
          </cell>
          <cell r="BX140">
            <v>-55378000</v>
          </cell>
          <cell r="BY140">
            <v>-108567000</v>
          </cell>
          <cell r="BZ140">
            <v>-98434000</v>
          </cell>
          <cell r="CA140">
            <v>76952000</v>
          </cell>
          <cell r="CB140">
            <v>27374000</v>
          </cell>
          <cell r="CC140">
            <v>118710000</v>
          </cell>
          <cell r="CD140">
            <v>176728000</v>
          </cell>
          <cell r="CE140" t="str">
            <v>n.a.</v>
          </cell>
          <cell r="CF140" t="str">
            <v>n.a.</v>
          </cell>
          <cell r="CG140" t="str">
            <v>n.a.</v>
          </cell>
          <cell r="CH140" t="str">
            <v>n.a.</v>
          </cell>
          <cell r="CI140">
            <v>8465000</v>
          </cell>
          <cell r="CJ140">
            <v>10420000</v>
          </cell>
          <cell r="CK140">
            <v>7630000</v>
          </cell>
          <cell r="CL140">
            <v>27625000</v>
          </cell>
          <cell r="CM140">
            <v>5086000</v>
          </cell>
          <cell r="CN140">
            <v>4039000</v>
          </cell>
          <cell r="CO140">
            <v>92660000</v>
          </cell>
          <cell r="CP140">
            <v>97510000</v>
          </cell>
          <cell r="CQ140">
            <v>52388000</v>
          </cell>
          <cell r="CR140">
            <v>7274000</v>
          </cell>
          <cell r="CS140">
            <v>9307000</v>
          </cell>
          <cell r="CT140">
            <v>42497000</v>
          </cell>
          <cell r="CU140" t="str">
            <v>n.a.</v>
          </cell>
          <cell r="CV140" t="str">
            <v>n.a.</v>
          </cell>
          <cell r="CW140" t="str">
            <v>n.a.</v>
          </cell>
          <cell r="CX140" t="str">
            <v>n.a.</v>
          </cell>
          <cell r="CY140">
            <v>345636000</v>
          </cell>
          <cell r="CZ140">
            <v>325093000</v>
          </cell>
          <cell r="DA140">
            <v>265341000</v>
          </cell>
          <cell r="DB140">
            <v>192298000</v>
          </cell>
          <cell r="DC140">
            <v>298690000</v>
          </cell>
          <cell r="DD140">
            <v>290584000</v>
          </cell>
          <cell r="DE140">
            <v>373183000</v>
          </cell>
          <cell r="DF140">
            <v>379495000</v>
          </cell>
          <cell r="DG140">
            <v>207435000</v>
          </cell>
          <cell r="DH140">
            <v>-115792000</v>
          </cell>
          <cell r="DI140">
            <v>-48622000</v>
          </cell>
          <cell r="DJ140">
            <v>-51636000</v>
          </cell>
          <cell r="DK140">
            <v>-8615000</v>
          </cell>
          <cell r="DL140">
            <v>-4.1531082025694797E-2</v>
          </cell>
          <cell r="DM140">
            <v>-3.98750289284888E-2</v>
          </cell>
          <cell r="DN140">
            <v>0</v>
          </cell>
          <cell r="DO140" t="e">
            <v>#VALUE!</v>
          </cell>
          <cell r="DP140">
            <v>335364500</v>
          </cell>
          <cell r="DR140">
            <v>119066000</v>
          </cell>
          <cell r="DS140">
            <v>-49377000</v>
          </cell>
          <cell r="DT140">
            <v>-44206000</v>
          </cell>
          <cell r="DU140">
            <v>-90711000</v>
          </cell>
          <cell r="DV140">
            <v>-65228000</v>
          </cell>
          <cell r="DW140">
            <v>-0.54783061495305096</v>
          </cell>
          <cell r="DX140">
            <v>-0.35393447426394797</v>
          </cell>
          <cell r="DY140">
            <v>0</v>
          </cell>
          <cell r="DZ140" t="e">
            <v>#VALUE!</v>
          </cell>
          <cell r="EA140">
            <v>295217000</v>
          </cell>
          <cell r="EC140">
            <v>57152000</v>
          </cell>
          <cell r="ED140">
            <v>-16222000</v>
          </cell>
          <cell r="EE140">
            <v>-33678000</v>
          </cell>
          <cell r="EF140">
            <v>-128584000</v>
          </cell>
          <cell r="EG140">
            <v>-121332000</v>
          </cell>
          <cell r="EH140">
            <v>-2.12297032474804</v>
          </cell>
          <cell r="EI140">
            <v>-0.67979202617601597</v>
          </cell>
          <cell r="EJ140">
            <v>0</v>
          </cell>
          <cell r="EK140" t="e">
            <v>#VALUE!</v>
          </cell>
          <cell r="EL140">
            <v>228819500</v>
          </cell>
          <cell r="EN140">
            <v>127884333.333333</v>
          </cell>
          <cell r="EO140">
            <v>-60463666.666666701</v>
          </cell>
          <cell r="EP140">
            <v>-42168666.666666701</v>
          </cell>
          <cell r="EQ140">
            <v>-90310333.333333299</v>
          </cell>
          <cell r="ER140">
            <v>-65058333.333333299</v>
          </cell>
          <cell r="ES140">
            <v>-0.50872793904908897</v>
          </cell>
          <cell r="ET140">
            <v>-0.33718997698798298</v>
          </cell>
        </row>
      </sheetData>
      <sheetData sheetId="4"/>
      <sheetData sheetId="5"/>
      <sheetData sheetId="6"/>
      <sheetData sheetId="7"/>
      <sheetData sheetId="8"/>
      <sheetData sheetId="9"/>
      <sheetData sheetId="10"/>
      <sheetData sheetId="11">
        <row r="3">
          <cell r="B3" t="str">
            <v>COMPANY</v>
          </cell>
          <cell r="C3" t="str">
            <v>status 2022</v>
          </cell>
          <cell r="D3" t="str">
            <v>general 2022</v>
          </cell>
          <cell r="E3" t="str">
            <v>detail 2022</v>
          </cell>
          <cell r="F3" t="str">
            <v>Lev
(Y/N)</v>
          </cell>
          <cell r="G3" t="str">
            <v>Segment</v>
          </cell>
          <cell r="H3" t="str">
            <v xml:space="preserve">Mock NCP
</v>
          </cell>
          <cell r="FD3" t="str">
            <v>BVD ID number</v>
          </cell>
          <cell r="FE3" t="str">
            <v>status 2022</v>
          </cell>
          <cell r="FF3" t="str">
            <v>general 2022</v>
          </cell>
        </row>
        <row r="4">
          <cell r="B4" t="str">
            <v>KAO Corporation</v>
          </cell>
          <cell r="C4" t="str">
            <v>exclude</v>
          </cell>
          <cell r="D4" t="str">
            <v>lev SDA/SDP</v>
          </cell>
          <cell r="H4" t="str">
            <v/>
          </cell>
          <cell r="FD4" t="str">
            <v>JP4010001034760</v>
          </cell>
          <cell r="FE4" t="str">
            <v>exclude</v>
          </cell>
          <cell r="FF4" t="str">
            <v>lev SDA/SDP</v>
          </cell>
        </row>
        <row r="5">
          <cell r="B5" t="str">
            <v>Shiseido Company Limited</v>
          </cell>
          <cell r="C5" t="str">
            <v>Include before</v>
          </cell>
          <cell r="E5" t="str">
            <v>化妆品</v>
          </cell>
          <cell r="H5">
            <v>4.8644312388410098E-2</v>
          </cell>
          <cell r="FD5" t="str">
            <v>JP1010001034813</v>
          </cell>
          <cell r="FE5" t="str">
            <v>Include before</v>
          </cell>
        </row>
        <row r="6">
          <cell r="B6" t="str">
            <v>LG H&amp;H Co.,Ltd.</v>
          </cell>
          <cell r="C6" t="str">
            <v>exclude</v>
          </cell>
          <cell r="D6" t="str">
            <v>Independence(A+, A, A-,, U)</v>
          </cell>
          <cell r="H6" t="str">
            <v/>
          </cell>
          <cell r="FD6" t="str">
            <v>KR1101112208000</v>
          </cell>
          <cell r="FE6" t="str">
            <v>exclude</v>
          </cell>
          <cell r="FF6" t="str">
            <v>Independence(A+, A, A-, U)</v>
          </cell>
        </row>
        <row r="7">
          <cell r="B7" t="str">
            <v>Hindustan Unilever Limited</v>
          </cell>
          <cell r="C7" t="str">
            <v>exclude</v>
          </cell>
          <cell r="D7" t="str">
            <v>Independence(A+, A, A-,, U)</v>
          </cell>
          <cell r="H7" t="str">
            <v/>
          </cell>
          <cell r="FD7" t="str">
            <v>IN30019FI</v>
          </cell>
          <cell r="FE7" t="str">
            <v>exclude</v>
          </cell>
          <cell r="FF7" t="str">
            <v>Independence(A+, A, A-, U)</v>
          </cell>
        </row>
        <row r="8">
          <cell r="B8" t="str">
            <v>Amore Pacific Group</v>
          </cell>
          <cell r="C8" t="str">
            <v>exclude</v>
          </cell>
          <cell r="D8" t="str">
            <v>Independence(A+, A, A-,, U)</v>
          </cell>
          <cell r="H8" t="str">
            <v/>
          </cell>
          <cell r="FD8" t="str">
            <v>KR1101110026644</v>
          </cell>
          <cell r="FE8" t="str">
            <v>exclude</v>
          </cell>
          <cell r="FF8" t="str">
            <v>Independence(A+, A, A-, U)</v>
          </cell>
        </row>
        <row r="9">
          <cell r="B9" t="str">
            <v>Amorepacific Corp.</v>
          </cell>
          <cell r="C9" t="str">
            <v>exclude</v>
          </cell>
          <cell r="D9" t="str">
            <v>Independence(A+, A, A-,, U)</v>
          </cell>
          <cell r="H9" t="str">
            <v/>
          </cell>
          <cell r="FD9" t="str">
            <v>KR1101113471036</v>
          </cell>
          <cell r="FE9" t="str">
            <v>exclude</v>
          </cell>
          <cell r="FF9" t="str">
            <v>Independence(A+, A, A-, U)</v>
          </cell>
        </row>
        <row r="10">
          <cell r="B10" t="str">
            <v>Lion Corporation</v>
          </cell>
          <cell r="C10" t="str">
            <v>exclude</v>
          </cell>
          <cell r="D10" t="str">
            <v>lev SDA/SDP</v>
          </cell>
          <cell r="H10" t="str">
            <v/>
          </cell>
          <cell r="FD10" t="str">
            <v>JP1010601016863</v>
          </cell>
          <cell r="FE10" t="str">
            <v>exclude</v>
          </cell>
          <cell r="FF10" t="str">
            <v>lev SDA/SDP</v>
          </cell>
        </row>
        <row r="11">
          <cell r="B11" t="str">
            <v>PT Unilever Indonesia TBK</v>
          </cell>
          <cell r="C11" t="str">
            <v>exclude</v>
          </cell>
          <cell r="D11" t="str">
            <v>Independence(A+, A, A-,, U)</v>
          </cell>
          <cell r="H11" t="str">
            <v/>
          </cell>
          <cell r="FD11" t="str">
            <v>ID30014FD</v>
          </cell>
          <cell r="FE11" t="str">
            <v>exclude</v>
          </cell>
          <cell r="FF11" t="str">
            <v>Independence(A+, A, A-, U)</v>
          </cell>
        </row>
        <row r="12">
          <cell r="B12" t="str">
            <v>Kose Corporation</v>
          </cell>
          <cell r="C12" t="str">
            <v>Include before</v>
          </cell>
          <cell r="E12" t="str">
            <v>化妆品</v>
          </cell>
          <cell r="H12">
            <v>9.4949601284311805E-2</v>
          </cell>
          <cell r="FD12" t="str">
            <v>JP7010001043552</v>
          </cell>
          <cell r="FE12" t="str">
            <v>Include before</v>
          </cell>
        </row>
        <row r="13">
          <cell r="B13" t="str">
            <v>Chengzhi Company Limited</v>
          </cell>
          <cell r="C13" t="str">
            <v>exclude</v>
          </cell>
          <cell r="D13" t="str">
            <v>Independence(A+, A, A-,, U)</v>
          </cell>
          <cell r="H13" t="str">
            <v/>
          </cell>
          <cell r="FD13" t="str">
            <v>CN31699PC</v>
          </cell>
          <cell r="FE13" t="str">
            <v>exclude</v>
          </cell>
          <cell r="FF13" t="str">
            <v>Independence(A+, A, A-, U)</v>
          </cell>
        </row>
        <row r="14">
          <cell r="B14" t="str">
            <v>Zanyu Technology Group Co., Ltd.</v>
          </cell>
          <cell r="C14" t="str">
            <v>exclude</v>
          </cell>
          <cell r="D14" t="str">
            <v>lev SDA/SDP</v>
          </cell>
          <cell r="E14" t="str">
            <v>表面活性剂</v>
          </cell>
          <cell r="H14" t="str">
            <v/>
          </cell>
          <cell r="FD14" t="str">
            <v>CN40519PC</v>
          </cell>
          <cell r="FE14" t="str">
            <v>exclude</v>
          </cell>
          <cell r="FF14" t="str">
            <v>lev SDA/SDP</v>
          </cell>
        </row>
        <row r="15">
          <cell r="B15" t="str">
            <v>Godrej Consumer Products Limited</v>
          </cell>
          <cell r="C15" t="str">
            <v>exclude</v>
          </cell>
          <cell r="D15" t="str">
            <v>Independence(A+, A, A-,, U)</v>
          </cell>
          <cell r="H15" t="str">
            <v/>
          </cell>
          <cell r="FD15" t="str">
            <v>IN30479FI</v>
          </cell>
          <cell r="FE15" t="str">
            <v>exclude</v>
          </cell>
          <cell r="FF15" t="str">
            <v>Independence(A+, A, A-, U)</v>
          </cell>
        </row>
        <row r="16">
          <cell r="B16" t="str">
            <v>ALS Limited</v>
          </cell>
          <cell r="C16" t="str">
            <v>exclude</v>
          </cell>
          <cell r="D16" t="str">
            <v>Independence(A+, A, A-,, U)</v>
          </cell>
          <cell r="H16" t="str">
            <v/>
          </cell>
          <cell r="FD16" t="str">
            <v>AU009657489</v>
          </cell>
          <cell r="FE16" t="str">
            <v>exclude</v>
          </cell>
          <cell r="FF16" t="str">
            <v>Independence(A+, A, A-, U)</v>
          </cell>
        </row>
        <row r="17">
          <cell r="B17" t="str">
            <v>Cosmax Inc.</v>
          </cell>
          <cell r="C17" t="str">
            <v>exclude</v>
          </cell>
          <cell r="D17" t="str">
            <v>Independence(A+, A, A-,, U)</v>
          </cell>
          <cell r="H17" t="str">
            <v/>
          </cell>
          <cell r="FD17" t="str">
            <v>KR1348110294273</v>
          </cell>
          <cell r="FE17" t="str">
            <v>exclude</v>
          </cell>
          <cell r="FF17" t="str">
            <v>Independence(A+, A, A-, U)</v>
          </cell>
        </row>
        <row r="18">
          <cell r="B18" t="str">
            <v>Kolmar Korea Co.,Ltd.</v>
          </cell>
          <cell r="C18" t="str">
            <v>exclude</v>
          </cell>
          <cell r="D18" t="str">
            <v>Independence(A+, A, A-,, U)</v>
          </cell>
          <cell r="H18" t="str">
            <v/>
          </cell>
          <cell r="FD18" t="str">
            <v>KR1647110030756</v>
          </cell>
          <cell r="FE18" t="str">
            <v>exclude</v>
          </cell>
          <cell r="FF18" t="str">
            <v>Independence(A+, A, A-, U)</v>
          </cell>
        </row>
        <row r="19">
          <cell r="B19" t="str">
            <v>Godrej Industries Limited</v>
          </cell>
          <cell r="C19" t="str">
            <v>exclude</v>
          </cell>
          <cell r="D19" t="str">
            <v>lev SDA/SDP</v>
          </cell>
          <cell r="H19" t="str">
            <v/>
          </cell>
          <cell r="FD19" t="str">
            <v>IN30195FI</v>
          </cell>
          <cell r="FE19" t="str">
            <v>exclude</v>
          </cell>
          <cell r="FF19" t="str">
            <v>lev SDA/SDP</v>
          </cell>
        </row>
        <row r="20">
          <cell r="B20" t="str">
            <v>Shanghai Jahwa United Co., Ltd.</v>
          </cell>
          <cell r="C20" t="str">
            <v>exclude</v>
          </cell>
          <cell r="D20" t="str">
            <v>Independence(A+, A, A-,, U)</v>
          </cell>
          <cell r="H20" t="str">
            <v/>
          </cell>
          <cell r="FD20" t="str">
            <v>CN31073PC</v>
          </cell>
          <cell r="FE20" t="str">
            <v>exclude</v>
          </cell>
          <cell r="FF20" t="str">
            <v>Independence(A+, A, A-, U)</v>
          </cell>
        </row>
        <row r="21">
          <cell r="B21" t="str">
            <v>Marico Limited</v>
          </cell>
          <cell r="C21" t="str">
            <v>exclude</v>
          </cell>
          <cell r="D21" t="str">
            <v>lev SDA/SDP</v>
          </cell>
          <cell r="H21" t="str">
            <v/>
          </cell>
          <cell r="FD21" t="str">
            <v>IN30615FI</v>
          </cell>
          <cell r="FE21" t="str">
            <v>exclude</v>
          </cell>
          <cell r="FF21" t="str">
            <v>lev SDA/SDP</v>
          </cell>
        </row>
        <row r="22">
          <cell r="B22" t="str">
            <v>Chengdu Xingrong Environment Co., Ltd.</v>
          </cell>
          <cell r="C22" t="str">
            <v>exclude</v>
          </cell>
          <cell r="D22" t="str">
            <v>Independence(A+, A, A-,, U)</v>
          </cell>
          <cell r="H22" t="str">
            <v/>
          </cell>
          <cell r="FD22" t="str">
            <v>CN30597PC</v>
          </cell>
          <cell r="FE22" t="str">
            <v>exclude</v>
          </cell>
          <cell r="FF22" t="str">
            <v>Independence(A+, A, A-, U)</v>
          </cell>
        </row>
        <row r="23">
          <cell r="B23" t="str">
            <v>Fancl Corporation</v>
          </cell>
          <cell r="C23" t="str">
            <v>exclude</v>
          </cell>
          <cell r="D23" t="str">
            <v>Independence(A+, A, A-,, U)</v>
          </cell>
          <cell r="H23" t="str">
            <v/>
          </cell>
          <cell r="FD23" t="str">
            <v>JP3020001000366</v>
          </cell>
          <cell r="FE23" t="str">
            <v>exclude</v>
          </cell>
          <cell r="FF23" t="str">
            <v>Independence(A+, A, A-, U)</v>
          </cell>
        </row>
        <row r="24">
          <cell r="B24" t="str">
            <v>Saha Pathanapibul PCL</v>
          </cell>
          <cell r="C24" t="str">
            <v>exclude</v>
          </cell>
          <cell r="D24" t="str">
            <v>Significantly different products/services</v>
          </cell>
          <cell r="E24" t="str">
            <v xml:space="preserve">The company retails household products, food products, baby products, personal care products and others. </v>
          </cell>
          <cell r="H24" t="str">
            <v/>
          </cell>
          <cell r="FD24" t="str">
            <v>TH0107537001421</v>
          </cell>
          <cell r="FE24" t="str">
            <v>exclude</v>
          </cell>
          <cell r="FF24" t="str">
            <v>Significantly different products/services</v>
          </cell>
        </row>
        <row r="25">
          <cell r="B25" t="str">
            <v>Proya Cosmetics Co.,Ltd.</v>
          </cell>
          <cell r="C25" t="str">
            <v>exclude</v>
          </cell>
          <cell r="D25" t="str">
            <v>Independence(A+, A, A-,, U)</v>
          </cell>
          <cell r="H25" t="str">
            <v/>
          </cell>
          <cell r="FD25" t="str">
            <v>CN46355PC</v>
          </cell>
          <cell r="FE25" t="str">
            <v>exclude</v>
          </cell>
          <cell r="FF25" t="str">
            <v>Independence(A+, A, A-, U)</v>
          </cell>
        </row>
        <row r="26">
          <cell r="B26" t="str">
            <v>Colgate-Palmolive (India) Limited</v>
          </cell>
          <cell r="C26" t="str">
            <v>exclude</v>
          </cell>
          <cell r="D26" t="str">
            <v>Independence(A+, A, A-,, U)</v>
          </cell>
          <cell r="H26" t="str">
            <v/>
          </cell>
          <cell r="FD26" t="str">
            <v>IN30306FI</v>
          </cell>
          <cell r="FE26" t="str">
            <v>exclude</v>
          </cell>
          <cell r="FF26" t="str">
            <v>Independence(A+, A, A-, U)</v>
          </cell>
        </row>
        <row r="27">
          <cell r="B27" t="str">
            <v>Noevir Company Limited</v>
          </cell>
          <cell r="C27" t="str">
            <v>exclude</v>
          </cell>
          <cell r="D27" t="str">
            <v>Independence(A+, A, A-,, U)</v>
          </cell>
          <cell r="H27" t="str">
            <v/>
          </cell>
          <cell r="FD27" t="str">
            <v>JP7140001010382</v>
          </cell>
          <cell r="FE27" t="str">
            <v>exclude</v>
          </cell>
          <cell r="FF27" t="str">
            <v>Independence(A+, A, A-, U)</v>
          </cell>
        </row>
        <row r="28">
          <cell r="B28" t="str">
            <v>Sunstar INC</v>
          </cell>
          <cell r="C28" t="str">
            <v>exclude</v>
          </cell>
          <cell r="D28" t="str">
            <v>Insufficient financial data</v>
          </cell>
          <cell r="H28" t="str">
            <v/>
          </cell>
          <cell r="FD28" t="str">
            <v>JP8120901011027</v>
          </cell>
          <cell r="FE28" t="str">
            <v>exclude</v>
          </cell>
          <cell r="FF28" t="str">
            <v>Insufficient financial data</v>
          </cell>
        </row>
        <row r="29">
          <cell r="B29" t="str">
            <v>Kolmar Korea Holdings Co.,Ltd</v>
          </cell>
          <cell r="C29" t="str">
            <v>exclude</v>
          </cell>
          <cell r="D29" t="str">
            <v>Independence(A+, A, A-,, U)</v>
          </cell>
          <cell r="H29" t="str">
            <v/>
          </cell>
          <cell r="FD29" t="str">
            <v>KR1647110001591</v>
          </cell>
          <cell r="FE29" t="str">
            <v>exclude</v>
          </cell>
          <cell r="FF29" t="str">
            <v>Independence(A+, A, A-, U)</v>
          </cell>
        </row>
        <row r="30">
          <cell r="B30" t="str">
            <v>Mandom Corporation</v>
          </cell>
          <cell r="C30" t="str">
            <v>exclude</v>
          </cell>
          <cell r="D30" t="str">
            <v>lev SDA/SDP</v>
          </cell>
          <cell r="H30" t="str">
            <v/>
          </cell>
          <cell r="FD30" t="str">
            <v>JP1120001090234</v>
          </cell>
          <cell r="FE30" t="str">
            <v>exclude</v>
          </cell>
          <cell r="FF30" t="str">
            <v>lev SDA/SDP</v>
          </cell>
        </row>
        <row r="31">
          <cell r="B31" t="str">
            <v>Syoung Group Co., Ltd.</v>
          </cell>
          <cell r="C31" t="str">
            <v>exclude</v>
          </cell>
          <cell r="D31" t="str">
            <v>Independence(A+, A, A-,, U)</v>
          </cell>
          <cell r="H31" t="str">
            <v/>
          </cell>
          <cell r="FD31" t="str">
            <v>CN49067PC</v>
          </cell>
          <cell r="FE31" t="str">
            <v>exclude</v>
          </cell>
          <cell r="FF31" t="str">
            <v>Independence(A+, A, A-, U)</v>
          </cell>
        </row>
        <row r="32">
          <cell r="B32" t="str">
            <v>Zhejiang Daily Digital Culture Group Co.,Ltd.</v>
          </cell>
          <cell r="C32" t="str">
            <v>exclude</v>
          </cell>
          <cell r="D32" t="str">
            <v>Independence(A+, A, A-,, U)</v>
          </cell>
          <cell r="H32" t="str">
            <v/>
          </cell>
          <cell r="FD32" t="str">
            <v>CN30575PC</v>
          </cell>
          <cell r="FE32" t="str">
            <v>exclude</v>
          </cell>
          <cell r="FF32" t="str">
            <v>Independence(A+, A, A-, U)</v>
          </cell>
        </row>
        <row r="33">
          <cell r="B33" t="str">
            <v>DKS CO LTD</v>
          </cell>
          <cell r="C33" t="str">
            <v>exclude</v>
          </cell>
          <cell r="D33" t="str">
            <v>lev SDA/SDP</v>
          </cell>
          <cell r="H33" t="str">
            <v/>
          </cell>
          <cell r="FD33" t="str">
            <v>JP7130001017809</v>
          </cell>
          <cell r="FE33" t="str">
            <v>exclude</v>
          </cell>
          <cell r="FF33" t="str">
            <v>lev SDA/SDP</v>
          </cell>
        </row>
        <row r="34">
          <cell r="B34" t="str">
            <v>Lonkey Industrial Co.,Ltd.Guangzhou</v>
          </cell>
          <cell r="C34" t="str">
            <v>exclude</v>
          </cell>
          <cell r="D34" t="str">
            <v>Independence(A+, A, A-,, U)</v>
          </cell>
          <cell r="H34" t="str">
            <v/>
          </cell>
          <cell r="FD34" t="str">
            <v>CN30338PC</v>
          </cell>
          <cell r="FE34" t="str">
            <v>exclude</v>
          </cell>
          <cell r="FF34" t="str">
            <v>Independence(A+, A, A-, U)</v>
          </cell>
        </row>
        <row r="35">
          <cell r="B35" t="str">
            <v>Cosmax BTI Inc.</v>
          </cell>
          <cell r="C35" t="str">
            <v>exclude</v>
          </cell>
          <cell r="D35" t="str">
            <v>Independence(A+, A, A-,, U)</v>
          </cell>
          <cell r="H35" t="str">
            <v/>
          </cell>
          <cell r="FD35" t="str">
            <v>KR1348110018641</v>
          </cell>
          <cell r="FE35" t="str">
            <v>exclude</v>
          </cell>
          <cell r="FF35" t="str">
            <v>Independence(A+, A, A-, U)</v>
          </cell>
        </row>
        <row r="36">
          <cell r="B36" t="str">
            <v>Aekyung Industrial Co.,Ltd.</v>
          </cell>
          <cell r="C36" t="str">
            <v>exclude</v>
          </cell>
          <cell r="D36" t="str">
            <v>Independence(A+, A, A-,, U)</v>
          </cell>
          <cell r="H36" t="str">
            <v/>
          </cell>
          <cell r="FD36" t="str">
            <v>KR1101110398275</v>
          </cell>
          <cell r="FE36" t="str">
            <v>exclude</v>
          </cell>
          <cell r="FF36" t="str">
            <v>Independence(A+, A, A-, U)</v>
          </cell>
        </row>
        <row r="37">
          <cell r="B37" t="str">
            <v>Procter &amp; Gamble Hygiene and Health Care Limited</v>
          </cell>
          <cell r="C37" t="str">
            <v>exclude</v>
          </cell>
          <cell r="D37" t="str">
            <v>Independence(A+, A, A-,, U)</v>
          </cell>
          <cell r="H37" t="str">
            <v/>
          </cell>
          <cell r="FD37" t="str">
            <v>IN30850FI</v>
          </cell>
          <cell r="FE37" t="str">
            <v>exclude</v>
          </cell>
          <cell r="FF37" t="str">
            <v>Independence(A+, A, A-, U)</v>
          </cell>
        </row>
        <row r="38">
          <cell r="B38" t="str">
            <v>Ci:Z Holdings CO LTD</v>
          </cell>
          <cell r="C38" t="str">
            <v>exclude</v>
          </cell>
          <cell r="D38" t="str">
            <v>Independence(A+, A, A-,, U)</v>
          </cell>
          <cell r="H38" t="str">
            <v/>
          </cell>
          <cell r="FD38" t="str">
            <v>JP9011001031850</v>
          </cell>
          <cell r="FE38" t="str">
            <v>exclude</v>
          </cell>
          <cell r="FF38" t="str">
            <v>Independence(A+, A, A-, U)</v>
          </cell>
        </row>
        <row r="39">
          <cell r="B39" t="str">
            <v>Noevir Holdings CO LTD</v>
          </cell>
          <cell r="C39" t="str">
            <v>exclude</v>
          </cell>
          <cell r="D39" t="str">
            <v>Independence(A+, A, A-,, U)</v>
          </cell>
          <cell r="H39" t="str">
            <v/>
          </cell>
          <cell r="FD39" t="str">
            <v>JP3140001034179</v>
          </cell>
          <cell r="FE39" t="str">
            <v>exclude</v>
          </cell>
          <cell r="FF39" t="str">
            <v>Independence(A+, A, A-, U)</v>
          </cell>
        </row>
        <row r="40">
          <cell r="B40" t="str">
            <v>PT Unggul Indah Cahaya TBK</v>
          </cell>
          <cell r="C40" t="str">
            <v>exclude</v>
          </cell>
          <cell r="D40" t="str">
            <v>Independence(A+, A, A-,, U)</v>
          </cell>
          <cell r="H40" t="str">
            <v/>
          </cell>
          <cell r="FD40" t="str">
            <v>ID30111FD</v>
          </cell>
          <cell r="FE40" t="str">
            <v>exclude</v>
          </cell>
          <cell r="FF40" t="str">
            <v>Independence(A+, A, A-, U)</v>
          </cell>
        </row>
        <row r="41">
          <cell r="B41" t="str">
            <v>Toho Chemical Industry Company, Limited</v>
          </cell>
          <cell r="C41" t="str">
            <v>exclude</v>
          </cell>
          <cell r="D41" t="str">
            <v>lev SDA/SDP</v>
          </cell>
          <cell r="H41" t="str">
            <v/>
          </cell>
          <cell r="FD41" t="str">
            <v>JP5010001034850</v>
          </cell>
          <cell r="FE41" t="str">
            <v>exclude</v>
          </cell>
          <cell r="FF41" t="str">
            <v>lev SDA/SDP</v>
          </cell>
        </row>
        <row r="42">
          <cell r="B42" t="str">
            <v>Milbon CO LTD</v>
          </cell>
          <cell r="C42" t="str">
            <v>exclude</v>
          </cell>
          <cell r="D42" t="str">
            <v>lev SDA/SDP</v>
          </cell>
          <cell r="H42" t="str">
            <v/>
          </cell>
          <cell r="FD42" t="str">
            <v>JP3120001001206</v>
          </cell>
          <cell r="FE42" t="str">
            <v>exclude</v>
          </cell>
          <cell r="FF42" t="str">
            <v>lev SDA/SDP</v>
          </cell>
        </row>
        <row r="43">
          <cell r="B43" t="str">
            <v>Tayca Corporation</v>
          </cell>
          <cell r="C43" t="str">
            <v>exclude</v>
          </cell>
          <cell r="D43" t="str">
            <v>lev SDA/SDP</v>
          </cell>
          <cell r="H43" t="str">
            <v/>
          </cell>
          <cell r="FD43" t="str">
            <v>JP7120001027825</v>
          </cell>
          <cell r="FE43" t="str">
            <v>exclude</v>
          </cell>
          <cell r="FF43" t="str">
            <v>lev SDA/SDP</v>
          </cell>
        </row>
        <row r="44">
          <cell r="B44" t="str">
            <v>Shenzhen Selen Science &amp; Technology Company Limited</v>
          </cell>
          <cell r="C44" t="str">
            <v>exclude</v>
          </cell>
          <cell r="D44" t="str">
            <v>lev SDA/SDP</v>
          </cell>
          <cell r="H44" t="str">
            <v/>
          </cell>
          <cell r="FD44" t="str">
            <v>CN32119PC</v>
          </cell>
          <cell r="FE44" t="str">
            <v>exclude</v>
          </cell>
          <cell r="FF44" t="str">
            <v>lev SDA/SDP</v>
          </cell>
        </row>
        <row r="45">
          <cell r="B45" t="str">
            <v>Ya-Man LTD</v>
          </cell>
          <cell r="C45" t="str">
            <v>exclude</v>
          </cell>
          <cell r="D45" t="str">
            <v>lev SDA/SDP</v>
          </cell>
          <cell r="H45" t="str">
            <v/>
          </cell>
          <cell r="FD45" t="str">
            <v>JP5010601020184</v>
          </cell>
          <cell r="FE45" t="str">
            <v>exclude</v>
          </cell>
          <cell r="FF45" t="str">
            <v>lev SDA/SDP</v>
          </cell>
        </row>
        <row r="46">
          <cell r="B46" t="str">
            <v>Cosmecca Korea Co.,Ltd.</v>
          </cell>
          <cell r="C46" t="str">
            <v>exclude</v>
          </cell>
          <cell r="D46" t="str">
            <v>Independence(A+, A, A-,, U)</v>
          </cell>
          <cell r="H46" t="str">
            <v/>
          </cell>
          <cell r="FD46" t="str">
            <v>KR1545110016091</v>
          </cell>
          <cell r="FE46" t="str">
            <v>exclude</v>
          </cell>
          <cell r="FF46" t="str">
            <v>Independence(A+, A, A-, U)</v>
          </cell>
        </row>
        <row r="47">
          <cell r="B47" t="str">
            <v>Hemas Holdings PLC</v>
          </cell>
          <cell r="C47" t="str">
            <v>exclude</v>
          </cell>
          <cell r="D47" t="str">
            <v>lev SDA/SDP</v>
          </cell>
          <cell r="H47" t="str">
            <v/>
          </cell>
          <cell r="FD47" t="str">
            <v>LK30229FS</v>
          </cell>
          <cell r="FE47" t="str">
            <v>exclude</v>
          </cell>
          <cell r="FF47" t="str">
            <v>lev SDA/SDP</v>
          </cell>
        </row>
        <row r="48">
          <cell r="B48" t="str">
            <v>Artnature INC</v>
          </cell>
          <cell r="C48" t="str">
            <v>exclude</v>
          </cell>
          <cell r="D48" t="str">
            <v>lev SDA/SDP</v>
          </cell>
          <cell r="H48" t="str">
            <v/>
          </cell>
          <cell r="FD48" t="str">
            <v>JP9011001000392</v>
          </cell>
          <cell r="FE48" t="str">
            <v>exclude</v>
          </cell>
          <cell r="FF48" t="str">
            <v>lev SDA/SDP</v>
          </cell>
        </row>
        <row r="49">
          <cell r="B49" t="str">
            <v>Colgate-Palmolive (Pakistan) LTD</v>
          </cell>
          <cell r="C49" t="str">
            <v>exclude</v>
          </cell>
          <cell r="D49" t="str">
            <v>Independence(A+, A, A-,, U)</v>
          </cell>
          <cell r="H49" t="str">
            <v/>
          </cell>
          <cell r="FD49" t="str">
            <v>PK0005832</v>
          </cell>
          <cell r="FE49" t="str">
            <v>exclude</v>
          </cell>
          <cell r="FF49" t="str">
            <v>Independence(A+, A, A-, U)</v>
          </cell>
        </row>
        <row r="50">
          <cell r="B50" t="str">
            <v>Miwon Commercial Co.,Ltd.</v>
          </cell>
          <cell r="C50" t="str">
            <v>exclude</v>
          </cell>
          <cell r="D50" t="str">
            <v>lev SDA/SDP</v>
          </cell>
          <cell r="H50" t="str">
            <v/>
          </cell>
          <cell r="FD50" t="str">
            <v>KR1301110007707</v>
          </cell>
          <cell r="FE50" t="str">
            <v>exclude</v>
          </cell>
          <cell r="FF50" t="str">
            <v>lev SDA/SDP</v>
          </cell>
        </row>
        <row r="51">
          <cell r="B51" t="str">
            <v>Jyothy Labs Limited</v>
          </cell>
          <cell r="C51" t="str">
            <v>exclude</v>
          </cell>
          <cell r="D51" t="str">
            <v>Independence(A+, A, A-,, U)</v>
          </cell>
          <cell r="H51" t="str">
            <v/>
          </cell>
          <cell r="FD51" t="str">
            <v>IN33772FI</v>
          </cell>
          <cell r="FE51" t="str">
            <v>exclude</v>
          </cell>
          <cell r="FF51" t="str">
            <v>Independence(A+, A, A-, U)</v>
          </cell>
        </row>
        <row r="52">
          <cell r="B52" t="str">
            <v>Soft99corporation</v>
          </cell>
          <cell r="C52" t="str">
            <v>exclude</v>
          </cell>
          <cell r="D52" t="str">
            <v>lev SDA/SDP</v>
          </cell>
          <cell r="H52" t="str">
            <v/>
          </cell>
          <cell r="FD52" t="str">
            <v>JP8120001083009</v>
          </cell>
          <cell r="FE52" t="str">
            <v>exclude</v>
          </cell>
          <cell r="FF52" t="str">
            <v>lev SDA/SDP</v>
          </cell>
        </row>
        <row r="53">
          <cell r="B53" t="str">
            <v>Able C &amp; C Co.,Ltd.</v>
          </cell>
          <cell r="C53" t="str">
            <v>exclude</v>
          </cell>
          <cell r="D53" t="str">
            <v>Independence(A+, A, A-,, U)</v>
          </cell>
          <cell r="H53" t="str">
            <v/>
          </cell>
          <cell r="FD53" t="str">
            <v>KR1101111846174</v>
          </cell>
          <cell r="FE53" t="str">
            <v>exclude</v>
          </cell>
          <cell r="FF53" t="str">
            <v>Independence(A+, A, A-, U)</v>
          </cell>
        </row>
        <row r="54">
          <cell r="B54" t="str">
            <v>Avon Products Company Limited</v>
          </cell>
          <cell r="C54" t="str">
            <v>exclude</v>
          </cell>
          <cell r="D54" t="str">
            <v>Insufficient financial data</v>
          </cell>
          <cell r="H54" t="str">
            <v/>
          </cell>
          <cell r="FD54" t="str">
            <v>JP6011101002779</v>
          </cell>
          <cell r="FE54" t="str">
            <v>exclude</v>
          </cell>
          <cell r="FF54" t="str">
            <v>Insufficient financial data</v>
          </cell>
        </row>
        <row r="55">
          <cell r="B55" t="str">
            <v>Afc-Hd AMS Life Science Co.,Ltd.</v>
          </cell>
          <cell r="C55" t="str">
            <v>Include before</v>
          </cell>
          <cell r="H55">
            <v>8.6139295218887996E-2</v>
          </cell>
          <cell r="FD55" t="str">
            <v>JP3080001005054</v>
          </cell>
          <cell r="FE55" t="str">
            <v>Include before</v>
          </cell>
        </row>
        <row r="56">
          <cell r="B56" t="str">
            <v>Clio Cosmetics Co.,Ltd.</v>
          </cell>
          <cell r="C56" t="str">
            <v>exclude</v>
          </cell>
          <cell r="D56" t="str">
            <v>Independence(A+, A, A-,, U)</v>
          </cell>
          <cell r="H56" t="str">
            <v/>
          </cell>
          <cell r="FD56" t="str">
            <v>KR1101111421273</v>
          </cell>
          <cell r="FE56" t="str">
            <v>exclude</v>
          </cell>
          <cell r="FF56" t="str">
            <v>Independence(A+, A, A-, U)</v>
          </cell>
        </row>
        <row r="57">
          <cell r="B57" t="str">
            <v>HWA TSU Cosmetic Company Limited</v>
          </cell>
          <cell r="C57" t="str">
            <v>exclude</v>
          </cell>
          <cell r="D57" t="str">
            <v>Insufficient financial data</v>
          </cell>
          <cell r="H57" t="str">
            <v/>
          </cell>
          <cell r="FD57" t="str">
            <v>TW36260296</v>
          </cell>
          <cell r="FE57" t="str">
            <v>exclude</v>
          </cell>
          <cell r="FF57" t="str">
            <v>Insufficient financial data</v>
          </cell>
        </row>
        <row r="58">
          <cell r="B58" t="str">
            <v>Niitaka CO LTD</v>
          </cell>
          <cell r="C58" t="str">
            <v>exclude</v>
          </cell>
          <cell r="D58" t="str">
            <v>lev SDA/SDP</v>
          </cell>
          <cell r="H58" t="str">
            <v/>
          </cell>
          <cell r="FD58" t="str">
            <v>JP9120001056079</v>
          </cell>
          <cell r="FE58" t="str">
            <v>exclude</v>
          </cell>
          <cell r="FF58" t="str">
            <v>lev SDA/SDP</v>
          </cell>
        </row>
        <row r="59">
          <cell r="B59" t="str">
            <v>Wuhan Chuangjie Gongmao Xihua Co.,Ltd.</v>
          </cell>
          <cell r="C59" t="str">
            <v>exclude</v>
          </cell>
          <cell r="D59" t="str">
            <v>Independence(A+, A, A-,, U)</v>
          </cell>
          <cell r="H59" t="str">
            <v/>
          </cell>
          <cell r="FD59" t="str">
            <v>CN47967PC</v>
          </cell>
          <cell r="FE59" t="str">
            <v>exclude</v>
          </cell>
          <cell r="FF59" t="str">
            <v>Independence(A+, A, A-, U)</v>
          </cell>
        </row>
        <row r="60">
          <cell r="B60" t="str">
            <v>S &amp; J International Enterprises PCL</v>
          </cell>
          <cell r="C60" t="str">
            <v>include before</v>
          </cell>
          <cell r="E60" t="str">
            <v>化妆品</v>
          </cell>
          <cell r="H60">
            <v>3.9193442680985999E-2</v>
          </cell>
          <cell r="FD60" t="str">
            <v>TH0107537001366</v>
          </cell>
          <cell r="FE60" t="str">
            <v>include before</v>
          </cell>
        </row>
        <row r="61">
          <cell r="B61" t="str">
            <v>Lafang China Co.,Ltd</v>
          </cell>
          <cell r="C61" t="str">
            <v>exclude</v>
          </cell>
          <cell r="D61" t="str">
            <v>Independence(A+, A, A-,, U)</v>
          </cell>
          <cell r="H61" t="str">
            <v/>
          </cell>
          <cell r="FD61" t="str">
            <v>CN49215PC</v>
          </cell>
          <cell r="FE61" t="str">
            <v>exclude</v>
          </cell>
          <cell r="FF61" t="str">
            <v>Independence(A+, A, A-, U)</v>
          </cell>
        </row>
        <row r="62">
          <cell r="B62" t="str">
            <v>Soda Aromatic CO LTD</v>
          </cell>
          <cell r="C62" t="str">
            <v>exclude</v>
          </cell>
          <cell r="D62" t="str">
            <v>Independence(A+, A, A-,, U)</v>
          </cell>
          <cell r="H62" t="str">
            <v/>
          </cell>
          <cell r="FD62" t="str">
            <v>JP7010001048519</v>
          </cell>
          <cell r="FE62" t="str">
            <v>exclude</v>
          </cell>
          <cell r="FF62" t="str">
            <v>Independence(A+, A, A-, U)</v>
          </cell>
        </row>
        <row r="63">
          <cell r="B63" t="str">
            <v>PT Mandom Indonesia TBK</v>
          </cell>
          <cell r="C63" t="str">
            <v>exclude</v>
          </cell>
          <cell r="D63" t="str">
            <v>Independence(A+, A, A-,, U)</v>
          </cell>
          <cell r="H63" t="str">
            <v/>
          </cell>
          <cell r="FD63" t="str">
            <v>ID30070FD</v>
          </cell>
          <cell r="FE63" t="str">
            <v>exclude</v>
          </cell>
          <cell r="FF63" t="str">
            <v>Independence(A+, A, A-, U)</v>
          </cell>
        </row>
        <row r="64">
          <cell r="B64" t="str">
            <v>Habalaboratories,Inc.</v>
          </cell>
          <cell r="C64" t="str">
            <v>exclude</v>
          </cell>
          <cell r="D64" t="str">
            <v>Independence(A+, A, A-,, U)</v>
          </cell>
          <cell r="H64" t="str">
            <v/>
          </cell>
          <cell r="FD64" t="str">
            <v>JP5010001066200</v>
          </cell>
          <cell r="FE64" t="str">
            <v>exclude</v>
          </cell>
          <cell r="FF64" t="str">
            <v>Independence(A+, A, A-, U)</v>
          </cell>
        </row>
        <row r="65">
          <cell r="B65" t="str">
            <v>Itshanbul Co.,Ltd.</v>
          </cell>
          <cell r="C65" t="str">
            <v>exclude</v>
          </cell>
          <cell r="D65" t="str">
            <v>Independence(A+, A, A-,, U)</v>
          </cell>
          <cell r="H65" t="str">
            <v/>
          </cell>
          <cell r="FD65" t="str">
            <v>KR1101113394048</v>
          </cell>
          <cell r="FE65" t="str">
            <v>exclude</v>
          </cell>
          <cell r="FF65" t="str">
            <v>Independence(A+, A, A-, U)</v>
          </cell>
        </row>
        <row r="66">
          <cell r="B66" t="str">
            <v>LIX Detergent Joint Stock Company</v>
          </cell>
          <cell r="C66" t="str">
            <v>exclude</v>
          </cell>
          <cell r="D66" t="str">
            <v>Independence(A+, A, A-,, U)</v>
          </cell>
          <cell r="H66" t="str">
            <v/>
          </cell>
          <cell r="FD66" t="str">
            <v>VN4103001845</v>
          </cell>
          <cell r="FE66" t="str">
            <v>exclude</v>
          </cell>
          <cell r="FF66" t="str">
            <v>Independence(A+, A, A-, U)</v>
          </cell>
        </row>
        <row r="67">
          <cell r="B67" t="str">
            <v>Liuzhou Liangmianzhen Co.,Ltd.</v>
          </cell>
          <cell r="C67" t="str">
            <v>exclude</v>
          </cell>
          <cell r="D67" t="str">
            <v>Independence(A+, A, A-,, U)</v>
          </cell>
          <cell r="H67" t="str">
            <v/>
          </cell>
          <cell r="FD67" t="str">
            <v>CN31584PC</v>
          </cell>
          <cell r="FE67" t="str">
            <v>exclude</v>
          </cell>
          <cell r="FF67" t="str">
            <v>Independence(A+, A, A-, U)</v>
          </cell>
        </row>
        <row r="68">
          <cell r="B68" t="str">
            <v>Keya Cosmetics LTD</v>
          </cell>
          <cell r="C68" t="str">
            <v>exclude</v>
          </cell>
          <cell r="D68" t="str">
            <v>Independence(A+, A, A-,, U)</v>
          </cell>
          <cell r="H68" t="str">
            <v/>
          </cell>
          <cell r="FD68" t="str">
            <v>BD30186FE</v>
          </cell>
          <cell r="FE68" t="str">
            <v>exclude</v>
          </cell>
          <cell r="FF68" t="str">
            <v>Independence(A+, A, A-, U)</v>
          </cell>
        </row>
        <row r="69">
          <cell r="B69" t="str">
            <v>SD Biotechnologies Co., Ltd.</v>
          </cell>
          <cell r="C69" t="str">
            <v>exclude</v>
          </cell>
          <cell r="D69" t="str">
            <v>Independence(A+, A, A-,, U)</v>
          </cell>
          <cell r="H69" t="str">
            <v/>
          </cell>
          <cell r="FD69" t="str">
            <v>KR1101113971466</v>
          </cell>
          <cell r="FE69" t="str">
            <v>exclude</v>
          </cell>
          <cell r="FF69" t="str">
            <v>Independence(A+, A, A-, U)</v>
          </cell>
        </row>
        <row r="70">
          <cell r="B70" t="str">
            <v>Mingchen Health Co.,Ltd.</v>
          </cell>
          <cell r="C70" t="str">
            <v>exclude</v>
          </cell>
          <cell r="D70" t="str">
            <v>Independence(A+, A, A-,, U)</v>
          </cell>
          <cell r="H70" t="str">
            <v/>
          </cell>
          <cell r="FD70" t="str">
            <v>CN49272PC</v>
          </cell>
          <cell r="FE70" t="str">
            <v>exclude</v>
          </cell>
          <cell r="FF70" t="str">
            <v>Independence(A+, A, A-, U)</v>
          </cell>
        </row>
        <row r="71">
          <cell r="B71" t="str">
            <v>Unza Holdings BHD</v>
          </cell>
          <cell r="C71" t="str">
            <v>exclude</v>
          </cell>
          <cell r="D71" t="str">
            <v>Insufficient financial data</v>
          </cell>
          <cell r="H71" t="str">
            <v/>
          </cell>
          <cell r="FD71" t="str">
            <v>MY250927-K</v>
          </cell>
          <cell r="FE71" t="str">
            <v>exclude</v>
          </cell>
          <cell r="FF71" t="str">
            <v>Insufficient financial data</v>
          </cell>
        </row>
        <row r="72">
          <cell r="B72" t="str">
            <v>Paos Holdings Berhad</v>
          </cell>
          <cell r="C72" t="str">
            <v>exclude</v>
          </cell>
          <cell r="D72" t="str">
            <v>Independence(A+, A, A-,, U)</v>
          </cell>
          <cell r="H72" t="str">
            <v/>
          </cell>
          <cell r="FD72" t="str">
            <v>MY452536-W</v>
          </cell>
          <cell r="FE72" t="str">
            <v>exclude</v>
          </cell>
          <cell r="FF72" t="str">
            <v>Independence(A+, A, A-, U)</v>
          </cell>
        </row>
        <row r="73">
          <cell r="B73" t="str">
            <v>CTK Cosmetics Co., Ltd.</v>
          </cell>
          <cell r="C73" t="str">
            <v>exclude</v>
          </cell>
          <cell r="D73" t="str">
            <v>Independence(A+, A, A-,, U)</v>
          </cell>
          <cell r="H73" t="str">
            <v/>
          </cell>
          <cell r="FD73" t="str">
            <v>KR1101112233560</v>
          </cell>
          <cell r="FE73" t="str">
            <v>exclude</v>
          </cell>
          <cell r="FF73" t="str">
            <v>Independence(A+, A, A-, U)</v>
          </cell>
        </row>
        <row r="74">
          <cell r="B74" t="str">
            <v>Tonymoly Co.,Ltd.</v>
          </cell>
          <cell r="C74" t="str">
            <v>exclude</v>
          </cell>
          <cell r="D74" t="str">
            <v>Independence(A+, A, A-,, U)</v>
          </cell>
          <cell r="H74" t="str">
            <v/>
          </cell>
          <cell r="FD74" t="str">
            <v>KR1101113500249</v>
          </cell>
          <cell r="FE74" t="str">
            <v>exclude</v>
          </cell>
          <cell r="FF74" t="str">
            <v>Independence(A+, A, A-, U)</v>
          </cell>
        </row>
        <row r="75">
          <cell r="B75" t="str">
            <v>Hyundai Bioland Co.,Ltd.</v>
          </cell>
          <cell r="C75" t="str">
            <v>exclude</v>
          </cell>
          <cell r="D75" t="str">
            <v>Independence(A+, A, A-,, U)</v>
          </cell>
          <cell r="H75" t="str">
            <v/>
          </cell>
          <cell r="FD75" t="str">
            <v>KR1101111192981</v>
          </cell>
          <cell r="FE75" t="str">
            <v>exclude</v>
          </cell>
          <cell r="FF75" t="str">
            <v>Independence(A+, A, A-, U)</v>
          </cell>
        </row>
        <row r="76">
          <cell r="B76" t="str">
            <v>Nippon Shikizai INC</v>
          </cell>
          <cell r="C76" t="str">
            <v>Include before</v>
          </cell>
          <cell r="H76">
            <v>-2.4161154630584301E-2</v>
          </cell>
          <cell r="FD76" t="str">
            <v>JP1010401022715</v>
          </cell>
          <cell r="FE76" t="str">
            <v>Include before</v>
          </cell>
        </row>
        <row r="77">
          <cell r="B77" t="str">
            <v>Sanitar Co., Ltd.</v>
          </cell>
          <cell r="C77" t="str">
            <v>exclude</v>
          </cell>
          <cell r="D77" t="str">
            <v>lev SDA/SDP</v>
          </cell>
          <cell r="H77" t="str">
            <v/>
          </cell>
          <cell r="FD77" t="str">
            <v>TW22746550</v>
          </cell>
          <cell r="FE77" t="str">
            <v>exclude</v>
          </cell>
          <cell r="FF77" t="str">
            <v>lev SDA/SDP</v>
          </cell>
        </row>
        <row r="78">
          <cell r="B78" t="str">
            <v>C'Bon Cosmetics CO LTD</v>
          </cell>
          <cell r="C78" t="str">
            <v>exclude</v>
          </cell>
          <cell r="D78" t="str">
            <v>Consecutive loss</v>
          </cell>
          <cell r="H78" t="str">
            <v/>
          </cell>
          <cell r="FD78" t="str">
            <v>JP4010401012787</v>
          </cell>
          <cell r="FE78" t="str">
            <v>exclude</v>
          </cell>
          <cell r="FF78" t="str">
            <v>Consecutive loss</v>
          </cell>
        </row>
        <row r="79">
          <cell r="B79" t="str">
            <v>Splash Corporation</v>
          </cell>
          <cell r="C79" t="str">
            <v>exclude</v>
          </cell>
          <cell r="D79" t="str">
            <v>Independence(A+, A, A-,, U)</v>
          </cell>
          <cell r="H79" t="str">
            <v/>
          </cell>
          <cell r="FD79" t="str">
            <v>PHAS09196206</v>
          </cell>
          <cell r="FE79" t="str">
            <v>exclude</v>
          </cell>
          <cell r="FF79" t="str">
            <v>Independence(A+, A, A-, U)</v>
          </cell>
        </row>
        <row r="80">
          <cell r="B80" t="str">
            <v>C&amp;C International Co., Ltd.</v>
          </cell>
          <cell r="C80" t="str">
            <v>exclude</v>
          </cell>
          <cell r="D80" t="str">
            <v>Independence(A+, A, A-,, U)</v>
          </cell>
          <cell r="H80" t="str">
            <v/>
          </cell>
          <cell r="FD80" t="str">
            <v>KR1358110238402</v>
          </cell>
          <cell r="FE80" t="str">
            <v>exclude</v>
          </cell>
          <cell r="FF80" t="str">
            <v>Independence(A+, A, A-, U)</v>
          </cell>
        </row>
        <row r="81">
          <cell r="B81" t="str">
            <v>Neopharm Co.,Ltd.</v>
          </cell>
          <cell r="C81" t="str">
            <v>exclude</v>
          </cell>
          <cell r="D81" t="str">
            <v>Independence(A+, A, A-,, U)</v>
          </cell>
          <cell r="H81" t="str">
            <v/>
          </cell>
          <cell r="FD81" t="str">
            <v>KR1601110100688</v>
          </cell>
          <cell r="FE81" t="str">
            <v>exclude</v>
          </cell>
          <cell r="FF81" t="str">
            <v>Independence(A+, A, A-, U)</v>
          </cell>
        </row>
        <row r="82">
          <cell r="B82" t="str">
            <v>Coreana Cosmetics Co.,Ltd.</v>
          </cell>
          <cell r="C82" t="str">
            <v>include before</v>
          </cell>
          <cell r="E82" t="str">
            <v>化妆品</v>
          </cell>
          <cell r="H82">
            <v>1.98502083579815E-2</v>
          </cell>
          <cell r="FD82" t="str">
            <v>KR1101110597166</v>
          </cell>
          <cell r="FE82" t="str">
            <v>include before</v>
          </cell>
        </row>
        <row r="83">
          <cell r="B83" t="str">
            <v>KCI Co.,Ltd.</v>
          </cell>
          <cell r="C83" t="str">
            <v>exclude</v>
          </cell>
          <cell r="D83" t="str">
            <v>Independence(A+, A, A-,, U)</v>
          </cell>
          <cell r="H83" t="str">
            <v/>
          </cell>
          <cell r="FD83" t="str">
            <v>KR1244110011884</v>
          </cell>
          <cell r="FE83" t="str">
            <v>exclude</v>
          </cell>
          <cell r="FF83" t="str">
            <v>Independence(A+, A, A-, U)</v>
          </cell>
        </row>
        <row r="84">
          <cell r="B84" t="str">
            <v>Coloray International Investment CO Limited</v>
          </cell>
          <cell r="C84" t="str">
            <v>exclude</v>
          </cell>
          <cell r="D84" t="str">
            <v>Independence(A+, A, A-,, U)</v>
          </cell>
          <cell r="H84" t="str">
            <v/>
          </cell>
          <cell r="FD84" t="str">
            <v>HK42121FK</v>
          </cell>
          <cell r="FE84" t="str">
            <v>exclude</v>
          </cell>
          <cell r="FF84" t="str">
            <v>Independence(A+, A, A-, U)</v>
          </cell>
        </row>
        <row r="85">
          <cell r="B85" t="str">
            <v>Cong TY CO Phan BOT Giat NET</v>
          </cell>
          <cell r="C85" t="str">
            <v>exclude</v>
          </cell>
          <cell r="D85" t="str">
            <v>Independence(A+, A, A-,, U)</v>
          </cell>
          <cell r="H85" t="str">
            <v/>
          </cell>
          <cell r="FD85" t="str">
            <v>VN4703000053</v>
          </cell>
          <cell r="FE85" t="str">
            <v>exclude</v>
          </cell>
          <cell r="FF85" t="str">
            <v>Independence(A+, A, A-, U)</v>
          </cell>
        </row>
        <row r="86">
          <cell r="B86" t="str">
            <v>Cota Co.,Ltd.</v>
          </cell>
          <cell r="C86" t="str">
            <v>exclude</v>
          </cell>
          <cell r="D86" t="str">
            <v>Insufficient financial data</v>
          </cell>
          <cell r="H86" t="str">
            <v/>
          </cell>
          <cell r="FD86" t="str">
            <v>JP9130001033317</v>
          </cell>
          <cell r="FE86" t="str">
            <v>exclude</v>
          </cell>
          <cell r="FF86" t="str">
            <v>Insufficient financial data</v>
          </cell>
        </row>
        <row r="87">
          <cell r="B87" t="str">
            <v>TS Trillion CO LTD</v>
          </cell>
          <cell r="C87" t="str">
            <v>exclude</v>
          </cell>
          <cell r="D87" t="str">
            <v>Insufficient financial data</v>
          </cell>
          <cell r="H87" t="str">
            <v/>
          </cell>
          <cell r="FD87" t="str">
            <v>KR1101113737371</v>
          </cell>
          <cell r="FE87" t="str">
            <v>exclude</v>
          </cell>
          <cell r="FF87" t="str">
            <v>Insufficient financial data</v>
          </cell>
        </row>
        <row r="88">
          <cell r="B88" t="str">
            <v>I Family SC Co.,Ltd.</v>
          </cell>
          <cell r="C88" t="str">
            <v>exclude</v>
          </cell>
          <cell r="D88" t="str">
            <v>Independence(A+, A, A-,, U)</v>
          </cell>
          <cell r="H88" t="str">
            <v/>
          </cell>
          <cell r="FD88" t="str">
            <v>KR1101111892333</v>
          </cell>
          <cell r="FE88" t="str">
            <v>exclude</v>
          </cell>
          <cell r="FF88" t="str">
            <v>Independence(A+, A, A-, U)</v>
          </cell>
        </row>
        <row r="89">
          <cell r="B89" t="str">
            <v>Medience Co., Ltd.</v>
          </cell>
          <cell r="C89" t="str">
            <v>exclude</v>
          </cell>
          <cell r="D89" t="str">
            <v>Independence(A+, A, A-,, U)</v>
          </cell>
          <cell r="H89" t="str">
            <v/>
          </cell>
          <cell r="FD89" t="str">
            <v>KR1101110252471</v>
          </cell>
          <cell r="FE89" t="str">
            <v>exclude</v>
          </cell>
          <cell r="FF89" t="str">
            <v>Independence(A+, A, A-, U)</v>
          </cell>
        </row>
        <row r="90">
          <cell r="B90" t="str">
            <v>Hankook Cosmetics Manufacturing Co.,Ltd.</v>
          </cell>
          <cell r="C90" t="str">
            <v>include before</v>
          </cell>
          <cell r="E90" t="str">
            <v>化妆品</v>
          </cell>
          <cell r="H90">
            <v>-7.8897344336891807E-3</v>
          </cell>
          <cell r="FD90" t="str">
            <v>KR1101110037427</v>
          </cell>
          <cell r="FE90" t="str">
            <v>include before</v>
          </cell>
        </row>
        <row r="91">
          <cell r="B91" t="str">
            <v>DO DAY Dream Public Company Limited</v>
          </cell>
          <cell r="C91" t="str">
            <v>exclude</v>
          </cell>
          <cell r="D91" t="str">
            <v>Independence(A+, A, A-,, U)</v>
          </cell>
          <cell r="H91" t="str">
            <v/>
          </cell>
          <cell r="FD91" t="str">
            <v>TH0107560000109</v>
          </cell>
          <cell r="FE91" t="str">
            <v>exclude</v>
          </cell>
          <cell r="FF91" t="str">
            <v>Independence(A+, A, A-, U)</v>
          </cell>
        </row>
        <row r="92">
          <cell r="B92" t="str">
            <v>Maywufa Company Ltd.</v>
          </cell>
          <cell r="C92" t="str">
            <v>newly include</v>
          </cell>
          <cell r="E92" t="str">
            <v xml:space="preserve">The company was established in 1976, and headquartered in Taipei, Taiwan.The company's products include medicines, medical equipment, nutrition and health care food, shampoo, bath milk, hair dyeing products, scented soap, hair typing products and hair care products, among others. </v>
          </cell>
          <cell r="H92">
            <v>0.17621434788573101</v>
          </cell>
          <cell r="FD92" t="str">
            <v>TW14089976</v>
          </cell>
          <cell r="FE92" t="str">
            <v>newly include</v>
          </cell>
        </row>
        <row r="93">
          <cell r="B93" t="str">
            <v>Unilever Nepal Limited</v>
          </cell>
          <cell r="C93" t="str">
            <v>exclude</v>
          </cell>
          <cell r="D93" t="str">
            <v>Independence(A+, A, A-,, U)</v>
          </cell>
          <cell r="H93" t="str">
            <v/>
          </cell>
          <cell r="FD93" t="str">
            <v>NP30013FB</v>
          </cell>
          <cell r="FE93" t="str">
            <v>exclude</v>
          </cell>
          <cell r="FF93" t="str">
            <v>Independence(A+, A, A-, U)</v>
          </cell>
        </row>
        <row r="94">
          <cell r="B94" t="str">
            <v>Kodi Co.,Ltd.</v>
          </cell>
          <cell r="C94" t="str">
            <v>exclude</v>
          </cell>
          <cell r="D94" t="str">
            <v>Independence(A+, A, A-,, U)</v>
          </cell>
          <cell r="H94" t="str">
            <v/>
          </cell>
          <cell r="FD94" t="str">
            <v>KR1301110050847</v>
          </cell>
          <cell r="FE94" t="str">
            <v>exclude</v>
          </cell>
          <cell r="FF94" t="str">
            <v>Independence(A+, A, A-, U)</v>
          </cell>
        </row>
        <row r="95">
          <cell r="B95" t="str">
            <v>Bonne Co.,Ltd.</v>
          </cell>
          <cell r="C95" t="str">
            <v>exclude</v>
          </cell>
          <cell r="D95" t="str">
            <v>Independence(A+, A, A-,, U)</v>
          </cell>
          <cell r="H95" t="str">
            <v/>
          </cell>
          <cell r="FD95" t="str">
            <v>KR1101115794478</v>
          </cell>
          <cell r="FE95" t="str">
            <v>exclude</v>
          </cell>
          <cell r="FF95" t="str">
            <v>Independence(A+, A, A-, U)</v>
          </cell>
        </row>
        <row r="96">
          <cell r="B96" t="str">
            <v>Adjuvant Holdings Co.,Ltd.</v>
          </cell>
          <cell r="C96" t="str">
            <v>exclude</v>
          </cell>
          <cell r="D96" t="str">
            <v>lev SDA/SDP</v>
          </cell>
          <cell r="H96" t="str">
            <v/>
          </cell>
          <cell r="FD96" t="str">
            <v>JP2140001015675</v>
          </cell>
          <cell r="FE96" t="str">
            <v>exclude</v>
          </cell>
          <cell r="FF96" t="str">
            <v>lev SDA/SDP</v>
          </cell>
        </row>
        <row r="97">
          <cell r="B97" t="str">
            <v>TS Trillion Co.,Ltd.</v>
          </cell>
          <cell r="C97" t="str">
            <v>exclude</v>
          </cell>
          <cell r="D97" t="str">
            <v>Independence(A+, A, A-,, U)</v>
          </cell>
          <cell r="H97" t="str">
            <v/>
          </cell>
          <cell r="FD97" t="str">
            <v>KR1101116982139</v>
          </cell>
          <cell r="FE97" t="str">
            <v>exclude</v>
          </cell>
          <cell r="FF97" t="str">
            <v>Independence(A+, A, A-, U)</v>
          </cell>
        </row>
        <row r="98">
          <cell r="B98" t="str">
            <v>Dr.Wu Skincare Co., Ltd.</v>
          </cell>
          <cell r="C98" t="str">
            <v>exclude</v>
          </cell>
          <cell r="D98" t="str">
            <v>Independence(A+, A, A-,, U)</v>
          </cell>
          <cell r="H98" t="str">
            <v/>
          </cell>
          <cell r="FD98" t="str">
            <v>TW80167706</v>
          </cell>
          <cell r="FE98" t="str">
            <v>exclude</v>
          </cell>
          <cell r="FF98" t="str">
            <v>Independence(A+, A, A-, U)</v>
          </cell>
        </row>
        <row r="99">
          <cell r="B99" t="str">
            <v>Innature Berhad</v>
          </cell>
          <cell r="C99" t="str">
            <v>exclude</v>
          </cell>
          <cell r="D99" t="str">
            <v>Independence(A+, A, A-,, U)</v>
          </cell>
          <cell r="H99" t="str">
            <v/>
          </cell>
          <cell r="FD99" t="str">
            <v>MY320598-X</v>
          </cell>
          <cell r="FE99" t="str">
            <v>exclude</v>
          </cell>
          <cell r="FF99" t="str">
            <v>Independence(A+, A, A-, U)</v>
          </cell>
        </row>
        <row r="100">
          <cell r="B100" t="str">
            <v>NOW COS Co.,Ltd.</v>
          </cell>
          <cell r="C100" t="str">
            <v>exclude</v>
          </cell>
          <cell r="D100" t="str">
            <v>Independence(A+, A, A-,, U)</v>
          </cell>
          <cell r="H100" t="str">
            <v/>
          </cell>
          <cell r="FD100" t="str">
            <v>KR1211110074525</v>
          </cell>
          <cell r="FE100" t="str">
            <v>exclude</v>
          </cell>
          <cell r="FF100" t="str">
            <v>Independence(A+, A, A-, U)</v>
          </cell>
        </row>
        <row r="101">
          <cell r="B101" t="str">
            <v>Outin Futures Co.,Ltd.</v>
          </cell>
          <cell r="C101" t="str">
            <v>exclude</v>
          </cell>
          <cell r="D101" t="str">
            <v>Independence(A+, A, A-,, U)</v>
          </cell>
          <cell r="H101" t="str">
            <v/>
          </cell>
          <cell r="FD101" t="str">
            <v>KR1101112131821</v>
          </cell>
          <cell r="FE101" t="str">
            <v>exclude</v>
          </cell>
          <cell r="FF101" t="str">
            <v>Independence(A+, A, A-, U)</v>
          </cell>
        </row>
        <row r="102">
          <cell r="B102" t="str">
            <v>NFC Corporation</v>
          </cell>
          <cell r="C102" t="str">
            <v>exclude</v>
          </cell>
          <cell r="D102" t="str">
            <v>Independence(A+, A, A-,, U)</v>
          </cell>
          <cell r="H102" t="str">
            <v/>
          </cell>
          <cell r="FD102" t="str">
            <v>KR1201110608755</v>
          </cell>
          <cell r="FE102" t="str">
            <v>exclude</v>
          </cell>
          <cell r="FF102" t="str">
            <v>Independence(A+, A, A-, U)</v>
          </cell>
        </row>
        <row r="103">
          <cell r="B103" t="str">
            <v>Sewha P&amp;C Inc.</v>
          </cell>
          <cell r="C103" t="str">
            <v>exclude</v>
          </cell>
          <cell r="D103" t="str">
            <v>lev SDA/SDP</v>
          </cell>
          <cell r="H103" t="str">
            <v/>
          </cell>
          <cell r="FD103" t="str">
            <v>KR1101116153095</v>
          </cell>
          <cell r="FE103" t="str">
            <v>exclude</v>
          </cell>
          <cell r="FF103" t="str">
            <v>lev SDA/SDP</v>
          </cell>
        </row>
        <row r="104">
          <cell r="B104" t="str">
            <v>Karyon Industries Berhad</v>
          </cell>
          <cell r="C104" t="str">
            <v>exclude</v>
          </cell>
          <cell r="D104" t="str">
            <v>lev SDA/SDP</v>
          </cell>
          <cell r="H104" t="str">
            <v/>
          </cell>
          <cell r="FD104" t="str">
            <v>MY612797-T</v>
          </cell>
          <cell r="FE104" t="str">
            <v>exclude</v>
          </cell>
          <cell r="FF104" t="str">
            <v>lev SDA/SDP</v>
          </cell>
        </row>
        <row r="105">
          <cell r="B105" t="str">
            <v>Genic Co,.Ltd.</v>
          </cell>
          <cell r="C105" t="str">
            <v>exclude</v>
          </cell>
          <cell r="D105" t="str">
            <v>Independence(A+, A, A-,, U)</v>
          </cell>
          <cell r="H105" t="str">
            <v/>
          </cell>
          <cell r="FD105" t="str">
            <v>KR1345110052677</v>
          </cell>
          <cell r="FE105" t="str">
            <v>exclude</v>
          </cell>
          <cell r="FF105" t="str">
            <v>Independence(A+, A, A-, U)</v>
          </cell>
        </row>
        <row r="106">
          <cell r="B106" t="str">
            <v>IVY Cosmetics Corporation</v>
          </cell>
          <cell r="C106" t="str">
            <v>exclude</v>
          </cell>
          <cell r="D106" t="str">
            <v>Independence(A+, A, A-,, U)</v>
          </cell>
          <cell r="H106" t="str">
            <v/>
          </cell>
          <cell r="FD106" t="str">
            <v>JP3010401000784</v>
          </cell>
          <cell r="FE106" t="str">
            <v>exclude</v>
          </cell>
          <cell r="FF106" t="str">
            <v>Independence(A+, A, A-, U)</v>
          </cell>
        </row>
        <row r="107">
          <cell r="B107" t="str">
            <v>Mikobeaute International Co., Ltd.</v>
          </cell>
          <cell r="C107" t="str">
            <v>exclude</v>
          </cell>
          <cell r="D107" t="str">
            <v>Independence(A+, A, A-,, U)</v>
          </cell>
          <cell r="H107" t="str">
            <v/>
          </cell>
          <cell r="FD107" t="str">
            <v>TW80281973</v>
          </cell>
          <cell r="FE107" t="str">
            <v>exclude</v>
          </cell>
          <cell r="FF107" t="str">
            <v>Independence(A+, A, A-, U)</v>
          </cell>
        </row>
        <row r="108">
          <cell r="B108" t="str">
            <v>PT Sara LEE Body Care Indonesia TBK</v>
          </cell>
          <cell r="C108" t="str">
            <v>exclude</v>
          </cell>
          <cell r="D108" t="str">
            <v>Independence(A+, A, A-,, U)</v>
          </cell>
          <cell r="H108" t="str">
            <v/>
          </cell>
          <cell r="FD108" t="str">
            <v>ID30411FD</v>
          </cell>
          <cell r="FE108" t="str">
            <v>exclude</v>
          </cell>
          <cell r="FF108" t="str">
            <v>Independence(A+, A, A-, U)</v>
          </cell>
        </row>
        <row r="109">
          <cell r="B109" t="str">
            <v>Oceanus Group Limited</v>
          </cell>
          <cell r="C109" t="str">
            <v>exclude</v>
          </cell>
          <cell r="D109" t="str">
            <v>lev SDA/SDP</v>
          </cell>
          <cell r="H109" t="str">
            <v/>
          </cell>
          <cell r="FD109" t="str">
            <v>SG199805793D</v>
          </cell>
          <cell r="FE109" t="str">
            <v>exclude</v>
          </cell>
          <cell r="FF109" t="str">
            <v>lev SDA/SDP</v>
          </cell>
        </row>
        <row r="110">
          <cell r="B110" t="str">
            <v>Skin&amp;Skin Co.,Ltd.</v>
          </cell>
          <cell r="C110" t="str">
            <v>exclude</v>
          </cell>
          <cell r="D110" t="str">
            <v>Independence(A+, A, A-,, U)</v>
          </cell>
          <cell r="H110" t="str">
            <v/>
          </cell>
          <cell r="FD110" t="str">
            <v>KR1311110165843</v>
          </cell>
          <cell r="FE110" t="str">
            <v>exclude</v>
          </cell>
          <cell r="FF110" t="str">
            <v>Independence(A+, A, A-, U)</v>
          </cell>
        </row>
        <row r="111">
          <cell r="B111" t="str">
            <v>Rojukiss International Public Company Limited</v>
          </cell>
          <cell r="C111" t="str">
            <v>exclude</v>
          </cell>
          <cell r="D111" t="str">
            <v>Independence(A+, A, A-,, U)</v>
          </cell>
          <cell r="H111" t="str">
            <v/>
          </cell>
          <cell r="FD111" t="str">
            <v>TH0107563000185</v>
          </cell>
          <cell r="FE111" t="str">
            <v>exclude</v>
          </cell>
          <cell r="FF111" t="str">
            <v>Independence(A+, A, A-, U)</v>
          </cell>
        </row>
        <row r="112">
          <cell r="B112" t="str">
            <v>PT Mustika Ratu TBK</v>
          </cell>
          <cell r="C112" t="str">
            <v>exclude</v>
          </cell>
          <cell r="D112" t="str">
            <v>Independence(A+, A, A-,, U)</v>
          </cell>
          <cell r="H112" t="str">
            <v/>
          </cell>
          <cell r="FD112" t="str">
            <v>ID30273FD</v>
          </cell>
          <cell r="FE112" t="str">
            <v>exclude</v>
          </cell>
          <cell r="FF112" t="str">
            <v>Independence(A+, A, A-, U)</v>
          </cell>
        </row>
        <row r="113">
          <cell r="B113" t="str">
            <v>MAO BAO Inc.</v>
          </cell>
          <cell r="C113" t="str">
            <v>exclude</v>
          </cell>
          <cell r="D113" t="str">
            <v>Independence(A+, A, A-,, U)</v>
          </cell>
          <cell r="H113" t="str">
            <v/>
          </cell>
          <cell r="FD113" t="str">
            <v>TW34245356</v>
          </cell>
          <cell r="FE113" t="str">
            <v>exclude</v>
          </cell>
          <cell r="FF113" t="str">
            <v>Independence(A+, A, A-, U)</v>
          </cell>
        </row>
        <row r="114">
          <cell r="B114" t="str">
            <v>Anhui QI JIA Detergent Products Co.,Ltd.</v>
          </cell>
          <cell r="C114" t="str">
            <v>exclude</v>
          </cell>
          <cell r="D114" t="str">
            <v>Independence(A+, A, A-,, U)</v>
          </cell>
          <cell r="H114" t="str">
            <v/>
          </cell>
          <cell r="FD114" t="str">
            <v>CN52355PC</v>
          </cell>
          <cell r="FE114" t="str">
            <v>exclude</v>
          </cell>
          <cell r="FF114" t="str">
            <v>Independence(A+, A, A-, U)</v>
          </cell>
        </row>
        <row r="115">
          <cell r="B115" t="str">
            <v>Suzhou Misifu Cosmetics Co.,Ltd</v>
          </cell>
          <cell r="C115" t="str">
            <v>exclude</v>
          </cell>
          <cell r="D115" t="str">
            <v>Independence(A+, A, A-,, U)</v>
          </cell>
          <cell r="H115" t="str">
            <v/>
          </cell>
          <cell r="FD115" t="str">
            <v>CN48247PC</v>
          </cell>
          <cell r="FE115" t="str">
            <v>exclude</v>
          </cell>
          <cell r="FF115" t="str">
            <v>Independence(A+, A, A-, U)</v>
          </cell>
        </row>
        <row r="116">
          <cell r="B116" t="str">
            <v>KM Pharmaceutical Co.,Ltd.</v>
          </cell>
          <cell r="C116" t="str">
            <v>exclude</v>
          </cell>
          <cell r="D116" t="str">
            <v>Independence(A+, A, A-,, U)</v>
          </cell>
          <cell r="H116" t="str">
            <v/>
          </cell>
          <cell r="FD116" t="str">
            <v>KR1101115779909</v>
          </cell>
          <cell r="FE116" t="str">
            <v>exclude</v>
          </cell>
          <cell r="FF116" t="str">
            <v>Independence(A+, A, A-, U)</v>
          </cell>
        </row>
        <row r="117">
          <cell r="B117" t="str">
            <v>Korea Miracle People Company Co., Ltd.</v>
          </cell>
          <cell r="C117" t="str">
            <v>exclude</v>
          </cell>
          <cell r="D117" t="str">
            <v>Independence(A+, A, A-,, U)</v>
          </cell>
          <cell r="H117" t="str">
            <v/>
          </cell>
          <cell r="FD117" t="str">
            <v>KR2844110077460</v>
          </cell>
          <cell r="FE117" t="str">
            <v>exclude</v>
          </cell>
          <cell r="FF117" t="str">
            <v>Independence(A+, A, A-, U)</v>
          </cell>
        </row>
        <row r="118">
          <cell r="B118" t="str">
            <v>Maxigen Biotech INC</v>
          </cell>
          <cell r="C118" t="str">
            <v>exclude</v>
          </cell>
          <cell r="D118" t="str">
            <v>lev SDA/SDP</v>
          </cell>
          <cell r="H118" t="str">
            <v/>
          </cell>
          <cell r="FD118" t="str">
            <v>TW16749811</v>
          </cell>
          <cell r="FE118" t="str">
            <v>exclude</v>
          </cell>
          <cell r="FF118" t="str">
            <v>lev SDA/SDP</v>
          </cell>
        </row>
        <row r="119">
          <cell r="B119" t="str">
            <v>Ecocera Optronics Co., Ltd.</v>
          </cell>
          <cell r="C119" t="str">
            <v>exclude</v>
          </cell>
          <cell r="D119" t="str">
            <v>Independence(A+, A, A-,, U)</v>
          </cell>
          <cell r="H119" t="str">
            <v/>
          </cell>
          <cell r="FD119" t="str">
            <v>TW53125710</v>
          </cell>
          <cell r="FE119" t="str">
            <v>exclude</v>
          </cell>
          <cell r="FF119" t="str">
            <v>Independence(A+, A, A-, U)</v>
          </cell>
        </row>
        <row r="120">
          <cell r="B120" t="str">
            <v>PT Procter &amp; Gamble Indonesia TBK</v>
          </cell>
          <cell r="C120" t="str">
            <v>exclude</v>
          </cell>
          <cell r="D120" t="str">
            <v>Independence(A+, A, A-,, U)</v>
          </cell>
          <cell r="H120" t="str">
            <v/>
          </cell>
          <cell r="FD120" t="str">
            <v>ID30343FD</v>
          </cell>
          <cell r="FE120" t="str">
            <v>exclude</v>
          </cell>
          <cell r="FF120" t="str">
            <v>Independence(A+, A, A-, U)</v>
          </cell>
        </row>
        <row r="121">
          <cell r="B121" t="str">
            <v>Environmental Recovery Services Limited</v>
          </cell>
          <cell r="C121" t="str">
            <v>exclude</v>
          </cell>
          <cell r="D121" t="str">
            <v>Independence(A+, A, A-,, U)</v>
          </cell>
          <cell r="H121" t="str">
            <v/>
          </cell>
          <cell r="FD121" t="str">
            <v>AU060740856</v>
          </cell>
          <cell r="FE121" t="str">
            <v>exclude</v>
          </cell>
          <cell r="FF121" t="str">
            <v>Independence(A+, A, A-, U)</v>
          </cell>
        </row>
        <row r="122">
          <cell r="B122" t="str">
            <v>Tubest Packing(Gz)Company Limited.</v>
          </cell>
          <cell r="C122" t="str">
            <v>exclude</v>
          </cell>
          <cell r="D122" t="str">
            <v>Insufficient financial data</v>
          </cell>
          <cell r="H122" t="str">
            <v/>
          </cell>
          <cell r="FD122" t="str">
            <v>CN54613PC</v>
          </cell>
          <cell r="FE122" t="str">
            <v>exclude</v>
          </cell>
          <cell r="FF122" t="str">
            <v>Insufficient financial data</v>
          </cell>
        </row>
        <row r="123">
          <cell r="B123" t="str">
            <v>Hyupjin Co., Ltd.</v>
          </cell>
          <cell r="C123" t="str">
            <v>exclude</v>
          </cell>
          <cell r="D123" t="str">
            <v>Independence(A+, A, A-,, U)</v>
          </cell>
          <cell r="H123" t="str">
            <v/>
          </cell>
          <cell r="FD123" t="str">
            <v>KR1355110151022</v>
          </cell>
          <cell r="FE123" t="str">
            <v>exclude</v>
          </cell>
          <cell r="FF123" t="str">
            <v>Independence(A+, A, A-, U)</v>
          </cell>
        </row>
        <row r="124">
          <cell r="B124" t="str">
            <v>Nordmason Co.,Ltd.</v>
          </cell>
          <cell r="C124" t="str">
            <v>include before</v>
          </cell>
          <cell r="E124" t="str">
            <v>生产化妆品和美容产品的公司</v>
          </cell>
          <cell r="H124">
            <v>3.5186737914747801E-2</v>
          </cell>
          <cell r="DG124">
            <v>18631230</v>
          </cell>
          <cell r="DH124">
            <v>-9138970</v>
          </cell>
          <cell r="DI124">
            <v>-7781691</v>
          </cell>
          <cell r="DJ124">
            <v>-753803</v>
          </cell>
          <cell r="DK124">
            <v>956766</v>
          </cell>
          <cell r="DL124">
            <v>5.1352809234816998E-2</v>
          </cell>
          <cell r="DM124">
            <v>5.4132674122394898E-2</v>
          </cell>
          <cell r="DN124" t="str">
            <v>n.a.</v>
          </cell>
          <cell r="DO124">
            <v>3485734</v>
          </cell>
          <cell r="DP124">
            <v>108803.5</v>
          </cell>
          <cell r="DR124">
            <v>19470825</v>
          </cell>
          <cell r="DS124">
            <v>-8192906</v>
          </cell>
          <cell r="DT124">
            <v>-8898918</v>
          </cell>
          <cell r="DU124">
            <v>-731001</v>
          </cell>
          <cell r="DV124">
            <v>1648000</v>
          </cell>
          <cell r="DW124">
            <v>8.4639454157694902E-2</v>
          </cell>
          <cell r="DX124">
            <v>9.2465700583381105E-2</v>
          </cell>
          <cell r="DY124" t="str">
            <v>n.a.</v>
          </cell>
          <cell r="DZ124">
            <v>3659570</v>
          </cell>
          <cell r="EA124">
            <v>65858.5</v>
          </cell>
          <cell r="FD124" t="str">
            <v>KR1101115209310</v>
          </cell>
          <cell r="FE124" t="str">
            <v>include before</v>
          </cell>
        </row>
        <row r="125">
          <cell r="B125" t="str">
            <v>Swadeshi Industrial Works PLC</v>
          </cell>
          <cell r="C125" t="str">
            <v>exclude</v>
          </cell>
          <cell r="D125" t="str">
            <v>Independence(A+, A, A-,, U)</v>
          </cell>
          <cell r="H125" t="str">
            <v/>
          </cell>
          <cell r="FD125" t="str">
            <v>LK30213FS</v>
          </cell>
          <cell r="FE125" t="str">
            <v>exclude</v>
          </cell>
          <cell r="FF125" t="str">
            <v>Independence(A+, A, A-, U)</v>
          </cell>
        </row>
        <row r="126">
          <cell r="B126" t="str">
            <v>Mclean Technologies Berhad</v>
          </cell>
          <cell r="C126" t="str">
            <v>exclude</v>
          </cell>
          <cell r="D126" t="str">
            <v>Independence(A+, A, A-,, U)</v>
          </cell>
          <cell r="H126" t="str">
            <v/>
          </cell>
          <cell r="FD126" t="str">
            <v>MY893631-T</v>
          </cell>
          <cell r="FE126" t="str">
            <v>exclude</v>
          </cell>
          <cell r="FF126" t="str">
            <v>Independence(A+, A, A-, U)</v>
          </cell>
        </row>
        <row r="127">
          <cell r="B127" t="str">
            <v>PRS (Jiangsu) Biotechnology Corp., LTD</v>
          </cell>
          <cell r="C127" t="str">
            <v>exclude</v>
          </cell>
          <cell r="D127" t="str">
            <v>Independence(A+, A, A-,, U)</v>
          </cell>
          <cell r="H127" t="str">
            <v/>
          </cell>
          <cell r="FD127" t="str">
            <v>CN54681PC</v>
          </cell>
          <cell r="FE127" t="str">
            <v>exclude</v>
          </cell>
          <cell r="FF127" t="str">
            <v>Independence(A+, A, A-, U)</v>
          </cell>
        </row>
        <row r="128">
          <cell r="B128" t="str">
            <v>ENG KAH Corporation Berhad</v>
          </cell>
          <cell r="C128" t="str">
            <v>newly include</v>
          </cell>
          <cell r="E128" t="str">
            <v>制造香水化妆品等个人护理品</v>
          </cell>
          <cell r="H128">
            <v>-3.0808495123507501E-2</v>
          </cell>
          <cell r="FD128" t="str">
            <v>MY435649-H</v>
          </cell>
          <cell r="FE128" t="str">
            <v>newly include</v>
          </cell>
        </row>
        <row r="129">
          <cell r="B129" t="str">
            <v>Fujian Junjie NEW Material Technology Co., Ltd.</v>
          </cell>
          <cell r="C129" t="str">
            <v>exclude</v>
          </cell>
          <cell r="D129" t="str">
            <v>Independence(A+, A, A-,, U)</v>
          </cell>
          <cell r="H129" t="str">
            <v/>
          </cell>
          <cell r="FD129" t="str">
            <v>CN52991PC</v>
          </cell>
          <cell r="FE129" t="str">
            <v>exclude</v>
          </cell>
          <cell r="FF129" t="str">
            <v>Independence(A+, A, A-, U)</v>
          </cell>
        </row>
        <row r="130">
          <cell r="B130" t="str">
            <v>Jincostech Co,.Ltd</v>
          </cell>
          <cell r="C130" t="str">
            <v>exclude</v>
          </cell>
          <cell r="D130" t="str">
            <v>Independence(A+, A, A-,, U)</v>
          </cell>
          <cell r="H130" t="str">
            <v/>
          </cell>
          <cell r="FD130" t="str">
            <v>KR1314110243742</v>
          </cell>
          <cell r="FE130" t="str">
            <v>exclude</v>
          </cell>
          <cell r="FF130" t="str">
            <v>Independence(A+, A, A-, U)</v>
          </cell>
        </row>
        <row r="131">
          <cell r="B131" t="str">
            <v>CNT Dream Co.,Ltd.</v>
          </cell>
          <cell r="C131" t="str">
            <v>exclude</v>
          </cell>
          <cell r="D131" t="str">
            <v>Independence(A+, A, A-,, U)</v>
          </cell>
          <cell r="H131" t="str">
            <v/>
          </cell>
          <cell r="FD131" t="str">
            <v>KR1601110294176</v>
          </cell>
          <cell r="FE131" t="str">
            <v>exclude</v>
          </cell>
          <cell r="FF131" t="str">
            <v>Independence(A+, A, A-, U)</v>
          </cell>
        </row>
        <row r="132">
          <cell r="B132" t="str">
            <v>Beauty Community PCL</v>
          </cell>
          <cell r="C132" t="str">
            <v>exclude</v>
          </cell>
          <cell r="D132" t="str">
            <v>lev SDA/SDP</v>
          </cell>
          <cell r="H132" t="str">
            <v/>
          </cell>
          <cell r="FD132" t="str">
            <v>TH0107555000244</v>
          </cell>
          <cell r="FE132" t="str">
            <v>exclude</v>
          </cell>
          <cell r="FF132" t="str">
            <v>lev SDA/SDP</v>
          </cell>
        </row>
        <row r="133">
          <cell r="B133" t="str">
            <v>PEE CEE Cosma Sope Limited</v>
          </cell>
          <cell r="C133" t="str">
            <v>exclude</v>
          </cell>
          <cell r="D133" t="str">
            <v>lev SDA/SDP</v>
          </cell>
          <cell r="H133" t="str">
            <v/>
          </cell>
          <cell r="FD133" t="str">
            <v>IN32220FI</v>
          </cell>
          <cell r="FE133" t="str">
            <v>exclude</v>
          </cell>
          <cell r="FF133" t="str">
            <v>lev SDA/SDP</v>
          </cell>
        </row>
        <row r="134">
          <cell r="B134" t="str">
            <v>Lucy Belle Biological Technology Company Limited</v>
          </cell>
          <cell r="C134" t="str">
            <v>exclude</v>
          </cell>
          <cell r="D134" t="str">
            <v>Independence(A+, A, A-,, U)</v>
          </cell>
          <cell r="H134" t="str">
            <v/>
          </cell>
          <cell r="FD134" t="str">
            <v>TW84856325</v>
          </cell>
          <cell r="FE134" t="str">
            <v>exclude</v>
          </cell>
          <cell r="FF134" t="str">
            <v>Independence(A+, A, A-, U)</v>
          </cell>
        </row>
        <row r="135">
          <cell r="B135" t="str">
            <v>XIN Jiang Eparhan Flavour Company Limited</v>
          </cell>
          <cell r="C135" t="str">
            <v>exclude</v>
          </cell>
          <cell r="D135" t="str">
            <v>Independence(A+, A, A-,, U)</v>
          </cell>
          <cell r="H135" t="str">
            <v/>
          </cell>
          <cell r="FD135" t="str">
            <v>CN41598PC</v>
          </cell>
          <cell r="FE135" t="str">
            <v>exclude</v>
          </cell>
          <cell r="FF135" t="str">
            <v>Independence(A+, A, A-, U)</v>
          </cell>
        </row>
        <row r="136">
          <cell r="B136" t="str">
            <v>Innogene Co., Ltd.</v>
          </cell>
          <cell r="C136" t="str">
            <v>exclude</v>
          </cell>
          <cell r="D136" t="str">
            <v>Independence(A+, A, A-,, U)</v>
          </cell>
          <cell r="H136" t="str">
            <v/>
          </cell>
          <cell r="FD136" t="str">
            <v>KR1101113301944</v>
          </cell>
          <cell r="FE136" t="str">
            <v>exclude</v>
          </cell>
          <cell r="FF136" t="str">
            <v>Independence(A+, A, A-, U)</v>
          </cell>
        </row>
        <row r="137">
          <cell r="B137" t="str">
            <v>Shanghai Jianishi Cosmetic Company Limited</v>
          </cell>
          <cell r="C137" t="str">
            <v>exclude</v>
          </cell>
          <cell r="D137" t="str">
            <v>Independence(A+, A, A-,, U)</v>
          </cell>
          <cell r="H137" t="str">
            <v/>
          </cell>
          <cell r="FD137" t="str">
            <v>CN50253PC</v>
          </cell>
          <cell r="FE137" t="str">
            <v>exclude</v>
          </cell>
          <cell r="FF137" t="str">
            <v>Independence(A+, A, A-, U)</v>
          </cell>
        </row>
        <row r="138">
          <cell r="B138" t="str">
            <v>B&amp;D Life Health Co.,Ltd.</v>
          </cell>
          <cell r="C138" t="str">
            <v>exclude</v>
          </cell>
          <cell r="D138" t="str">
            <v>Independence(A+, A, A-,, U)</v>
          </cell>
          <cell r="H138" t="str">
            <v/>
          </cell>
          <cell r="FD138" t="str">
            <v>KR1101114768440</v>
          </cell>
          <cell r="FE138" t="str">
            <v>exclude</v>
          </cell>
          <cell r="FF138" t="str">
            <v>Independence(A+, A, A-, U)</v>
          </cell>
        </row>
        <row r="139">
          <cell r="B139" t="str">
            <v>SR Biotek Inc.</v>
          </cell>
          <cell r="C139" t="str">
            <v>exclude</v>
          </cell>
          <cell r="D139" t="str">
            <v>Independence(A+, A, A-,, U)</v>
          </cell>
          <cell r="H139" t="str">
            <v/>
          </cell>
          <cell r="FD139" t="str">
            <v>KR1311110188085</v>
          </cell>
          <cell r="FE139" t="str">
            <v>exclude</v>
          </cell>
          <cell r="FF139" t="str">
            <v>Independence(A+, A, A-, U)</v>
          </cell>
        </row>
        <row r="140">
          <cell r="B140" t="str">
            <v>Banka Bioloo Limited</v>
          </cell>
          <cell r="C140" t="str">
            <v>exclude</v>
          </cell>
          <cell r="D140" t="str">
            <v>Independence(A+, A, A-,, U)</v>
          </cell>
          <cell r="H140" t="str">
            <v/>
          </cell>
          <cell r="FD140" t="str">
            <v>IN621257FI</v>
          </cell>
          <cell r="FE140" t="str">
            <v>exclude</v>
          </cell>
          <cell r="FF140" t="str">
            <v>Independence(A+, A, A-, U)</v>
          </cell>
        </row>
        <row r="141">
          <cell r="B141" t="str">
            <v>Hanoi Soap Joint Stock Company</v>
          </cell>
          <cell r="C141" t="str">
            <v>exclude</v>
          </cell>
          <cell r="D141" t="str">
            <v>Independence(A+, A, A-,, U)</v>
          </cell>
          <cell r="H141" t="str">
            <v/>
          </cell>
          <cell r="FD141" t="str">
            <v>VN0103006569</v>
          </cell>
          <cell r="FE141" t="str">
            <v>exclude</v>
          </cell>
          <cell r="FF141" t="str">
            <v>Independence(A+, A, A-, U)</v>
          </cell>
        </row>
        <row r="142">
          <cell r="B142" t="str">
            <v>Xiamen Easy Beauty Co.,Ltd</v>
          </cell>
          <cell r="C142" t="str">
            <v>exclude</v>
          </cell>
          <cell r="D142" t="str">
            <v>Independence(A+, A, A-,, U)</v>
          </cell>
          <cell r="H142" t="str">
            <v/>
          </cell>
          <cell r="FD142" t="str">
            <v>CN47101PC</v>
          </cell>
          <cell r="FE142" t="str">
            <v>exclude</v>
          </cell>
          <cell r="FF142" t="str">
            <v>Independence(A+, A, A-, U)</v>
          </cell>
        </row>
        <row r="143">
          <cell r="B143" t="str">
            <v>Continental Chemicals LTD</v>
          </cell>
          <cell r="C143" t="str">
            <v>exclude</v>
          </cell>
          <cell r="D143" t="str">
            <v>Independence(A+, A, A-,, U)</v>
          </cell>
          <cell r="H143" t="str">
            <v/>
          </cell>
          <cell r="FD143" t="str">
            <v>IN34821FI</v>
          </cell>
          <cell r="FE143" t="str">
            <v>exclude</v>
          </cell>
          <cell r="FF143" t="str">
            <v>Independence(A+, A, A-, U)</v>
          </cell>
        </row>
        <row r="144">
          <cell r="B144" t="str">
            <v>Savan Trade Joint Stock Company</v>
          </cell>
          <cell r="C144" t="str">
            <v>exclude</v>
          </cell>
          <cell r="D144" t="str">
            <v>Insufficient financial data</v>
          </cell>
          <cell r="H144" t="str">
            <v/>
          </cell>
          <cell r="FD144" t="str">
            <v>MN40115OI</v>
          </cell>
          <cell r="FE144" t="str">
            <v>exclude</v>
          </cell>
          <cell r="FF144" t="str">
            <v>Insufficient financial data</v>
          </cell>
        </row>
        <row r="145">
          <cell r="B145" t="str">
            <v>Swastik Surfactants Limited</v>
          </cell>
          <cell r="C145" t="str">
            <v>exclude</v>
          </cell>
          <cell r="D145" t="str">
            <v>Independence(A+, A, A-,, U)</v>
          </cell>
          <cell r="H145" t="str">
            <v/>
          </cell>
          <cell r="FD145" t="str">
            <v>IN32935FI</v>
          </cell>
          <cell r="FE145" t="str">
            <v>exclude</v>
          </cell>
          <cell r="FF145" t="str">
            <v>Independence(A+, A, A-, U)</v>
          </cell>
        </row>
        <row r="146">
          <cell r="B146" t="str">
            <v>Cosway Corporation BHD</v>
          </cell>
          <cell r="C146" t="str">
            <v>exclude</v>
          </cell>
          <cell r="D146" t="str">
            <v>Independence(A+, A, A-,, U)</v>
          </cell>
          <cell r="H146" t="str">
            <v/>
          </cell>
          <cell r="FD146" t="str">
            <v>MY194949-H</v>
          </cell>
          <cell r="FE146" t="str">
            <v>exclude</v>
          </cell>
          <cell r="FF146" t="str">
            <v>Independence(A+, A, A-, U)</v>
          </cell>
        </row>
        <row r="147">
          <cell r="B147" t="str">
            <v>Paos Industries Limited</v>
          </cell>
          <cell r="C147" t="str">
            <v>exclude</v>
          </cell>
          <cell r="D147" t="str">
            <v>Insufficient financial data</v>
          </cell>
          <cell r="H147" t="str">
            <v/>
          </cell>
          <cell r="FD147" t="str">
            <v>IN32781FI</v>
          </cell>
          <cell r="FE147" t="str">
            <v>exclude</v>
          </cell>
          <cell r="FF147" t="str">
            <v>Insufficient financial data</v>
          </cell>
        </row>
        <row r="148">
          <cell r="B148" t="str">
            <v>Synergy Cosmetics (Exim) LTD</v>
          </cell>
          <cell r="C148" t="str">
            <v>exclude</v>
          </cell>
          <cell r="D148" t="str">
            <v>Insufficient financial data</v>
          </cell>
          <cell r="H148" t="str">
            <v/>
          </cell>
          <cell r="FD148" t="str">
            <v>IN31824FI</v>
          </cell>
          <cell r="FE148" t="str">
            <v>exclude</v>
          </cell>
          <cell r="FF148" t="str">
            <v>Insufficient financial data</v>
          </cell>
        </row>
        <row r="149">
          <cell r="B149" t="str">
            <v>M&amp;C Life Science CO LTD</v>
          </cell>
          <cell r="C149" t="str">
            <v>exclude</v>
          </cell>
          <cell r="D149" t="str">
            <v>Independence(A+, A, A-,, U)</v>
          </cell>
          <cell r="H149" t="str">
            <v/>
          </cell>
          <cell r="FD149" t="str">
            <v>KR1311110300960</v>
          </cell>
          <cell r="FE149" t="str">
            <v>exclude</v>
          </cell>
          <cell r="FF149" t="str">
            <v>Independence(A+, A, A-, U)</v>
          </cell>
        </row>
        <row r="150">
          <cell r="B150" t="str">
            <v>Interkos CO LTD</v>
          </cell>
          <cell r="C150" t="str">
            <v>exclude</v>
          </cell>
          <cell r="D150" t="str">
            <v>Independence(A+, A, A-,, U)</v>
          </cell>
          <cell r="H150" t="str">
            <v/>
          </cell>
          <cell r="FD150" t="str">
            <v>KR1201110729155</v>
          </cell>
          <cell r="FE150" t="str">
            <v>exclude</v>
          </cell>
          <cell r="FF150" t="str">
            <v>Independence(A+, A, A-, U)</v>
          </cell>
        </row>
        <row r="151">
          <cell r="B151" t="str">
            <v>GFC Life Science Co.,Ltd.</v>
          </cell>
          <cell r="C151" t="str">
            <v>exclude</v>
          </cell>
          <cell r="D151" t="str">
            <v>Independence(A+, A, A-,, U)</v>
          </cell>
          <cell r="H151" t="str">
            <v/>
          </cell>
          <cell r="FD151" t="str">
            <v>KR1101112548993</v>
          </cell>
          <cell r="FE151" t="str">
            <v>exclude</v>
          </cell>
          <cell r="FF151" t="str">
            <v>Independence(A+, A, A-, U)</v>
          </cell>
        </row>
        <row r="152">
          <cell r="B152" t="str">
            <v>Magic Holdings International Limited</v>
          </cell>
          <cell r="C152" t="str">
            <v>exclude</v>
          </cell>
          <cell r="D152" t="str">
            <v>Independence(A+, A, A-,, U)</v>
          </cell>
          <cell r="H152" t="str">
            <v/>
          </cell>
          <cell r="FD152" t="str">
            <v>KY30234WB</v>
          </cell>
          <cell r="FE152" t="str">
            <v>exclude</v>
          </cell>
          <cell r="FF152" t="str">
            <v>Independence(A+, A, A-, U)</v>
          </cell>
        </row>
        <row r="153">
          <cell r="B153" t="str">
            <v>Viva China Holdings Limited</v>
          </cell>
          <cell r="C153" t="str">
            <v>exclude</v>
          </cell>
          <cell r="D153" t="str">
            <v>Independence(A+, A, A-,, U)</v>
          </cell>
          <cell r="H153" t="str">
            <v/>
          </cell>
          <cell r="FD153" t="str">
            <v>KY30442FH</v>
          </cell>
          <cell r="FE153" t="str">
            <v>exclude</v>
          </cell>
          <cell r="FF153" t="str">
            <v>Independence(A+, A, A-, U)</v>
          </cell>
        </row>
        <row r="154">
          <cell r="B154" t="str">
            <v>Ming FAI International Holdings Limited</v>
          </cell>
          <cell r="C154" t="str">
            <v>exclude</v>
          </cell>
          <cell r="D154" t="str">
            <v>lev SDA/SDP</v>
          </cell>
          <cell r="H154" t="str">
            <v/>
          </cell>
          <cell r="FD154" t="str">
            <v>KY31135FH</v>
          </cell>
          <cell r="FE154" t="str">
            <v>exclude</v>
          </cell>
          <cell r="FF154" t="str">
            <v>lev SDA/SDP</v>
          </cell>
        </row>
        <row r="155">
          <cell r="B155" t="str">
            <v>Prosperous Future Holdings Limited</v>
          </cell>
          <cell r="C155" t="str">
            <v>exclude</v>
          </cell>
          <cell r="D155" t="str">
            <v>Consecutive loss</v>
          </cell>
          <cell r="H155" t="str">
            <v/>
          </cell>
          <cell r="FD155" t="str">
            <v>KY40149WB</v>
          </cell>
          <cell r="FE155" t="str">
            <v>exclude</v>
          </cell>
          <cell r="FF155" t="str">
            <v>Consecutive loss</v>
          </cell>
        </row>
        <row r="156">
          <cell r="B156" t="str">
            <v>Natural Beauty Bio-Technology Limited</v>
          </cell>
          <cell r="C156" t="str">
            <v>exclude</v>
          </cell>
          <cell r="D156" t="str">
            <v>Independence(A+, A, A-,, U)</v>
          </cell>
          <cell r="H156" t="str">
            <v/>
          </cell>
          <cell r="FD156" t="str">
            <v>KY30590FH</v>
          </cell>
          <cell r="FE156" t="str">
            <v>exclude</v>
          </cell>
          <cell r="FF156" t="str">
            <v>Independence(A+, A, A-, U)</v>
          </cell>
        </row>
        <row r="157">
          <cell r="B157" t="str">
            <v>Bawang International (Group) Holding Limited</v>
          </cell>
          <cell r="C157" t="str">
            <v>exclude</v>
          </cell>
          <cell r="D157" t="str">
            <v>Independence(A+, A, A-,, U)</v>
          </cell>
          <cell r="H157" t="str">
            <v/>
          </cell>
          <cell r="FD157" t="str">
            <v>KY40028WB</v>
          </cell>
          <cell r="FE157" t="str">
            <v>exclude</v>
          </cell>
          <cell r="FF157" t="str">
            <v>Independence(A+, A, A-, U)</v>
          </cell>
        </row>
        <row r="158">
          <cell r="B158" t="str">
            <v>Thai HO Group Inc.</v>
          </cell>
          <cell r="C158" t="str">
            <v>exclude</v>
          </cell>
          <cell r="D158" t="str">
            <v>Consecutive loss</v>
          </cell>
          <cell r="H158" t="str">
            <v/>
          </cell>
          <cell r="FD158" t="str">
            <v>KY40841FC</v>
          </cell>
          <cell r="FE158" t="str">
            <v>exclude</v>
          </cell>
          <cell r="FF158" t="str">
            <v>Consecutive loss</v>
          </cell>
        </row>
        <row r="159">
          <cell r="B159" t="str">
            <v>LUO Lih-Fen Holding Co., Ltd.</v>
          </cell>
          <cell r="C159" t="str">
            <v>exclude</v>
          </cell>
          <cell r="D159" t="str">
            <v>Independence(A+, A, A-,, U)</v>
          </cell>
          <cell r="H159" t="str">
            <v/>
          </cell>
          <cell r="FD159" t="str">
            <v>KY41185WB</v>
          </cell>
          <cell r="FE159" t="str">
            <v>exclude</v>
          </cell>
          <cell r="FF159" t="str">
            <v>Independence(A+, A, A-, U)</v>
          </cell>
        </row>
        <row r="160">
          <cell r="B160" t="str">
            <v>Kwong Sang Hong International LTD</v>
          </cell>
          <cell r="C160" t="str">
            <v>exclude</v>
          </cell>
          <cell r="D160" t="str">
            <v>Independence(A+, A, A-,, U)</v>
          </cell>
          <cell r="H160" t="str">
            <v/>
          </cell>
          <cell r="FD160" t="str">
            <v>BM15522R</v>
          </cell>
          <cell r="FE160" t="str">
            <v>exclude</v>
          </cell>
          <cell r="FF160" t="str">
            <v>Independence(A+, A, A-, U)</v>
          </cell>
        </row>
        <row r="161">
          <cell r="B161" t="str">
            <v>Linkwell Corporation</v>
          </cell>
          <cell r="C161" t="str">
            <v>exclude</v>
          </cell>
          <cell r="D161" t="str">
            <v>Insufficient financial data</v>
          </cell>
          <cell r="H161" t="str">
            <v/>
          </cell>
          <cell r="FD161" t="str">
            <v>US651053546</v>
          </cell>
          <cell r="FE161" t="str">
            <v>exclude</v>
          </cell>
          <cell r="FF161" t="str">
            <v>Insufficient financial data</v>
          </cell>
        </row>
        <row r="162">
          <cell r="B162" t="str">
            <v>Renaissance Asia Silk Road Group Limited</v>
          </cell>
          <cell r="C162" t="str">
            <v>exclude</v>
          </cell>
          <cell r="D162" t="str">
            <v>Consecutive loss</v>
          </cell>
          <cell r="H162" t="str">
            <v/>
          </cell>
          <cell r="FD162" t="str">
            <v>KY30735FH</v>
          </cell>
          <cell r="FE162" t="str">
            <v>exclude</v>
          </cell>
          <cell r="FF162" t="str">
            <v>Consecutive loss</v>
          </cell>
        </row>
        <row r="163">
          <cell r="B163" t="str">
            <v>Hong Kong Winalite Group, Inc.</v>
          </cell>
          <cell r="C163" t="str">
            <v>exclude</v>
          </cell>
          <cell r="D163" t="str">
            <v>Insufficient financial data</v>
          </cell>
          <cell r="H163" t="str">
            <v/>
          </cell>
          <cell r="FD163" t="str">
            <v>US870575571</v>
          </cell>
          <cell r="FE163" t="str">
            <v>exclude</v>
          </cell>
          <cell r="FF163" t="str">
            <v>Insufficient financial data</v>
          </cell>
        </row>
        <row r="164">
          <cell r="B164" t="str">
            <v>China Shianyun Group Corp., Ltd.</v>
          </cell>
          <cell r="C164" t="str">
            <v>exclude</v>
          </cell>
          <cell r="D164" t="str">
            <v>Independence(A+, A, A-,, U)</v>
          </cell>
          <cell r="H164" t="str">
            <v/>
          </cell>
          <cell r="FD164" t="str">
            <v>US830506099</v>
          </cell>
          <cell r="FE164" t="str">
            <v>exclude</v>
          </cell>
          <cell r="FF164" t="str">
            <v>Independence(A+, A, A-, U)</v>
          </cell>
        </row>
        <row r="165">
          <cell r="FD165" t="str">
            <v>US364794119</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www.kose.co.jp/" TargetMode="External"/><Relationship Id="rId13" Type="http://schemas.openxmlformats.org/officeDocument/2006/relationships/hyperlink" Target="http://www.coreana.com/" TargetMode="External"/><Relationship Id="rId3" Type="http://schemas.openxmlformats.org/officeDocument/2006/relationships/hyperlink" Target="http://www.sahapat.co.th/" TargetMode="External"/><Relationship Id="rId7" Type="http://schemas.openxmlformats.org/officeDocument/2006/relationships/hyperlink" Target="http://www.shiseido.co.jp/" TargetMode="External"/><Relationship Id="rId12" Type="http://schemas.openxmlformats.org/officeDocument/2006/relationships/hyperlink" Target="http://www.hkcosm.com/" TargetMode="External"/><Relationship Id="rId2" Type="http://schemas.openxmlformats.org/officeDocument/2006/relationships/hyperlink" Target="http://www.alsglobal.com/" TargetMode="External"/><Relationship Id="rId1" Type="http://schemas.openxmlformats.org/officeDocument/2006/relationships/hyperlink" Target="http://www.godrejinds.com/" TargetMode="External"/><Relationship Id="rId6" Type="http://schemas.openxmlformats.org/officeDocument/2006/relationships/hyperlink" Target="http://www.tantech.cn/" TargetMode="External"/><Relationship Id="rId11" Type="http://schemas.openxmlformats.org/officeDocument/2006/relationships/hyperlink" Target="http://www.shikizai.com/" TargetMode="External"/><Relationship Id="rId5" Type="http://schemas.openxmlformats.org/officeDocument/2006/relationships/hyperlink" Target="http://www.cosmax.com/" TargetMode="External"/><Relationship Id="rId10" Type="http://schemas.openxmlformats.org/officeDocument/2006/relationships/hyperlink" Target="http://www.snjinter.com/" TargetMode="External"/><Relationship Id="rId4" Type="http://schemas.openxmlformats.org/officeDocument/2006/relationships/hyperlink" Target="http://www.zzytech.com/" TargetMode="External"/><Relationship Id="rId9" Type="http://schemas.openxmlformats.org/officeDocument/2006/relationships/hyperlink" Target="http://www.ams-life.com/" TargetMode="External"/><Relationship Id="rId14" Type="http://schemas.openxmlformats.org/officeDocument/2006/relationships/hyperlink" Target="http://www.maywufa.com.t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E5C07-A7F9-43F2-9AA8-3DCF63340C26}">
  <dimension ref="A1:B4"/>
  <sheetViews>
    <sheetView tabSelected="1" workbookViewId="0">
      <selection activeCell="H10" sqref="H10"/>
    </sheetView>
  </sheetViews>
  <sheetFormatPr defaultRowHeight="14" x14ac:dyDescent="0.25"/>
  <cols>
    <col min="1" max="1" width="12.90625" bestFit="1" customWidth="1"/>
  </cols>
  <sheetData>
    <row r="1" spans="1:2" x14ac:dyDescent="0.25">
      <c r="A1" s="167" t="s">
        <v>305</v>
      </c>
      <c r="B1">
        <v>9</v>
      </c>
    </row>
    <row r="2" spans="1:2" x14ac:dyDescent="0.25">
      <c r="A2" t="s">
        <v>306</v>
      </c>
      <c r="B2" s="194">
        <f>SummaryYear!E19</f>
        <v>7.2948977632585899E-2</v>
      </c>
    </row>
    <row r="3" spans="1:2" x14ac:dyDescent="0.25">
      <c r="A3" t="s">
        <v>307</v>
      </c>
      <c r="B3" s="194">
        <f>SummaryYear!E18</f>
        <v>1.3851248258788701E-2</v>
      </c>
    </row>
    <row r="4" spans="1:2" x14ac:dyDescent="0.25">
      <c r="A4" t="s">
        <v>308</v>
      </c>
      <c r="B4" s="194">
        <f>SummaryYear!E17</f>
        <v>5.8908016475508803E-3</v>
      </c>
    </row>
  </sheetData>
  <phoneticPr fontId="3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workbookViewId="0">
      <selection activeCell="J35" sqref="J35"/>
    </sheetView>
  </sheetViews>
  <sheetFormatPr defaultColWidth="8.7265625" defaultRowHeight="14" x14ac:dyDescent="0.25"/>
  <cols>
    <col min="1" max="16384" width="8.7265625" style="123"/>
  </cols>
  <sheetData/>
  <phoneticPr fontId="3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zoomScale="85" zoomScaleNormal="85" workbookViewId="0">
      <selection activeCell="B24" sqref="B24"/>
    </sheetView>
  </sheetViews>
  <sheetFormatPr defaultColWidth="9.08984375" defaultRowHeight="14.5" x14ac:dyDescent="0.25"/>
  <cols>
    <col min="1" max="1" width="9.08984375" style="110"/>
    <col min="2" max="2" width="43.6328125" style="109" customWidth="1"/>
    <col min="3" max="3" width="19.453125" style="111" customWidth="1"/>
    <col min="4" max="4" width="19.36328125" style="111" customWidth="1"/>
    <col min="5" max="5" width="18.453125" style="111" customWidth="1"/>
    <col min="6" max="6" width="15.453125" style="109" customWidth="1"/>
    <col min="7" max="7" width="23.7265625" style="112" customWidth="1"/>
    <col min="8" max="8" width="9.08984375" style="109"/>
    <col min="9" max="9" width="19.453125" style="109"/>
    <col min="10" max="10" width="18.453125" style="109" customWidth="1"/>
    <col min="11" max="11" width="18.90625" style="109"/>
    <col min="12" max="12" width="17.453125" style="109" customWidth="1"/>
    <col min="13" max="13" width="17.6328125" style="109"/>
    <col min="14" max="16384" width="9.08984375" style="109"/>
  </cols>
  <sheetData>
    <row r="1" spans="1:13" ht="13" x14ac:dyDescent="0.25">
      <c r="A1" s="113" t="s">
        <v>0</v>
      </c>
      <c r="B1" s="113" t="s">
        <v>1</v>
      </c>
      <c r="C1" s="114" t="s">
        <v>2</v>
      </c>
      <c r="D1" s="114" t="s">
        <v>3</v>
      </c>
      <c r="E1" s="114" t="s">
        <v>4</v>
      </c>
      <c r="F1" s="114" t="s">
        <v>5</v>
      </c>
      <c r="G1" s="115" t="s">
        <v>6</v>
      </c>
      <c r="I1" s="115" t="s">
        <v>7</v>
      </c>
      <c r="J1" s="115" t="s">
        <v>8</v>
      </c>
      <c r="K1" s="115" t="s">
        <v>9</v>
      </c>
      <c r="L1" s="115" t="s">
        <v>10</v>
      </c>
      <c r="M1" s="115" t="s">
        <v>11</v>
      </c>
    </row>
    <row r="2" spans="1:13" x14ac:dyDescent="0.35">
      <c r="A2" s="116" t="s">
        <v>12</v>
      </c>
      <c r="B2" s="117" t="s">
        <v>342</v>
      </c>
      <c r="C2" s="118" t="str">
        <f>VLOOKUP(B2,'[1]AP 2023'!B:C,2,0)</f>
        <v>include before</v>
      </c>
      <c r="D2" s="118" t="str">
        <f>VLOOKUP(B2,'[1]AP 2022'!B:C,2,0)</f>
        <v>Include before</v>
      </c>
      <c r="E2" s="118">
        <f>VLOOKUP(B2,'[1]AP 2023'!B:H,7,0)</f>
        <v>-2.4089578628684501E-3</v>
      </c>
      <c r="F2" s="159">
        <f>VLOOKUP(B2,'[1]AP 2022'!B:H,7,0)</f>
        <v>4.8644312388410098E-2</v>
      </c>
      <c r="G2" s="119"/>
      <c r="I2" s="162">
        <f>VLOOKUP(B2,'[1]AP 2023'!B:ET,143,0)</f>
        <v>999403000000</v>
      </c>
      <c r="J2" s="162">
        <f>VLOOKUP(B2,'[1]AP 2023'!B:ET,144,0)</f>
        <v>-204725333333.33301</v>
      </c>
      <c r="K2" s="162">
        <f>VLOOKUP(B2,'[1]AP 2023'!B:ET,145,0)</f>
        <v>-719898000000</v>
      </c>
      <c r="L2" s="162">
        <f>VLOOKUP(B2,'[1]AP 2023'!B:ET,146,0)</f>
        <v>-77193000000</v>
      </c>
      <c r="M2" s="162">
        <f>VLOOKUP(B2,'[1]AP 2023'!B:ET,147,0)</f>
        <v>-2413333333.3333702</v>
      </c>
    </row>
    <row r="3" spans="1:13" x14ac:dyDescent="0.35">
      <c r="A3" s="116" t="s">
        <v>13</v>
      </c>
      <c r="B3" s="117" t="s">
        <v>404</v>
      </c>
      <c r="C3" s="118" t="str">
        <f>VLOOKUP(B3,'[1]AP 2023'!B:C,2,0)</f>
        <v>include before</v>
      </c>
      <c r="D3" s="118" t="str">
        <f>VLOOKUP(B3,'[1]AP 2022'!B:C,2,0)</f>
        <v>Include before</v>
      </c>
      <c r="E3" s="118">
        <f>VLOOKUP(B3,'[1]AP 2023'!B:H,7,0)</f>
        <v>7.2948977632585899E-2</v>
      </c>
      <c r="F3" s="159">
        <f>VLOOKUP(B3,'[1]AP 2022'!B:H,7,0)</f>
        <v>9.4949601284311805E-2</v>
      </c>
      <c r="G3" s="160"/>
      <c r="I3" s="162">
        <f>VLOOKUP(B3,'[1]AP 2023'!B:ET,143,0)</f>
        <v>264502666666.66699</v>
      </c>
      <c r="J3" s="162">
        <f>VLOOKUP(B3,'[1]AP 2023'!B:ET,144,0)</f>
        <v>-70717000000</v>
      </c>
      <c r="K3" s="162">
        <f>VLOOKUP(B3,'[1]AP 2023'!B:ET,145,0)</f>
        <v>-165600333333.33301</v>
      </c>
      <c r="L3" s="162">
        <f>VLOOKUP(B3,'[1]AP 2023'!B:ET,146,0)</f>
        <v>-10202000000</v>
      </c>
      <c r="M3" s="162">
        <f>VLOOKUP(B3,'[1]AP 2023'!B:ET,147,0)</f>
        <v>17983333333.333302</v>
      </c>
    </row>
    <row r="4" spans="1:13" x14ac:dyDescent="0.35">
      <c r="A4" s="116" t="s">
        <v>14</v>
      </c>
      <c r="B4" s="117" t="s">
        <v>717</v>
      </c>
      <c r="C4" s="118" t="str">
        <f>VLOOKUP(B4,'[1]AP 2023'!B:C,2,0)</f>
        <v>include before</v>
      </c>
      <c r="D4" s="118" t="str">
        <f>VLOOKUP(B4,'[1]AP 2022'!B:C,2,0)</f>
        <v>Include before</v>
      </c>
      <c r="E4" s="118">
        <f>VLOOKUP(B4,'[1]AP 2023'!B:H,7,0)</f>
        <v>7.6216525861436499E-2</v>
      </c>
      <c r="F4" s="159">
        <f>VLOOKUP(B4,'[1]AP 2022'!B:H,7,0)</f>
        <v>8.6139295218887996E-2</v>
      </c>
      <c r="G4" s="160"/>
      <c r="I4" s="162">
        <f>VLOOKUP(B4,'[1]AP 2023'!B:ET,143,0)</f>
        <v>20394828000</v>
      </c>
      <c r="J4" s="162">
        <f>VLOOKUP(B4,'[1]AP 2023'!B:ET,144,0)</f>
        <v>-13070575000</v>
      </c>
      <c r="K4" s="162">
        <f>VLOOKUP(B4,'[1]AP 2023'!B:ET,145,0)</f>
        <v>-5152082333.3333302</v>
      </c>
      <c r="L4" s="162">
        <f>VLOOKUP(B4,'[1]AP 2023'!B:ET,146,0)</f>
        <v>-727830333.33333302</v>
      </c>
      <c r="M4" s="162">
        <f>VLOOKUP(B4,'[1]AP 2023'!B:ET,147,0)</f>
        <v>1444340333.3333299</v>
      </c>
    </row>
    <row r="5" spans="1:13" x14ac:dyDescent="0.35">
      <c r="A5" s="116" t="s">
        <v>15</v>
      </c>
      <c r="B5" s="117" t="s">
        <v>725</v>
      </c>
      <c r="C5" s="118" t="str">
        <f>VLOOKUP(B5,'[1]AP 2023'!B:C,2,0)</f>
        <v>include before</v>
      </c>
      <c r="D5" s="118" t="str">
        <f>VLOOKUP(B5,'[1]AP 2022'!B:C,2,0)</f>
        <v>include before</v>
      </c>
      <c r="E5" s="118">
        <f>VLOOKUP(B5,'[1]AP 2023'!B:H,7,0)</f>
        <v>6.0534881501715501E-2</v>
      </c>
      <c r="F5" s="159">
        <f>VLOOKUP(B5,'[1]AP 2022'!B:H,7,0)</f>
        <v>3.9193442680985999E-2</v>
      </c>
      <c r="G5" s="119"/>
      <c r="I5" s="162">
        <f>VLOOKUP(B5,'[1]AP 2023'!B:ET,143,0)</f>
        <v>5060420666.6666698</v>
      </c>
      <c r="J5" s="162">
        <f>VLOOKUP(B5,'[1]AP 2023'!B:ET,144,0)</f>
        <v>-2071860666.6666701</v>
      </c>
      <c r="K5" s="162">
        <f>VLOOKUP(B5,'[1]AP 2023'!B:ET,145,0)</f>
        <v>-2411684000</v>
      </c>
      <c r="L5" s="162">
        <f>VLOOKUP(B5,'[1]AP 2023'!B:ET,146,0)</f>
        <v>-288029333.33333302</v>
      </c>
      <c r="M5" s="162">
        <f>VLOOKUP(B5,'[1]AP 2023'!B:ET,147,0)</f>
        <v>288846666.66666698</v>
      </c>
    </row>
    <row r="6" spans="1:13" x14ac:dyDescent="0.35">
      <c r="A6" s="116" t="s">
        <v>16</v>
      </c>
      <c r="B6" s="117" t="s">
        <v>847</v>
      </c>
      <c r="C6" s="118" t="str">
        <f>VLOOKUP(B6,'[1]AP 2023'!B:C,2,0)</f>
        <v>include before</v>
      </c>
      <c r="D6" s="118" t="str">
        <f>VLOOKUP(B6,'[1]AP 2022'!B:C,2,0)</f>
        <v>Include before</v>
      </c>
      <c r="E6" s="118">
        <f>VLOOKUP(B6,'[1]AP 2023'!B:H,7,0)</f>
        <v>-3.36818498493128E-2</v>
      </c>
      <c r="F6" s="159">
        <f>VLOOKUP(B6,'[1]AP 2022'!B:H,7,0)</f>
        <v>-2.4161154630584301E-2</v>
      </c>
      <c r="G6" s="119"/>
      <c r="I6" s="162">
        <f>VLOOKUP(B6,'[1]AP 2023'!B:ET,143,0)</f>
        <v>9868670666.6666698</v>
      </c>
      <c r="J6" s="162">
        <f>VLOOKUP(B6,'[1]AP 2023'!B:ET,144,0)</f>
        <v>-8200078333.3333302</v>
      </c>
      <c r="K6" s="162">
        <f>VLOOKUP(B6,'[1]AP 2023'!B:ET,145,0)</f>
        <v>-1177233333.3333299</v>
      </c>
      <c r="L6" s="162">
        <f>VLOOKUP(B6,'[1]AP 2023'!B:ET,146,0)</f>
        <v>-835340000</v>
      </c>
      <c r="M6" s="162">
        <f>VLOOKUP(B6,'[1]AP 2023'!B:ET,147,0)</f>
        <v>-343981000</v>
      </c>
    </row>
    <row r="7" spans="1:13" x14ac:dyDescent="0.35">
      <c r="A7" s="116" t="s">
        <v>17</v>
      </c>
      <c r="B7" s="117" t="s">
        <v>862</v>
      </c>
      <c r="C7" s="118" t="str">
        <f>VLOOKUP(B7,'[1]AP 2023'!B:C,2,0)</f>
        <v>include before</v>
      </c>
      <c r="D7" s="118" t="str">
        <f>VLOOKUP(B7,'[1]AP 2022'!B:C,2,0)</f>
        <v>include before</v>
      </c>
      <c r="E7" s="118">
        <f>VLOOKUP(B7,'[1]AP 2023'!B:H,7,0)</f>
        <v>5.8908016475508803E-3</v>
      </c>
      <c r="F7" s="159">
        <f>VLOOKUP(B7,'[1]AP 2022'!B:H,7,0)</f>
        <v>-7.8897344336891807E-3</v>
      </c>
      <c r="G7" s="119"/>
      <c r="I7" s="162">
        <f>VLOOKUP(B7,'[1]AP 2023'!B:ET,143,0)</f>
        <v>77892311000</v>
      </c>
      <c r="J7" s="162">
        <f>VLOOKUP(B7,'[1]AP 2023'!B:ET,144,0)</f>
        <v>-67155844333.333298</v>
      </c>
      <c r="K7" s="162">
        <f>VLOOKUP(B7,'[1]AP 2023'!B:ET,145,0)</f>
        <v>-9149541000</v>
      </c>
      <c r="L7" s="162">
        <f>VLOOKUP(B7,'[1]AP 2023'!B:ET,146,0)</f>
        <v>-1130764666.6666701</v>
      </c>
      <c r="M7" s="162">
        <f>VLOOKUP(B7,'[1]AP 2023'!B:ET,147,0)</f>
        <v>456160999.99999702</v>
      </c>
    </row>
    <row r="8" spans="1:13" x14ac:dyDescent="0.35">
      <c r="A8" s="116" t="s">
        <v>18</v>
      </c>
      <c r="B8" s="117" t="s">
        <v>935</v>
      </c>
      <c r="C8" s="118" t="str">
        <f>VLOOKUP(B8,'[1]AP 2023'!B:C,2,0)</f>
        <v>include before</v>
      </c>
      <c r="D8" s="118" t="str">
        <f>VLOOKUP(B8,'[1]AP 2022'!B:C,2,0)</f>
        <v>include before</v>
      </c>
      <c r="E8" s="118">
        <f>VLOOKUP(B8,'[1]AP 2023'!B:H,7,0)</f>
        <v>1.3851248258788701E-2</v>
      </c>
      <c r="F8" s="159">
        <f>VLOOKUP(B8,'[1]AP 2022'!B:H,7,0)</f>
        <v>1.98502083579815E-2</v>
      </c>
      <c r="G8" s="119"/>
      <c r="I8" s="162">
        <f>VLOOKUP(B8,'[1]AP 2023'!B:ET,143,0)</f>
        <v>84700797000</v>
      </c>
      <c r="J8" s="162">
        <f>VLOOKUP(B8,'[1]AP 2023'!B:ET,144,0)</f>
        <v>-46336465666.666702</v>
      </c>
      <c r="K8" s="162">
        <f>VLOOKUP(B8,'[1]AP 2023'!B:ET,145,0)</f>
        <v>-34204699000</v>
      </c>
      <c r="L8" s="162">
        <f>VLOOKUP(B8,'[1]AP 2023'!B:ET,146,0)</f>
        <v>-3002449000</v>
      </c>
      <c r="M8" s="162">
        <f>VLOOKUP(B8,'[1]AP 2023'!B:ET,147,0)</f>
        <v>1157183333.3333399</v>
      </c>
    </row>
    <row r="9" spans="1:13" x14ac:dyDescent="0.35">
      <c r="A9" s="116" t="s">
        <v>177</v>
      </c>
      <c r="B9" s="117" t="s">
        <v>1389</v>
      </c>
      <c r="C9" s="118" t="str">
        <f>VLOOKUP(B9,'[1]AP 2023'!B:C,2,0)</f>
        <v>exclude</v>
      </c>
      <c r="D9" s="118" t="str">
        <f>VLOOKUP(B9,'[1]AP 2022'!B:C,2,0)</f>
        <v>include before</v>
      </c>
      <c r="E9" s="118" t="str">
        <f>VLOOKUP(B9,'[1]AP 2023'!B:H,7,0)</f>
        <v/>
      </c>
      <c r="F9" s="159">
        <f>VLOOKUP(B9,'[1]AP 2022'!B:H,7,0)</f>
        <v>3.5186737914747801E-2</v>
      </c>
      <c r="G9" s="119"/>
      <c r="I9" s="162"/>
      <c r="J9" s="162"/>
      <c r="K9" s="162"/>
      <c r="L9" s="162"/>
      <c r="M9" s="162"/>
    </row>
    <row r="10" spans="1:13" x14ac:dyDescent="0.35">
      <c r="A10" s="116" t="s">
        <v>19</v>
      </c>
      <c r="B10" s="117" t="s">
        <v>1013</v>
      </c>
      <c r="C10" s="118" t="str">
        <f>VLOOKUP(B10,'[1]AP 2023'!B:C,2,0)</f>
        <v>include before</v>
      </c>
      <c r="D10" s="118" t="str">
        <f>VLOOKUP(B10,'[1]AP 2022'!B:C,2,0)</f>
        <v>newly include</v>
      </c>
      <c r="E10" s="118">
        <f>VLOOKUP(B10,'[1]AP 2023'!B:H,7,0)</f>
        <v>0.187462640678874</v>
      </c>
      <c r="F10" s="159">
        <f>VLOOKUP(B10,'[1]AP 2022'!B:H,7,0)</f>
        <v>0.17621434788573101</v>
      </c>
      <c r="G10" s="119"/>
      <c r="I10" s="162">
        <f>VLOOKUP(B10,'[1]AP 2023'!B:ET,143,0)</f>
        <v>1199880333.3333299</v>
      </c>
      <c r="J10" s="162">
        <f>VLOOKUP(B10,'[1]AP 2023'!B:ET,144,0)</f>
        <v>-384358000</v>
      </c>
      <c r="K10" s="162">
        <f>VLOOKUP(B10,'[1]AP 2023'!B:ET,145,0)</f>
        <v>-588763000</v>
      </c>
      <c r="L10" s="162">
        <f>VLOOKUP(B10,'[1]AP 2023'!B:ET,146,0)</f>
        <v>-37336333.333333299</v>
      </c>
      <c r="M10" s="162">
        <f>VLOOKUP(B10,'[1]AP 2023'!B:ET,147,0)</f>
        <v>189423000</v>
      </c>
    </row>
    <row r="11" spans="1:13" x14ac:dyDescent="0.35">
      <c r="A11" s="116" t="s">
        <v>20</v>
      </c>
      <c r="B11" s="117" t="s">
        <v>574</v>
      </c>
      <c r="C11" s="118" t="str">
        <f>VLOOKUP(B11,'[1]AP 2023'!B:C,2,0)</f>
        <v>pending</v>
      </c>
      <c r="D11" s="118" t="str">
        <f>VLOOKUP(B11,'[1]AP 2022'!B:C,2,0)</f>
        <v>exclude</v>
      </c>
      <c r="E11" s="118">
        <f>VLOOKUP(B11,'[1]AP 2023'!B:H,7,0)</f>
        <v>9.70639371700531E-3</v>
      </c>
      <c r="F11" s="159" t="str">
        <f>VLOOKUP(B11,'[1]AP 2022'!B:H,7,0)</f>
        <v/>
      </c>
      <c r="G11" s="119"/>
      <c r="I11" s="162">
        <f>VLOOKUP(B11,'[1]AP 2023'!B:ET,143,0)</f>
        <v>573102094333.33301</v>
      </c>
      <c r="J11" s="162">
        <f>VLOOKUP(B11,'[1]AP 2023'!B:ET,144,0)</f>
        <v>-490586605666.66699</v>
      </c>
      <c r="K11" s="162">
        <f>VLOOKUP(B11,'[1]AP 2023'!B:ET,145,0)</f>
        <v>-70999356333.333298</v>
      </c>
      <c r="L11" s="162">
        <f>VLOOKUP(B11,'[1]AP 2023'!B:ET,146,0)</f>
        <v>-6006853000</v>
      </c>
      <c r="M11" s="162">
        <f>VLOOKUP(B11,'[1]AP 2023'!B:ET,147,0)</f>
        <v>5509279333.3333597</v>
      </c>
    </row>
    <row r="12" spans="1:13" ht="13" x14ac:dyDescent="0.3">
      <c r="A12" s="116" t="s">
        <v>178</v>
      </c>
      <c r="B12" s="188" t="s">
        <v>1390</v>
      </c>
      <c r="C12" s="118" t="str">
        <f>VLOOKUP(B12,'[1]AP 2023'!B:C,2,0)</f>
        <v>exclude</v>
      </c>
      <c r="D12" s="118" t="str">
        <f>VLOOKUP(B12,'[1]AP 2022'!B:C,2,0)</f>
        <v>newly include</v>
      </c>
      <c r="E12" s="118" t="str">
        <f>VLOOKUP(B12,'[1]AP 2023'!B:H,7,0)</f>
        <v/>
      </c>
      <c r="F12" s="159">
        <f>VLOOKUP(B12,'[1]AP 2022'!B:H,7,0)</f>
        <v>-3.0808495123507501E-2</v>
      </c>
      <c r="G12" s="119"/>
      <c r="I12" s="162"/>
      <c r="J12" s="162"/>
      <c r="K12" s="162"/>
      <c r="L12" s="162"/>
      <c r="M12" s="162"/>
    </row>
    <row r="13" spans="1:13" x14ac:dyDescent="0.35">
      <c r="A13" s="189"/>
      <c r="B13" s="190"/>
      <c r="C13" s="191"/>
      <c r="D13" s="191"/>
      <c r="E13" s="191"/>
      <c r="F13" s="192"/>
      <c r="G13" s="193"/>
      <c r="I13" s="162"/>
      <c r="J13" s="162"/>
      <c r="K13" s="162"/>
      <c r="L13" s="162"/>
      <c r="M13" s="162"/>
    </row>
    <row r="14" spans="1:13" x14ac:dyDescent="0.25">
      <c r="C14" s="111" t="s">
        <v>21</v>
      </c>
    </row>
    <row r="15" spans="1:13" x14ac:dyDescent="0.25">
      <c r="C15" s="111" t="s">
        <v>21</v>
      </c>
      <c r="D15" s="114"/>
      <c r="E15" s="120" t="s">
        <v>22</v>
      </c>
      <c r="F15" s="120" t="s">
        <v>23</v>
      </c>
    </row>
    <row r="16" spans="1:13" x14ac:dyDescent="0.25">
      <c r="D16" s="121" t="s">
        <v>24</v>
      </c>
      <c r="E16" s="121">
        <f>QUARTILE($E$2:$E$11,G16)</f>
        <v>-3.36818498493128E-2</v>
      </c>
      <c r="F16" s="121">
        <f>QUARTILE($F$2:$F$12,G16)</f>
        <v>-3.0808495123507501E-2</v>
      </c>
      <c r="G16" s="112">
        <v>0</v>
      </c>
    </row>
    <row r="17" spans="2:7" x14ac:dyDescent="0.25">
      <c r="B17" s="110"/>
      <c r="C17" s="122"/>
      <c r="D17" s="121" t="s">
        <v>25</v>
      </c>
      <c r="E17" s="121">
        <f t="shared" ref="E17:E20" si="0">QUARTILE($E$2:$E$11,G17)</f>
        <v>5.8908016475508803E-3</v>
      </c>
      <c r="F17" s="121">
        <f>QUARTILE($F$2:$F$12,G17)</f>
        <v>-9.5474873577151061E-4</v>
      </c>
      <c r="G17" s="112">
        <v>1</v>
      </c>
    </row>
    <row r="18" spans="2:7" x14ac:dyDescent="0.25">
      <c r="B18" s="110"/>
      <c r="C18" s="122"/>
      <c r="D18" s="161" t="s">
        <v>26</v>
      </c>
      <c r="E18" s="161">
        <f t="shared" si="0"/>
        <v>1.3851248258788701E-2</v>
      </c>
      <c r="F18" s="161">
        <f>QUARTILE($F$2:$F$12,G18)</f>
        <v>3.71900902978669E-2</v>
      </c>
      <c r="G18" s="112">
        <v>2</v>
      </c>
    </row>
    <row r="19" spans="2:7" x14ac:dyDescent="0.25">
      <c r="B19" s="110"/>
      <c r="C19" s="122"/>
      <c r="D19" s="121" t="s">
        <v>27</v>
      </c>
      <c r="E19" s="121">
        <f t="shared" si="0"/>
        <v>7.2948977632585899E-2</v>
      </c>
      <c r="F19" s="121">
        <f>QUARTILE($F$2:$F$12,G19)</f>
        <v>7.6765549511268516E-2</v>
      </c>
      <c r="G19" s="112">
        <v>3</v>
      </c>
    </row>
    <row r="20" spans="2:7" x14ac:dyDescent="0.25">
      <c r="B20" s="110"/>
      <c r="C20" s="122"/>
      <c r="D20" s="121" t="s">
        <v>28</v>
      </c>
      <c r="E20" s="121">
        <f t="shared" si="0"/>
        <v>0.187462640678874</v>
      </c>
      <c r="F20" s="121">
        <f>QUARTILE($F$2:$F$12,G20)</f>
        <v>0.17621434788573101</v>
      </c>
      <c r="G20" s="112">
        <v>4</v>
      </c>
    </row>
    <row r="21" spans="2:7" x14ac:dyDescent="0.25">
      <c r="B21" s="110"/>
      <c r="C21" s="122"/>
      <c r="D21" s="122"/>
      <c r="E21" s="122"/>
    </row>
    <row r="22" spans="2:7" x14ac:dyDescent="0.25">
      <c r="B22" s="110"/>
      <c r="C22" s="122"/>
      <c r="D22" s="122"/>
      <c r="E22" s="122"/>
    </row>
    <row r="23" spans="2:7" x14ac:dyDescent="0.25">
      <c r="B23" s="110"/>
      <c r="C23" s="122"/>
      <c r="D23" s="122"/>
      <c r="E23" s="122"/>
    </row>
    <row r="24" spans="2:7" x14ac:dyDescent="0.25">
      <c r="B24" s="110"/>
      <c r="C24" s="122"/>
      <c r="D24" s="122"/>
      <c r="E24" s="122"/>
    </row>
    <row r="25" spans="2:7" x14ac:dyDescent="0.25">
      <c r="B25" s="110"/>
      <c r="C25" s="122"/>
      <c r="D25" s="122"/>
      <c r="E25" s="122"/>
    </row>
    <row r="26" spans="2:7" x14ac:dyDescent="0.25">
      <c r="B26" s="110"/>
      <c r="C26" s="122"/>
      <c r="D26" s="122"/>
      <c r="E26" s="122"/>
    </row>
    <row r="27" spans="2:7" x14ac:dyDescent="0.25">
      <c r="B27" s="110"/>
      <c r="C27" s="122"/>
      <c r="D27" s="122"/>
      <c r="E27" s="122"/>
    </row>
    <row r="28" spans="2:7" x14ac:dyDescent="0.25">
      <c r="B28" s="110"/>
      <c r="C28" s="122"/>
      <c r="D28" s="122"/>
      <c r="E28" s="122"/>
    </row>
    <row r="29" spans="2:7" x14ac:dyDescent="0.25">
      <c r="B29" s="110"/>
      <c r="C29" s="122"/>
      <c r="D29" s="122"/>
      <c r="E29" s="122"/>
    </row>
    <row r="30" spans="2:7" x14ac:dyDescent="0.25">
      <c r="B30" s="110"/>
      <c r="C30" s="122"/>
      <c r="D30" s="122"/>
      <c r="E30" s="122"/>
    </row>
    <row r="31" spans="2:7" x14ac:dyDescent="0.25">
      <c r="B31" s="110"/>
      <c r="C31" s="122"/>
      <c r="D31" s="122"/>
      <c r="E31" s="122"/>
    </row>
  </sheetData>
  <autoFilter ref="A1:G20" xr:uid="{00000000-0009-0000-0000-000001000000}"/>
  <phoneticPr fontId="35"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election activeCell="F12" sqref="F12"/>
    </sheetView>
  </sheetViews>
  <sheetFormatPr defaultColWidth="9.08984375" defaultRowHeight="12.5" x14ac:dyDescent="0.25"/>
  <cols>
    <col min="1" max="1" width="19.7265625" style="88" customWidth="1"/>
    <col min="2" max="2" width="46" style="89" customWidth="1"/>
    <col min="3" max="3" width="31" style="88" customWidth="1"/>
    <col min="4" max="4" width="9.36328125" style="89" customWidth="1"/>
    <col min="5" max="5" width="21.26953125" style="89" customWidth="1"/>
    <col min="6" max="16384" width="9.08984375" style="89"/>
  </cols>
  <sheetData>
    <row r="1" spans="1:5" ht="13" x14ac:dyDescent="0.3">
      <c r="A1" s="169" t="s">
        <v>29</v>
      </c>
      <c r="B1" s="169"/>
      <c r="C1" s="169"/>
    </row>
    <row r="2" spans="1:5" ht="13" x14ac:dyDescent="0.3">
      <c r="A2" s="90" t="s">
        <v>30</v>
      </c>
      <c r="B2" s="168"/>
      <c r="C2" s="168"/>
    </row>
    <row r="3" spans="1:5" x14ac:dyDescent="0.25">
      <c r="A3" s="91" t="s">
        <v>31</v>
      </c>
      <c r="B3" s="168" t="s">
        <v>323</v>
      </c>
      <c r="C3" s="168"/>
    </row>
    <row r="4" spans="1:5" x14ac:dyDescent="0.25">
      <c r="A4" s="91" t="s">
        <v>32</v>
      </c>
      <c r="B4" s="168"/>
      <c r="C4" s="168"/>
    </row>
    <row r="5" spans="1:5" ht="13" x14ac:dyDescent="0.3">
      <c r="A5" s="90" t="s">
        <v>33</v>
      </c>
      <c r="B5" s="168"/>
      <c r="C5" s="168"/>
    </row>
    <row r="6" spans="1:5" x14ac:dyDescent="0.25">
      <c r="A6" s="91" t="s">
        <v>34</v>
      </c>
      <c r="B6" s="168"/>
      <c r="C6" s="168"/>
    </row>
    <row r="7" spans="1:5" x14ac:dyDescent="0.25">
      <c r="A7" s="91" t="s">
        <v>35</v>
      </c>
      <c r="B7" s="168" t="s">
        <v>23</v>
      </c>
      <c r="C7" s="168"/>
    </row>
    <row r="8" spans="1:5" x14ac:dyDescent="0.25">
      <c r="A8" s="91" t="s">
        <v>36</v>
      </c>
      <c r="B8" s="168" t="s">
        <v>324</v>
      </c>
      <c r="C8" s="168"/>
    </row>
    <row r="9" spans="1:5" ht="13" x14ac:dyDescent="0.25">
      <c r="A9" s="92" t="s">
        <v>37</v>
      </c>
      <c r="B9" s="168" t="s">
        <v>325</v>
      </c>
      <c r="C9" s="168"/>
      <c r="E9" s="93"/>
    </row>
    <row r="10" spans="1:5" x14ac:dyDescent="0.25">
      <c r="A10" s="91" t="s">
        <v>38</v>
      </c>
      <c r="B10" s="168" t="s">
        <v>326</v>
      </c>
      <c r="C10" s="168"/>
    </row>
    <row r="11" spans="1:5" x14ac:dyDescent="0.25">
      <c r="A11" s="94" t="s">
        <v>39</v>
      </c>
      <c r="B11" s="168" t="s">
        <v>327</v>
      </c>
      <c r="C11" s="168"/>
    </row>
    <row r="12" spans="1:5" x14ac:dyDescent="0.25">
      <c r="A12" s="95"/>
      <c r="B12" s="96"/>
      <c r="C12" s="95"/>
    </row>
    <row r="13" spans="1:5" ht="13" x14ac:dyDescent="0.3">
      <c r="A13" s="169" t="s">
        <v>40</v>
      </c>
      <c r="B13" s="169"/>
      <c r="C13" s="169"/>
    </row>
    <row r="14" spans="1:5" ht="13" x14ac:dyDescent="0.3">
      <c r="A14" s="97" t="s">
        <v>41</v>
      </c>
      <c r="B14" s="98" t="s">
        <v>42</v>
      </c>
      <c r="C14" s="97" t="s">
        <v>43</v>
      </c>
    </row>
    <row r="15" spans="1:5" s="155" customFormat="1" x14ac:dyDescent="0.25">
      <c r="A15" s="156" t="s">
        <v>315</v>
      </c>
      <c r="B15" s="157" t="s">
        <v>316</v>
      </c>
      <c r="C15" s="100">
        <f>COUNTIF('[1]AP 2023'!U:U,'[1]AP Lead Sheet 2023'!A15)</f>
        <v>30</v>
      </c>
    </row>
    <row r="16" spans="1:5" s="155" customFormat="1" ht="25" x14ac:dyDescent="0.25">
      <c r="A16" s="156" t="s">
        <v>317</v>
      </c>
      <c r="B16" s="106" t="s">
        <v>318</v>
      </c>
      <c r="C16" s="100">
        <f>COUNTIF('[1]AP 2023'!U:U,'[1]AP Lead Sheet 2023'!A16)</f>
        <v>6</v>
      </c>
    </row>
    <row r="17" spans="1:4" s="155" customFormat="1" ht="25" x14ac:dyDescent="0.25">
      <c r="A17" s="156" t="s">
        <v>319</v>
      </c>
      <c r="B17" s="106" t="s">
        <v>320</v>
      </c>
      <c r="C17" s="100">
        <f>COUNTIF('[1]AP 2023'!U:U,'[1]AP Lead Sheet 2023'!A17)</f>
        <v>5</v>
      </c>
    </row>
    <row r="18" spans="1:4" s="155" customFormat="1" x14ac:dyDescent="0.25">
      <c r="A18" s="156" t="s">
        <v>321</v>
      </c>
      <c r="B18" s="106" t="s">
        <v>322</v>
      </c>
      <c r="C18" s="100">
        <f>COUNTIF('[1]AP 2023'!U:U,'[1]AP Lead Sheet 2023'!A18)</f>
        <v>96</v>
      </c>
    </row>
    <row r="19" spans="1:4" ht="13" x14ac:dyDescent="0.3">
      <c r="A19" s="95"/>
      <c r="B19" s="102" t="s">
        <v>44</v>
      </c>
      <c r="C19" s="103">
        <f>SUM(C15:C18)</f>
        <v>137</v>
      </c>
    </row>
    <row r="20" spans="1:4" x14ac:dyDescent="0.25">
      <c r="A20" s="104"/>
      <c r="B20" s="96"/>
      <c r="C20" s="95"/>
    </row>
    <row r="21" spans="1:4" ht="13" x14ac:dyDescent="0.3">
      <c r="A21" s="169" t="s">
        <v>45</v>
      </c>
      <c r="B21" s="169"/>
      <c r="C21" s="169"/>
    </row>
    <row r="22" spans="1:4" ht="13" x14ac:dyDescent="0.3">
      <c r="A22" s="97" t="s">
        <v>46</v>
      </c>
      <c r="B22" s="98" t="s">
        <v>47</v>
      </c>
      <c r="C22" s="97" t="s">
        <v>48</v>
      </c>
    </row>
    <row r="23" spans="1:4" x14ac:dyDescent="0.25">
      <c r="A23" s="105">
        <v>1</v>
      </c>
      <c r="B23" s="99" t="s">
        <v>309</v>
      </c>
      <c r="C23" s="100">
        <v>91</v>
      </c>
      <c r="D23" s="158">
        <f>C19-C23</f>
        <v>46</v>
      </c>
    </row>
    <row r="24" spans="1:4" x14ac:dyDescent="0.25">
      <c r="A24" s="105">
        <v>2</v>
      </c>
      <c r="B24" s="106" t="s">
        <v>310</v>
      </c>
      <c r="C24" s="100">
        <v>5</v>
      </c>
    </row>
    <row r="25" spans="1:4" x14ac:dyDescent="0.25">
      <c r="A25" s="105">
        <v>3</v>
      </c>
      <c r="B25" s="101" t="s">
        <v>311</v>
      </c>
      <c r="C25" s="100">
        <v>6</v>
      </c>
    </row>
    <row r="26" spans="1:4" x14ac:dyDescent="0.25">
      <c r="A26" s="105">
        <v>4</v>
      </c>
      <c r="B26" s="101" t="s">
        <v>312</v>
      </c>
      <c r="C26" s="100">
        <v>23</v>
      </c>
    </row>
    <row r="27" spans="1:4" x14ac:dyDescent="0.25">
      <c r="A27" s="105">
        <v>5</v>
      </c>
      <c r="B27" s="106" t="s">
        <v>313</v>
      </c>
      <c r="C27" s="100">
        <v>2</v>
      </c>
    </row>
    <row r="28" spans="1:4" x14ac:dyDescent="0.25">
      <c r="A28" s="105">
        <v>6</v>
      </c>
      <c r="B28" s="106" t="s">
        <v>314</v>
      </c>
      <c r="C28" s="100">
        <v>1</v>
      </c>
    </row>
    <row r="29" spans="1:4" ht="13" x14ac:dyDescent="0.3">
      <c r="A29" s="107"/>
      <c r="B29" s="108" t="s">
        <v>49</v>
      </c>
      <c r="C29" s="107">
        <f>SUM(C23:C28)</f>
        <v>128</v>
      </c>
    </row>
    <row r="30" spans="1:4" ht="13" x14ac:dyDescent="0.3">
      <c r="A30" s="107"/>
      <c r="B30" s="108" t="s">
        <v>50</v>
      </c>
      <c r="C30" s="103">
        <f>C19-C29</f>
        <v>9</v>
      </c>
    </row>
  </sheetData>
  <mergeCells count="13">
    <mergeCell ref="A1:C1"/>
    <mergeCell ref="B2:C2"/>
    <mergeCell ref="B3:C3"/>
    <mergeCell ref="B4:C4"/>
    <mergeCell ref="B5:C5"/>
    <mergeCell ref="B11:C11"/>
    <mergeCell ref="A13:C13"/>
    <mergeCell ref="A21:C21"/>
    <mergeCell ref="B6:C6"/>
    <mergeCell ref="B7:C7"/>
    <mergeCell ref="B8:C8"/>
    <mergeCell ref="B9:C9"/>
    <mergeCell ref="B10:C10"/>
  </mergeCells>
  <phoneticPr fontId="35"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J143"/>
  <sheetViews>
    <sheetView zoomScale="70" zoomScaleNormal="70" workbookViewId="0">
      <pane xSplit="2" ySplit="3" topLeftCell="C4" activePane="bottomRight" state="frozen"/>
      <selection pane="topRight"/>
      <selection pane="bottomLeft"/>
      <selection pane="bottomRight" activeCell="B17" sqref="B17"/>
    </sheetView>
  </sheetViews>
  <sheetFormatPr defaultColWidth="16.08984375" defaultRowHeight="12.5" outlineLevelCol="3" x14ac:dyDescent="0.25"/>
  <cols>
    <col min="1" max="1" width="16.08984375" style="4"/>
    <col min="2" max="2" width="57.90625" style="5" customWidth="1"/>
    <col min="3" max="3" width="23.7265625" style="6" customWidth="1"/>
    <col min="4" max="4" width="17.453125" style="7" customWidth="1"/>
    <col min="5" max="5" width="21.7265625" style="6" customWidth="1"/>
    <col min="6" max="6" width="16.08984375" style="8" outlineLevel="2"/>
    <col min="7" max="7" width="16.08984375" style="9" outlineLevel="3"/>
    <col min="8" max="8" width="24" style="10" customWidth="1" outlineLevel="3"/>
    <col min="9" max="9" width="16.08984375" style="7" outlineLevel="3"/>
    <col min="10" max="10" width="16.08984375" style="11" customWidth="1" outlineLevel="2"/>
    <col min="11" max="11" width="16.08984375" style="10" outlineLevel="2"/>
    <col min="12" max="12" width="16.08984375" style="12" outlineLevel="2"/>
    <col min="13" max="13" width="43.90625" style="10" customWidth="1" outlineLevel="2"/>
    <col min="14" max="14" width="16.08984375" style="13" outlineLevel="1"/>
    <col min="15" max="15" width="16.08984375" style="14" outlineLevel="1"/>
    <col min="16" max="16" width="16.08984375" style="15" outlineLevel="1"/>
    <col min="17" max="17" width="16.08984375" style="14" outlineLevel="1"/>
    <col min="18" max="18" width="16.08984375" style="15" outlineLevel="2"/>
    <col min="19" max="19" width="16.08984375" style="14" outlineLevel="1"/>
    <col min="20" max="20" width="16.08984375" style="15"/>
    <col min="21" max="21" width="16.08984375" style="15" outlineLevel="1"/>
    <col min="22" max="22" width="16.08984375" style="14" outlineLevel="1"/>
    <col min="23" max="26" width="16.08984375" style="15" outlineLevel="1"/>
    <col min="27" max="27" width="16.08984375" style="11" outlineLevel="1"/>
    <col min="28" max="30" width="16.08984375" style="15" outlineLevel="1"/>
    <col min="31" max="31" width="16.08984375" style="11" outlineLevel="1"/>
    <col min="32" max="34" width="16.08984375" style="15" outlineLevel="1"/>
    <col min="35" max="35" width="16.08984375" style="11" outlineLevel="1"/>
    <col min="36" max="38" width="16.08984375" style="15" outlineLevel="1"/>
    <col min="39" max="39" width="16.08984375" style="11" outlineLevel="1"/>
    <col min="40" max="42" width="16.08984375" style="15" outlineLevel="1"/>
    <col min="43" max="43" width="16.08984375" style="11" outlineLevel="1"/>
    <col min="44" max="46" width="16.08984375" style="15" outlineLevel="1"/>
    <col min="47" max="47" width="16.08984375" style="11" outlineLevel="1"/>
    <col min="48" max="50" width="16.08984375" style="15" outlineLevel="1"/>
    <col min="51" max="51" width="16.08984375" style="11" outlineLevel="1"/>
    <col min="52" max="54" width="16.08984375" style="15" outlineLevel="1"/>
    <col min="55" max="55" width="16.08984375" style="11" outlineLevel="1"/>
    <col min="56" max="58" width="16.08984375" style="15" outlineLevel="1"/>
    <col min="59" max="59" width="16.08984375" style="11" outlineLevel="1"/>
    <col min="60" max="62" width="16.08984375" style="15" outlineLevel="1"/>
    <col min="63" max="63" width="16.08984375" style="11" outlineLevel="1"/>
    <col min="64" max="66" width="16.08984375" style="15" outlineLevel="1"/>
    <col min="67" max="67" width="16.08984375" style="11" outlineLevel="1"/>
    <col min="68" max="70" width="16.08984375" style="15" outlineLevel="1"/>
    <col min="71" max="71" width="16.08984375" style="11" outlineLevel="1"/>
    <col min="72" max="74" width="16.08984375" style="15" outlineLevel="1"/>
    <col min="75" max="75" width="16.08984375" style="15" outlineLevel="2"/>
    <col min="76" max="78" width="16.08984375" style="15" outlineLevel="1"/>
    <col min="79" max="79" width="16.08984375" style="15" outlineLevel="2"/>
    <col min="80" max="82" width="16.08984375" style="15" outlineLevel="1"/>
    <col min="83" max="83" width="16.08984375" style="15" outlineLevel="2"/>
    <col min="84" max="86" width="16.08984375" style="15" outlineLevel="1"/>
    <col min="87" max="87" width="16.08984375" style="15" outlineLevel="2"/>
    <col min="88" max="90" width="16.08984375" style="15" outlineLevel="1"/>
    <col min="91" max="91" width="16.08984375" style="15" outlineLevel="2"/>
    <col min="92" max="94" width="16.08984375" style="15" outlineLevel="1"/>
    <col min="95" max="95" width="16.08984375" style="15" outlineLevel="2"/>
    <col min="96" max="98" width="16.08984375" style="15" outlineLevel="1"/>
    <col min="99" max="99" width="16.08984375" style="15" outlineLevel="2"/>
    <col min="100" max="102" width="16.08984375" style="15" outlineLevel="1"/>
    <col min="103" max="103" width="16.08984375" style="15" outlineLevel="2"/>
    <col min="104" max="106" width="16.08984375" style="15" outlineLevel="1"/>
    <col min="107" max="107" width="16.08984375" style="15" outlineLevel="2"/>
    <col min="108" max="110" width="16.08984375" style="15" outlineLevel="1"/>
    <col min="111" max="115" width="16.08984375" style="16" outlineLevel="1"/>
    <col min="116" max="117" width="16.08984375" style="17" outlineLevel="1"/>
    <col min="118" max="118" width="16.08984375" style="15" customWidth="1" outlineLevel="1"/>
    <col min="119" max="121" width="16.08984375" style="15" outlineLevel="1"/>
    <col min="122" max="122" width="17.6328125" style="15" outlineLevel="1"/>
    <col min="123" max="124" width="17.26953125" style="15" outlineLevel="1"/>
    <col min="125" max="132" width="16.08984375" style="15" outlineLevel="1"/>
    <col min="133" max="133" width="18.7265625" style="15" outlineLevel="1"/>
    <col min="134" max="135" width="18.453125" style="15" outlineLevel="1"/>
    <col min="136" max="136" width="16.7265625" style="15" outlineLevel="1"/>
    <col min="137" max="137" width="17.7265625" style="15" outlineLevel="1"/>
    <col min="138" max="143" width="16.08984375" style="15" outlineLevel="1"/>
    <col min="144" max="144" width="22.7265625" style="15" customWidth="1" outlineLevel="1"/>
    <col min="145" max="146" width="23.453125" style="15" customWidth="1" outlineLevel="1"/>
    <col min="147" max="147" width="22.453125" style="15" customWidth="1" outlineLevel="1"/>
    <col min="148" max="148" width="21.7265625" style="15" customWidth="1" outlineLevel="1"/>
    <col min="149" max="149" width="16.08984375" style="15" outlineLevel="1"/>
    <col min="150" max="153" width="16.08984375" style="14" outlineLevel="1"/>
    <col min="154" max="154" width="16.08984375" style="18" outlineLevel="1"/>
    <col min="155" max="157" width="16.08984375" style="14"/>
    <col min="158" max="158" width="24.7265625" style="14" customWidth="1"/>
    <col min="159" max="159" width="46.26953125" style="14" customWidth="1"/>
    <col min="160" max="217" width="16.08984375" style="19"/>
    <col min="218" max="16384" width="16.08984375" style="10"/>
  </cols>
  <sheetData>
    <row r="1" spans="1:217" s="1" customFormat="1" ht="13" x14ac:dyDescent="0.3">
      <c r="A1" s="170" t="s">
        <v>51</v>
      </c>
      <c r="B1" s="171"/>
      <c r="C1" s="172"/>
      <c r="D1" s="173"/>
      <c r="E1" s="174"/>
      <c r="F1" s="174"/>
      <c r="G1" s="175"/>
      <c r="H1" s="176"/>
      <c r="I1" s="174"/>
      <c r="J1" s="36"/>
      <c r="K1" s="37"/>
      <c r="L1" s="38"/>
      <c r="M1" s="37"/>
      <c r="N1" s="39"/>
      <c r="O1" s="40"/>
      <c r="P1" s="41"/>
      <c r="Q1" s="40"/>
      <c r="R1" s="41"/>
      <c r="S1" s="40"/>
      <c r="T1" s="41"/>
      <c r="U1" s="41"/>
      <c r="V1" s="40"/>
      <c r="W1" s="50"/>
      <c r="X1" s="50"/>
      <c r="Y1" s="50"/>
      <c r="Z1" s="50"/>
      <c r="AA1" s="53"/>
      <c r="AB1" s="54"/>
      <c r="AC1" s="54"/>
      <c r="AD1" s="54"/>
      <c r="AE1" s="53"/>
      <c r="AF1" s="54"/>
      <c r="AG1" s="54"/>
      <c r="AH1" s="54"/>
      <c r="AI1" s="53"/>
      <c r="AJ1" s="54"/>
      <c r="AK1" s="54"/>
      <c r="AL1" s="54"/>
      <c r="AM1" s="53"/>
      <c r="AN1" s="54"/>
      <c r="AO1" s="54"/>
      <c r="AP1" s="54"/>
      <c r="AQ1" s="53"/>
      <c r="AR1" s="54"/>
      <c r="AS1" s="54"/>
      <c r="AT1" s="54"/>
      <c r="AU1" s="53"/>
      <c r="AV1" s="54"/>
      <c r="AW1" s="54"/>
      <c r="AX1" s="54"/>
      <c r="AY1" s="53"/>
      <c r="AZ1" s="54"/>
      <c r="BA1" s="54"/>
      <c r="BB1" s="54"/>
      <c r="BC1" s="53"/>
      <c r="BD1" s="54"/>
      <c r="BE1" s="54"/>
      <c r="BF1" s="54"/>
      <c r="BG1" s="53"/>
      <c r="BH1" s="54"/>
      <c r="BI1" s="54"/>
      <c r="BJ1" s="54"/>
      <c r="BK1" s="53"/>
      <c r="BL1" s="54"/>
      <c r="BM1" s="54"/>
      <c r="BN1" s="54"/>
      <c r="BO1" s="53"/>
      <c r="BP1" s="54"/>
      <c r="BQ1" s="54"/>
      <c r="BR1" s="54"/>
      <c r="BS1" s="53" t="s">
        <v>52</v>
      </c>
      <c r="BT1" s="54"/>
      <c r="BU1" s="54"/>
      <c r="BV1" s="54"/>
      <c r="BW1" s="55"/>
      <c r="BX1" s="54"/>
      <c r="BY1" s="54"/>
      <c r="BZ1" s="54"/>
      <c r="CA1" s="55"/>
      <c r="CB1" s="54"/>
      <c r="CC1" s="54"/>
      <c r="CD1" s="54"/>
      <c r="CE1" s="55"/>
      <c r="CF1" s="54"/>
      <c r="CG1" s="54"/>
      <c r="CH1" s="54"/>
      <c r="CI1" s="55"/>
      <c r="CJ1" s="54"/>
      <c r="CK1" s="54"/>
      <c r="CL1" s="54"/>
      <c r="CM1" s="55"/>
      <c r="CN1" s="54"/>
      <c r="CO1" s="54"/>
      <c r="CP1" s="54"/>
      <c r="CQ1" s="55"/>
      <c r="CR1" s="54"/>
      <c r="CS1" s="54"/>
      <c r="CT1" s="54"/>
      <c r="CU1" s="55"/>
      <c r="CV1" s="54"/>
      <c r="CW1" s="54"/>
      <c r="CX1" s="54"/>
      <c r="CY1" s="55"/>
      <c r="CZ1" s="54"/>
      <c r="DA1" s="54"/>
      <c r="DB1" s="54"/>
      <c r="DC1" s="55"/>
      <c r="DD1" s="54"/>
      <c r="DE1" s="54"/>
      <c r="DF1" s="54"/>
      <c r="DG1" s="181" t="s">
        <v>23</v>
      </c>
      <c r="DH1" s="181"/>
      <c r="DI1" s="181"/>
      <c r="DJ1" s="181"/>
      <c r="DK1" s="181"/>
      <c r="DL1" s="181"/>
      <c r="DM1" s="181"/>
      <c r="DN1" s="181"/>
      <c r="DO1" s="181"/>
      <c r="DP1" s="181"/>
      <c r="DQ1" s="59"/>
      <c r="DR1" s="181" t="s">
        <v>53</v>
      </c>
      <c r="DS1" s="181"/>
      <c r="DT1" s="181"/>
      <c r="DU1" s="181"/>
      <c r="DV1" s="181"/>
      <c r="DW1" s="181"/>
      <c r="DX1" s="181"/>
      <c r="DY1" s="181"/>
      <c r="DZ1" s="181"/>
      <c r="EA1" s="181"/>
      <c r="EB1" s="59"/>
      <c r="EC1" s="181" t="s">
        <v>54</v>
      </c>
      <c r="ED1" s="181"/>
      <c r="EE1" s="181"/>
      <c r="EF1" s="181"/>
      <c r="EG1" s="181"/>
      <c r="EH1" s="181"/>
      <c r="EI1" s="181"/>
      <c r="EJ1" s="181"/>
      <c r="EK1" s="181"/>
      <c r="EL1" s="181"/>
      <c r="EM1" s="65"/>
      <c r="EN1" s="182" t="s">
        <v>55</v>
      </c>
      <c r="EO1" s="183"/>
      <c r="EP1" s="183"/>
      <c r="EQ1" s="183"/>
      <c r="ER1" s="183"/>
      <c r="ES1" s="183"/>
      <c r="ET1" s="184"/>
      <c r="EU1" s="184"/>
      <c r="EV1" s="184"/>
      <c r="EW1" s="184"/>
      <c r="EX1" s="68"/>
      <c r="EY1" s="177" t="s">
        <v>56</v>
      </c>
      <c r="EZ1" s="178"/>
      <c r="FA1" s="178"/>
      <c r="FB1" s="178"/>
      <c r="FC1" s="178"/>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row>
    <row r="2" spans="1:217" s="1" customFormat="1" ht="13" x14ac:dyDescent="0.3">
      <c r="A2" s="21"/>
      <c r="B2" s="22"/>
      <c r="C2" s="23"/>
      <c r="D2" s="20"/>
      <c r="E2" s="23"/>
      <c r="F2" s="24"/>
      <c r="G2" s="25"/>
      <c r="H2" s="26"/>
      <c r="I2" s="42"/>
      <c r="J2" s="179" t="s">
        <v>57</v>
      </c>
      <c r="K2" s="180"/>
      <c r="L2" s="180"/>
      <c r="M2" s="43"/>
      <c r="N2" s="44" t="s">
        <v>58</v>
      </c>
      <c r="O2" s="45" t="s">
        <v>58</v>
      </c>
      <c r="P2" s="46" t="s">
        <v>59</v>
      </c>
      <c r="Q2" s="45"/>
      <c r="R2" s="46"/>
      <c r="S2" s="45"/>
      <c r="T2" s="46"/>
      <c r="U2" s="46"/>
      <c r="V2" s="51" t="s">
        <v>58</v>
      </c>
      <c r="W2" s="52" t="s">
        <v>58</v>
      </c>
      <c r="X2" s="50"/>
      <c r="Y2" s="50"/>
      <c r="Z2" s="50"/>
      <c r="AA2" s="53"/>
      <c r="AB2" s="54"/>
      <c r="AC2" s="54"/>
      <c r="AD2" s="54"/>
      <c r="AE2" s="53"/>
      <c r="AF2" s="54"/>
      <c r="AG2" s="54"/>
      <c r="AH2" s="54"/>
      <c r="AI2" s="53"/>
      <c r="AJ2" s="54"/>
      <c r="AK2" s="54"/>
      <c r="AL2" s="54"/>
      <c r="AM2" s="53"/>
      <c r="AN2" s="54"/>
      <c r="AO2" s="54"/>
      <c r="AP2" s="54"/>
      <c r="AQ2" s="53"/>
      <c r="AR2" s="54"/>
      <c r="AS2" s="54"/>
      <c r="AT2" s="54"/>
      <c r="AU2" s="53"/>
      <c r="AV2" s="54"/>
      <c r="AW2" s="54"/>
      <c r="AX2" s="54"/>
      <c r="AY2" s="53"/>
      <c r="AZ2" s="54"/>
      <c r="BA2" s="54"/>
      <c r="BB2" s="54"/>
      <c r="BC2" s="53"/>
      <c r="BD2" s="54"/>
      <c r="BE2" s="54"/>
      <c r="BF2" s="54"/>
      <c r="BG2" s="53"/>
      <c r="BH2" s="54"/>
      <c r="BI2" s="54"/>
      <c r="BJ2" s="54"/>
      <c r="BK2" s="53"/>
      <c r="BL2" s="54"/>
      <c r="BM2" s="54"/>
      <c r="BN2" s="54"/>
      <c r="BO2" s="53"/>
      <c r="BP2" s="54"/>
      <c r="BQ2" s="54"/>
      <c r="BR2" s="54"/>
      <c r="BS2" s="53"/>
      <c r="BT2" s="54"/>
      <c r="BU2" s="54"/>
      <c r="BV2" s="54"/>
      <c r="BW2" s="56"/>
      <c r="BX2" s="54"/>
      <c r="BY2" s="54"/>
      <c r="BZ2" s="54"/>
      <c r="CA2" s="56"/>
      <c r="CB2" s="54"/>
      <c r="CC2" s="54"/>
      <c r="CD2" s="54"/>
      <c r="CE2" s="56"/>
      <c r="CF2" s="54"/>
      <c r="CG2" s="54"/>
      <c r="CH2" s="54"/>
      <c r="CI2" s="56"/>
      <c r="CJ2" s="54"/>
      <c r="CK2" s="54"/>
      <c r="CL2" s="54"/>
      <c r="CM2" s="56"/>
      <c r="CN2" s="54"/>
      <c r="CO2" s="54"/>
      <c r="CP2" s="54"/>
      <c r="CQ2" s="56"/>
      <c r="CR2" s="54"/>
      <c r="CS2" s="54"/>
      <c r="CT2" s="54"/>
      <c r="CU2" s="56"/>
      <c r="CV2" s="54"/>
      <c r="CW2" s="54"/>
      <c r="CX2" s="54"/>
      <c r="CY2" s="56"/>
      <c r="CZ2" s="54"/>
      <c r="DA2" s="54"/>
      <c r="DB2" s="54"/>
      <c r="DC2" s="56"/>
      <c r="DD2" s="54"/>
      <c r="DE2" s="54"/>
      <c r="DF2" s="54"/>
      <c r="DG2" s="181"/>
      <c r="DH2" s="181"/>
      <c r="DI2" s="181"/>
      <c r="DJ2" s="181"/>
      <c r="DK2" s="181"/>
      <c r="DL2" s="181"/>
      <c r="DM2" s="181"/>
      <c r="DN2" s="181"/>
      <c r="DO2" s="181"/>
      <c r="DP2" s="181"/>
      <c r="DQ2" s="60"/>
      <c r="DR2" s="181"/>
      <c r="DS2" s="181"/>
      <c r="DT2" s="181"/>
      <c r="DU2" s="181"/>
      <c r="DV2" s="181"/>
      <c r="DW2" s="181"/>
      <c r="DX2" s="181"/>
      <c r="DY2" s="181"/>
      <c r="DZ2" s="181"/>
      <c r="EA2" s="181"/>
      <c r="EB2" s="60"/>
      <c r="EC2" s="181"/>
      <c r="ED2" s="181"/>
      <c r="EE2" s="181"/>
      <c r="EF2" s="181"/>
      <c r="EG2" s="181"/>
      <c r="EH2" s="181"/>
      <c r="EI2" s="181"/>
      <c r="EJ2" s="181"/>
      <c r="EK2" s="181"/>
      <c r="EL2" s="181"/>
      <c r="EM2" s="65"/>
      <c r="EN2" s="185"/>
      <c r="EO2" s="186"/>
      <c r="EP2" s="186"/>
      <c r="EQ2" s="186"/>
      <c r="ER2" s="186"/>
      <c r="ES2" s="186"/>
      <c r="ET2" s="187"/>
      <c r="EU2" s="187"/>
      <c r="EV2" s="187"/>
      <c r="EW2" s="187"/>
      <c r="EX2" s="68"/>
      <c r="EY2" s="177" t="s">
        <v>60</v>
      </c>
      <c r="EZ2" s="178"/>
      <c r="FA2" s="178"/>
      <c r="FB2" s="178"/>
      <c r="FC2" s="69"/>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row>
    <row r="3" spans="1:217" s="129" customFormat="1" ht="54.65" customHeight="1" x14ac:dyDescent="0.25">
      <c r="A3" s="130" t="s">
        <v>61</v>
      </c>
      <c r="B3" s="131" t="s">
        <v>1</v>
      </c>
      <c r="C3" s="132" t="s">
        <v>62</v>
      </c>
      <c r="D3" s="133" t="s">
        <v>63</v>
      </c>
      <c r="E3" s="132" t="s">
        <v>64</v>
      </c>
      <c r="F3" s="27" t="s">
        <v>65</v>
      </c>
      <c r="G3" s="27" t="s">
        <v>66</v>
      </c>
      <c r="H3" s="27" t="s">
        <v>67</v>
      </c>
      <c r="I3" s="27" t="s">
        <v>68</v>
      </c>
      <c r="J3" s="138" t="s">
        <v>69</v>
      </c>
      <c r="K3" s="139" t="s">
        <v>70</v>
      </c>
      <c r="L3" s="140" t="s">
        <v>71</v>
      </c>
      <c r="M3" s="131" t="s">
        <v>1</v>
      </c>
      <c r="N3" s="141" t="s">
        <v>72</v>
      </c>
      <c r="O3" s="131" t="s">
        <v>73</v>
      </c>
      <c r="P3" s="131" t="s">
        <v>74</v>
      </c>
      <c r="Q3" s="131" t="s">
        <v>75</v>
      </c>
      <c r="R3" s="131" t="s">
        <v>76</v>
      </c>
      <c r="S3" s="131" t="s">
        <v>77</v>
      </c>
      <c r="T3" s="143" t="s">
        <v>78</v>
      </c>
      <c r="U3" s="131" t="s">
        <v>79</v>
      </c>
      <c r="V3" s="131" t="s">
        <v>80</v>
      </c>
      <c r="W3" s="131" t="s">
        <v>81</v>
      </c>
      <c r="X3" s="131" t="s">
        <v>82</v>
      </c>
      <c r="Y3" s="131" t="s">
        <v>83</v>
      </c>
      <c r="Z3" s="131" t="s">
        <v>84</v>
      </c>
      <c r="AA3" s="144" t="s">
        <v>85</v>
      </c>
      <c r="AB3" s="131" t="s">
        <v>86</v>
      </c>
      <c r="AC3" s="131" t="s">
        <v>87</v>
      </c>
      <c r="AD3" s="131" t="s">
        <v>88</v>
      </c>
      <c r="AE3" s="144" t="s">
        <v>89</v>
      </c>
      <c r="AF3" s="131" t="s">
        <v>90</v>
      </c>
      <c r="AG3" s="131" t="s">
        <v>91</v>
      </c>
      <c r="AH3" s="131" t="s">
        <v>92</v>
      </c>
      <c r="AI3" s="144" t="s">
        <v>93</v>
      </c>
      <c r="AJ3" s="131" t="s">
        <v>94</v>
      </c>
      <c r="AK3" s="131" t="s">
        <v>95</v>
      </c>
      <c r="AL3" s="131" t="s">
        <v>96</v>
      </c>
      <c r="AM3" s="144" t="s">
        <v>97</v>
      </c>
      <c r="AN3" s="131" t="s">
        <v>98</v>
      </c>
      <c r="AO3" s="131" t="s">
        <v>99</v>
      </c>
      <c r="AP3" s="131" t="s">
        <v>100</v>
      </c>
      <c r="AQ3" s="144" t="s">
        <v>101</v>
      </c>
      <c r="AR3" s="131" t="s">
        <v>102</v>
      </c>
      <c r="AS3" s="131" t="s">
        <v>103</v>
      </c>
      <c r="AT3" s="131" t="s">
        <v>104</v>
      </c>
      <c r="AU3" s="144" t="s">
        <v>105</v>
      </c>
      <c r="AV3" s="131" t="s">
        <v>106</v>
      </c>
      <c r="AW3" s="131" t="s">
        <v>107</v>
      </c>
      <c r="AX3" s="131" t="s">
        <v>108</v>
      </c>
      <c r="AY3" s="144" t="s">
        <v>109</v>
      </c>
      <c r="AZ3" s="131" t="s">
        <v>110</v>
      </c>
      <c r="BA3" s="131" t="s">
        <v>111</v>
      </c>
      <c r="BB3" s="131" t="s">
        <v>112</v>
      </c>
      <c r="BC3" s="144" t="s">
        <v>113</v>
      </c>
      <c r="BD3" s="131" t="s">
        <v>114</v>
      </c>
      <c r="BE3" s="131" t="s">
        <v>115</v>
      </c>
      <c r="BF3" s="131" t="s">
        <v>116</v>
      </c>
      <c r="BG3" s="144" t="s">
        <v>117</v>
      </c>
      <c r="BH3" s="131" t="s">
        <v>118</v>
      </c>
      <c r="BI3" s="131" t="s">
        <v>119</v>
      </c>
      <c r="BJ3" s="131" t="s">
        <v>120</v>
      </c>
      <c r="BK3" s="144" t="s">
        <v>121</v>
      </c>
      <c r="BL3" s="131" t="s">
        <v>122</v>
      </c>
      <c r="BM3" s="131" t="s">
        <v>123</v>
      </c>
      <c r="BN3" s="131" t="s">
        <v>124</v>
      </c>
      <c r="BO3" s="144" t="s">
        <v>125</v>
      </c>
      <c r="BP3" s="131" t="s">
        <v>126</v>
      </c>
      <c r="BQ3" s="131" t="s">
        <v>127</v>
      </c>
      <c r="BR3" s="131" t="s">
        <v>128</v>
      </c>
      <c r="BS3" s="144" t="s">
        <v>129</v>
      </c>
      <c r="BT3" s="131" t="s">
        <v>130</v>
      </c>
      <c r="BU3" s="131" t="s">
        <v>131</v>
      </c>
      <c r="BV3" s="131" t="s">
        <v>132</v>
      </c>
      <c r="BW3" s="131" t="s">
        <v>133</v>
      </c>
      <c r="BX3" s="131" t="s">
        <v>134</v>
      </c>
      <c r="BY3" s="131" t="s">
        <v>135</v>
      </c>
      <c r="BZ3" s="131" t="s">
        <v>136</v>
      </c>
      <c r="CA3" s="131" t="s">
        <v>137</v>
      </c>
      <c r="CB3" s="131" t="s">
        <v>138</v>
      </c>
      <c r="CC3" s="131" t="s">
        <v>139</v>
      </c>
      <c r="CD3" s="131" t="s">
        <v>140</v>
      </c>
      <c r="CE3" s="131" t="s">
        <v>141</v>
      </c>
      <c r="CF3" s="131" t="s">
        <v>142</v>
      </c>
      <c r="CG3" s="131" t="s">
        <v>143</v>
      </c>
      <c r="CH3" s="131" t="s">
        <v>144</v>
      </c>
      <c r="CI3" s="131" t="s">
        <v>145</v>
      </c>
      <c r="CJ3" s="131" t="s">
        <v>146</v>
      </c>
      <c r="CK3" s="131" t="s">
        <v>147</v>
      </c>
      <c r="CL3" s="131" t="s">
        <v>148</v>
      </c>
      <c r="CM3" s="131" t="s">
        <v>149</v>
      </c>
      <c r="CN3" s="131" t="s">
        <v>150</v>
      </c>
      <c r="CO3" s="131" t="s">
        <v>151</v>
      </c>
      <c r="CP3" s="131" t="s">
        <v>152</v>
      </c>
      <c r="CQ3" s="131" t="s">
        <v>153</v>
      </c>
      <c r="CR3" s="131" t="s">
        <v>154</v>
      </c>
      <c r="CS3" s="131" t="s">
        <v>155</v>
      </c>
      <c r="CT3" s="131" t="s">
        <v>156</v>
      </c>
      <c r="CU3" s="131" t="s">
        <v>157</v>
      </c>
      <c r="CV3" s="131" t="s">
        <v>158</v>
      </c>
      <c r="CW3" s="131" t="s">
        <v>159</v>
      </c>
      <c r="CX3" s="131" t="s">
        <v>160</v>
      </c>
      <c r="CY3" s="131" t="s">
        <v>161</v>
      </c>
      <c r="CZ3" s="131" t="s">
        <v>162</v>
      </c>
      <c r="DA3" s="131" t="s">
        <v>163</v>
      </c>
      <c r="DB3" s="131" t="s">
        <v>164</v>
      </c>
      <c r="DC3" s="131" t="s">
        <v>165</v>
      </c>
      <c r="DD3" s="131" t="s">
        <v>166</v>
      </c>
      <c r="DE3" s="131" t="s">
        <v>167</v>
      </c>
      <c r="DF3" s="131" t="s">
        <v>168</v>
      </c>
      <c r="DG3" s="145" t="s">
        <v>7</v>
      </c>
      <c r="DH3" s="145" t="s">
        <v>8</v>
      </c>
      <c r="DI3" s="145" t="s">
        <v>9</v>
      </c>
      <c r="DJ3" s="145" t="s">
        <v>10</v>
      </c>
      <c r="DK3" s="145" t="s">
        <v>11</v>
      </c>
      <c r="DL3" s="146" t="s">
        <v>169</v>
      </c>
      <c r="DM3" s="146" t="s">
        <v>170</v>
      </c>
      <c r="DN3" s="164" t="s">
        <v>171</v>
      </c>
      <c r="DO3" s="164" t="s">
        <v>172</v>
      </c>
      <c r="DP3" s="164" t="s">
        <v>173</v>
      </c>
      <c r="DQ3" s="147"/>
      <c r="DR3" s="146" t="s">
        <v>7</v>
      </c>
      <c r="DS3" s="146" t="s">
        <v>8</v>
      </c>
      <c r="DT3" s="146" t="s">
        <v>9</v>
      </c>
      <c r="DU3" s="146" t="s">
        <v>10</v>
      </c>
      <c r="DV3" s="146" t="s">
        <v>11</v>
      </c>
      <c r="DW3" s="146" t="s">
        <v>169</v>
      </c>
      <c r="DX3" s="146" t="s">
        <v>170</v>
      </c>
      <c r="DY3" s="164" t="s">
        <v>171</v>
      </c>
      <c r="DZ3" s="164" t="s">
        <v>172</v>
      </c>
      <c r="EA3" s="164" t="s">
        <v>173</v>
      </c>
      <c r="EB3" s="147"/>
      <c r="EC3" s="146" t="s">
        <v>7</v>
      </c>
      <c r="ED3" s="146" t="s">
        <v>8</v>
      </c>
      <c r="EE3" s="146" t="s">
        <v>9</v>
      </c>
      <c r="EF3" s="146" t="s">
        <v>10</v>
      </c>
      <c r="EG3" s="146" t="s">
        <v>11</v>
      </c>
      <c r="EH3" s="146" t="s">
        <v>169</v>
      </c>
      <c r="EI3" s="146" t="s">
        <v>170</v>
      </c>
      <c r="EJ3" s="164" t="s">
        <v>171</v>
      </c>
      <c r="EK3" s="164" t="s">
        <v>172</v>
      </c>
      <c r="EL3" s="164" t="s">
        <v>173</v>
      </c>
      <c r="EM3" s="148"/>
      <c r="EN3" s="149" t="s">
        <v>7</v>
      </c>
      <c r="EO3" s="149" t="s">
        <v>8</v>
      </c>
      <c r="EP3" s="149" t="s">
        <v>9</v>
      </c>
      <c r="EQ3" s="149" t="s">
        <v>10</v>
      </c>
      <c r="ER3" s="149" t="s">
        <v>11</v>
      </c>
      <c r="ES3" s="149" t="s">
        <v>169</v>
      </c>
      <c r="ET3" s="149" t="s">
        <v>170</v>
      </c>
      <c r="EU3" s="165" t="s">
        <v>171</v>
      </c>
      <c r="EV3" s="165" t="s">
        <v>172</v>
      </c>
      <c r="EW3" s="165" t="s">
        <v>173</v>
      </c>
      <c r="EX3" s="150"/>
      <c r="EY3" s="163" t="s">
        <v>174</v>
      </c>
      <c r="EZ3" s="163" t="s">
        <v>54</v>
      </c>
      <c r="FA3" s="163" t="s">
        <v>53</v>
      </c>
      <c r="FB3" s="166" t="s">
        <v>175</v>
      </c>
      <c r="FC3" s="166" t="s">
        <v>176</v>
      </c>
    </row>
    <row r="4" spans="1:217" s="3" customFormat="1" ht="12.75" customHeight="1" x14ac:dyDescent="0.25">
      <c r="A4" s="28" t="s">
        <v>12</v>
      </c>
      <c r="B4" s="134" t="str">
        <f t="shared" ref="B4:B67" si="0">M4</f>
        <v>KAO CORPORATION</v>
      </c>
      <c r="C4" s="29" t="s">
        <v>328</v>
      </c>
      <c r="D4" s="135" t="s">
        <v>312</v>
      </c>
      <c r="E4" s="29"/>
      <c r="F4" s="135"/>
      <c r="H4" s="31" t="str">
        <f t="shared" ref="H4:H67" si="1">IF(C4&lt;&gt;"exclude",ET4," ")</f>
        <v xml:space="preserve"> </v>
      </c>
      <c r="I4" s="29"/>
      <c r="J4" s="29" t="str">
        <f>VLOOKUP(Z:Z,'[1]AP 2022'!FD3:FF165,2,FALSE)</f>
        <v>exclude</v>
      </c>
      <c r="K4" s="47" t="str">
        <f>VLOOKUP(Z:Z,'[1]AP 2022'!FD3:FF165,3,0)</f>
        <v>lev SDA/SDP</v>
      </c>
      <c r="L4" s="48"/>
      <c r="M4" s="125" t="s">
        <v>329</v>
      </c>
      <c r="N4" s="125" t="s">
        <v>330</v>
      </c>
      <c r="O4" s="125" t="s">
        <v>331</v>
      </c>
      <c r="P4" s="125" t="s">
        <v>332</v>
      </c>
      <c r="Q4" s="127"/>
      <c r="R4" s="125" t="s">
        <v>333</v>
      </c>
      <c r="S4" s="125" t="s">
        <v>334</v>
      </c>
      <c r="T4" s="125" t="s">
        <v>335</v>
      </c>
      <c r="U4" s="125" t="s">
        <v>315</v>
      </c>
      <c r="V4" s="125" t="s">
        <v>336</v>
      </c>
      <c r="W4" s="125" t="s">
        <v>337</v>
      </c>
      <c r="X4" s="125" t="s">
        <v>338</v>
      </c>
      <c r="Y4" s="124"/>
      <c r="Z4" s="125" t="s">
        <v>339</v>
      </c>
      <c r="AA4" s="128">
        <v>1568595000000</v>
      </c>
      <c r="AB4" s="128">
        <v>1436193000000</v>
      </c>
      <c r="AC4" s="128">
        <v>1382115000000</v>
      </c>
      <c r="AD4" s="128">
        <v>1502241000000</v>
      </c>
      <c r="AE4" s="128">
        <v>1551059000000</v>
      </c>
      <c r="AF4" s="128">
        <v>1418768000000</v>
      </c>
      <c r="AG4" s="128">
        <v>1381997000000</v>
      </c>
      <c r="AH4" s="128">
        <v>1502241000000</v>
      </c>
      <c r="AI4" s="125" t="s">
        <v>340</v>
      </c>
      <c r="AJ4" s="125" t="s">
        <v>340</v>
      </c>
      <c r="AK4" s="125" t="s">
        <v>340</v>
      </c>
      <c r="AL4" s="125" t="s">
        <v>340</v>
      </c>
      <c r="AM4" s="128">
        <v>1551059000000</v>
      </c>
      <c r="AN4" s="128">
        <v>1418768000000</v>
      </c>
      <c r="AO4" s="128">
        <v>1381997000000</v>
      </c>
      <c r="AP4" s="128">
        <v>1502241000000</v>
      </c>
      <c r="AQ4" s="128">
        <v>17536000000</v>
      </c>
      <c r="AR4" s="128">
        <v>17425000000</v>
      </c>
      <c r="AS4" s="128">
        <v>118000000</v>
      </c>
      <c r="AT4" s="125" t="s">
        <v>340</v>
      </c>
      <c r="AU4" s="128">
        <v>-930341000000</v>
      </c>
      <c r="AV4" s="128">
        <v>-776598000000</v>
      </c>
      <c r="AW4" s="128">
        <v>-723810000000</v>
      </c>
      <c r="AX4" s="128">
        <v>-784129000000</v>
      </c>
      <c r="AY4" s="128">
        <v>-60601000000</v>
      </c>
      <c r="AZ4" s="128">
        <v>-58993000000</v>
      </c>
      <c r="BA4" s="128">
        <v>-58509000000</v>
      </c>
      <c r="BB4" s="128">
        <v>-59143000000</v>
      </c>
      <c r="BC4" s="128">
        <v>-374105000000</v>
      </c>
      <c r="BD4" s="128">
        <v>-360508000000</v>
      </c>
      <c r="BE4" s="128">
        <v>-338856000000</v>
      </c>
      <c r="BF4" s="128">
        <v>-364994000000</v>
      </c>
      <c r="BG4" s="128">
        <v>203548000000</v>
      </c>
      <c r="BH4" s="128">
        <v>240094000000</v>
      </c>
      <c r="BI4" s="128">
        <v>260940000000</v>
      </c>
      <c r="BJ4" s="128">
        <v>293975000000</v>
      </c>
      <c r="BK4" s="128">
        <v>-89772000000</v>
      </c>
      <c r="BL4" s="128">
        <v>-91894000000</v>
      </c>
      <c r="BM4" s="128">
        <v>-86080000000</v>
      </c>
      <c r="BN4" s="128">
        <v>-83369000000</v>
      </c>
      <c r="BO4" s="128">
        <v>-89772000000</v>
      </c>
      <c r="BP4" s="128">
        <v>-91894000000</v>
      </c>
      <c r="BQ4" s="128">
        <v>-86080000000</v>
      </c>
      <c r="BR4" s="128">
        <v>-83369000000</v>
      </c>
      <c r="BS4" s="128">
        <v>0</v>
      </c>
      <c r="BT4" s="128">
        <v>0</v>
      </c>
      <c r="BU4" s="128">
        <v>0</v>
      </c>
      <c r="BV4" s="128">
        <v>0</v>
      </c>
      <c r="BW4" s="128">
        <v>86038000000</v>
      </c>
      <c r="BX4" s="128">
        <v>109636000000</v>
      </c>
      <c r="BY4" s="128">
        <v>126142000000</v>
      </c>
      <c r="BZ4" s="128">
        <v>148213000000</v>
      </c>
      <c r="CA4" s="128">
        <v>807206000000</v>
      </c>
      <c r="CB4" s="128">
        <v>809792000000</v>
      </c>
      <c r="CC4" s="128">
        <v>778396000000</v>
      </c>
      <c r="CD4" s="128">
        <v>737026000000</v>
      </c>
      <c r="CE4" s="128">
        <v>278382000000</v>
      </c>
      <c r="CF4" s="128">
        <v>228070000000</v>
      </c>
      <c r="CG4" s="128">
        <v>197641000000</v>
      </c>
      <c r="CH4" s="128">
        <v>199672000000</v>
      </c>
      <c r="CI4" s="128">
        <v>221452000000</v>
      </c>
      <c r="CJ4" s="128">
        <v>208577000000</v>
      </c>
      <c r="CK4" s="128">
        <v>193440000000</v>
      </c>
      <c r="CL4" s="128">
        <v>202660000000</v>
      </c>
      <c r="CM4" s="128">
        <v>24562000000</v>
      </c>
      <c r="CN4" s="128">
        <v>21423000000</v>
      </c>
      <c r="CO4" s="128">
        <v>18990000000</v>
      </c>
      <c r="CP4" s="128">
        <v>22638000000</v>
      </c>
      <c r="CQ4" s="128">
        <v>271853000000</v>
      </c>
      <c r="CR4" s="128">
        <v>342163000000</v>
      </c>
      <c r="CS4" s="128">
        <v>360433000000</v>
      </c>
      <c r="CT4" s="128">
        <v>303469000000</v>
      </c>
      <c r="CU4" s="128">
        <v>20605000000</v>
      </c>
      <c r="CV4" s="128">
        <v>28094000000</v>
      </c>
      <c r="CW4" s="128">
        <v>32057000000</v>
      </c>
      <c r="CX4" s="128">
        <v>63688000000</v>
      </c>
      <c r="CY4" s="128">
        <v>163055000000</v>
      </c>
      <c r="CZ4" s="128">
        <v>157612000000</v>
      </c>
      <c r="DA4" s="128">
        <v>161366000000</v>
      </c>
      <c r="DB4" s="128">
        <v>167164000000</v>
      </c>
      <c r="DC4" s="128">
        <v>1726350000000</v>
      </c>
      <c r="DD4" s="128">
        <v>1704007000000</v>
      </c>
      <c r="DE4" s="128">
        <v>1665616000000</v>
      </c>
      <c r="DF4" s="128">
        <v>1653919000000</v>
      </c>
      <c r="DG4" s="16">
        <f t="shared" ref="DG4:DG67" si="2">IF(AM4="n.a.","无数据",AM4)</f>
        <v>1551059000000</v>
      </c>
      <c r="DH4" s="16">
        <f t="shared" ref="DH4:DH67" si="3">AU4</f>
        <v>-930341000000</v>
      </c>
      <c r="DI4" s="16">
        <f t="shared" ref="DI4:DI67" si="4">IF(AY4="n.a.",BC4,(AY4+BC4))</f>
        <v>-434706000000</v>
      </c>
      <c r="DJ4" s="16">
        <f t="shared" ref="DJ4:DJ67" si="5">BK4</f>
        <v>-89772000000</v>
      </c>
      <c r="DK4" s="16">
        <f t="shared" ref="DK4:DK67" si="6">IF(DG4="无数据","无数据",(DG4+DH4+DI4+DJ4))</f>
        <v>96240000000</v>
      </c>
      <c r="DL4" s="57">
        <f t="shared" ref="DL4:DL67" si="7">DK4/DG4</f>
        <v>6.2047929833745845E-2</v>
      </c>
      <c r="DM4" s="57">
        <f t="shared" ref="DM4:DM67" si="8">DK4/-(DH4+DI4+DJ4)</f>
        <v>6.6152559184338391E-2</v>
      </c>
      <c r="DN4" s="58">
        <f t="shared" ref="DN4:DN67" si="9">AY4</f>
        <v>-60601000000</v>
      </c>
      <c r="DO4" s="16">
        <f t="shared" ref="DO4:DO67" si="10">(CE4+CF4)/2</f>
        <v>253226000000</v>
      </c>
      <c r="DP4" s="16">
        <f t="shared" ref="DP4:DP67" si="11">(CY4+CZ4)/2</f>
        <v>160333500000</v>
      </c>
      <c r="DQ4" s="61"/>
      <c r="DR4" s="62">
        <f t="shared" ref="DR4:DR67" si="12">IF(AN4="n.a.","无数据",AN4)</f>
        <v>1418768000000</v>
      </c>
      <c r="DS4" s="62">
        <f t="shared" ref="DS4:DS67" si="13">AV4</f>
        <v>-776598000000</v>
      </c>
      <c r="DT4" s="62">
        <f t="shared" ref="DT4:DT67" si="14">IF(AZ4="n.a.",BD4,(BD4+AZ4))</f>
        <v>-419501000000</v>
      </c>
      <c r="DU4" s="62">
        <f t="shared" ref="DU4:DU67" si="15">BL4</f>
        <v>-91894000000</v>
      </c>
      <c r="DV4" s="62">
        <f t="shared" ref="DV4:DV67" si="16">IF(DR4="无数据","无数据",(DR4+DS4+DT4+DU4))</f>
        <v>130775000000</v>
      </c>
      <c r="DW4" s="63">
        <f t="shared" ref="DW4:DW67" si="17">DV4/DR4</f>
        <v>9.21750420082776E-2</v>
      </c>
      <c r="DX4" s="63">
        <f t="shared" ref="DX4:DX67" si="18">DV4/-(DS4+DT4+DU4)</f>
        <v>0.1015339369080422</v>
      </c>
      <c r="DY4" s="64">
        <f t="shared" ref="DY4:DY67" si="19">AZ4</f>
        <v>-58993000000</v>
      </c>
      <c r="DZ4" s="64">
        <f t="shared" ref="DZ4:DZ67" si="20">(CF4+CG4)/2</f>
        <v>212855500000</v>
      </c>
      <c r="EA4" s="64">
        <f t="shared" ref="EA4:EA67" si="21">(CZ4+DA4)/2</f>
        <v>159489000000</v>
      </c>
      <c r="EB4" s="61"/>
      <c r="EC4" s="64">
        <f t="shared" ref="EC4:EC67" si="22">IF(AO4="n.a.","无数据",AO4)</f>
        <v>1381997000000</v>
      </c>
      <c r="ED4" s="64">
        <f t="shared" ref="ED4:ED67" si="23">AW4</f>
        <v>-723810000000</v>
      </c>
      <c r="EE4" s="64">
        <f t="shared" ref="EE4:EE67" si="24">IF(BA4="n.a.",BE4,(BA4+BE4))</f>
        <v>-397365000000</v>
      </c>
      <c r="EF4" s="64">
        <f t="shared" ref="EF4:EF67" si="25">BM4</f>
        <v>-86080000000</v>
      </c>
      <c r="EG4" s="64">
        <f t="shared" ref="EG4:EG67" si="26">IF(EC4="无数据","无数据",(EC4+ED4+EE4+EF4))</f>
        <v>174742000000</v>
      </c>
      <c r="EH4" s="63">
        <f t="shared" ref="EH4:EH67" si="27">EG4/EC4</f>
        <v>0.12644166376627447</v>
      </c>
      <c r="EI4" s="57">
        <f t="shared" ref="EI4:EI67" si="28">EG4/-(ED4+EE4+EF4)</f>
        <v>0.14474323982919929</v>
      </c>
      <c r="EJ4" s="64">
        <f t="shared" ref="EJ4:EJ67" si="29">BA4</f>
        <v>-58509000000</v>
      </c>
      <c r="EK4" s="64">
        <f t="shared" ref="EK4:EK67" si="30">(CG4+CH4)/2</f>
        <v>198656500000</v>
      </c>
      <c r="EL4" s="64">
        <f t="shared" ref="EL4:EL67" si="31">(DA4+DB4)/2</f>
        <v>164265000000</v>
      </c>
      <c r="EM4" s="61"/>
      <c r="EN4" s="66">
        <f t="shared" ref="EN4:EQ67" si="32">(EC4+DR4+DG4)/3</f>
        <v>1450608000000</v>
      </c>
      <c r="EO4" s="66">
        <f t="shared" si="32"/>
        <v>-810249666666.66663</v>
      </c>
      <c r="EP4" s="66">
        <f t="shared" si="32"/>
        <v>-417190666666.66669</v>
      </c>
      <c r="EQ4" s="66">
        <f t="shared" si="32"/>
        <v>-89248666666.666672</v>
      </c>
      <c r="ER4" s="66">
        <f t="shared" ref="ER4:ER67" si="33">EN4+EO4+EP4+EQ4</f>
        <v>133919000000.00002</v>
      </c>
      <c r="ES4" s="63">
        <f t="shared" ref="ES4:ES67" si="34">ER4/EN4</f>
        <v>9.2319220630246085E-2</v>
      </c>
      <c r="ET4" s="67">
        <f t="shared" ref="ET4:ET67" si="35">ER4/-(EO4+EP4+EQ4)</f>
        <v>0.10170890772232472</v>
      </c>
      <c r="EU4" s="66">
        <f t="shared" ref="EU4:EU67" si="36">-(EJ4+DY4+DN4)/3</f>
        <v>59367666666.666664</v>
      </c>
      <c r="EV4" s="66">
        <f t="shared" ref="EV4:EW67" si="37">AVERAGE(EK4,DZ4,DO4)</f>
        <v>221579333333.33334</v>
      </c>
      <c r="EW4" s="66">
        <f t="shared" si="37"/>
        <v>161362500000</v>
      </c>
      <c r="EX4" s="70"/>
      <c r="EY4" s="71" t="str">
        <f t="shared" ref="EY4:EY67" si="38">IF(EC4="无数据","无数据","完整")</f>
        <v>完整</v>
      </c>
      <c r="EZ4" s="71" t="str">
        <f t="shared" ref="EZ4:EZ67" si="39">IF(DR4="无数据","无数据","完整")</f>
        <v>完整</v>
      </c>
      <c r="FA4" s="71" t="str">
        <f t="shared" ref="FA4:FA67" si="40">IF(DG4="无数据","无数据","完整")</f>
        <v>完整</v>
      </c>
      <c r="FB4" s="71" t="str">
        <f t="shared" ref="FB4:FB67" si="41">IF(AND(EY4="完整",EZ4="完整",FA4="完整"),"选择","删除")</f>
        <v>选择</v>
      </c>
      <c r="FC4" s="71" t="str">
        <f t="shared" ref="FC4:FC67" si="42">IF(AND(DK4&lt;0,DV4&lt;0,EG4&lt;0),"删除","选择")</f>
        <v>选择</v>
      </c>
    </row>
    <row r="5" spans="1:217" s="3" customFormat="1" ht="12.75" customHeight="1" x14ac:dyDescent="0.25">
      <c r="A5" s="28" t="s">
        <v>13</v>
      </c>
      <c r="B5" s="134" t="str">
        <f t="shared" si="0"/>
        <v>SHISEIDO COMPANY LIMITED</v>
      </c>
      <c r="C5" s="29" t="s">
        <v>341</v>
      </c>
      <c r="D5" s="32"/>
      <c r="E5" s="33"/>
      <c r="F5" s="34"/>
      <c r="H5" s="31">
        <f t="shared" si="1"/>
        <v>-2.4089578628684505E-3</v>
      </c>
      <c r="I5" s="29"/>
      <c r="J5" s="29" t="str">
        <f>VLOOKUP(Z:Z,'[1]AP 2022'!FD4:FF166,2,FALSE)</f>
        <v>Include before</v>
      </c>
      <c r="K5" s="47">
        <f>VLOOKUP(Z:Z,'[1]AP 2022'!FD4:FF166,3,0)</f>
        <v>0</v>
      </c>
      <c r="L5" s="48"/>
      <c r="M5" s="125" t="s">
        <v>342</v>
      </c>
      <c r="N5" s="125" t="s">
        <v>343</v>
      </c>
      <c r="O5" s="125" t="s">
        <v>331</v>
      </c>
      <c r="P5" s="142" t="s">
        <v>344</v>
      </c>
      <c r="Q5" s="124"/>
      <c r="R5" s="125" t="s">
        <v>333</v>
      </c>
      <c r="S5" s="125" t="s">
        <v>345</v>
      </c>
      <c r="T5" s="125" t="s">
        <v>335</v>
      </c>
      <c r="U5" s="125" t="s">
        <v>321</v>
      </c>
      <c r="V5" s="125" t="s">
        <v>346</v>
      </c>
      <c r="W5" s="125" t="s">
        <v>347</v>
      </c>
      <c r="X5" s="124"/>
      <c r="Y5" s="125" t="s">
        <v>348</v>
      </c>
      <c r="Z5" s="125" t="s">
        <v>349</v>
      </c>
      <c r="AA5" s="128">
        <v>1090606000000</v>
      </c>
      <c r="AB5" s="128">
        <v>1150378000000</v>
      </c>
      <c r="AC5" s="128">
        <v>920888000000</v>
      </c>
      <c r="AD5" s="128">
        <v>1131547000000</v>
      </c>
      <c r="AE5" s="128">
        <v>1067355000000</v>
      </c>
      <c r="AF5" s="128">
        <v>1009966000000</v>
      </c>
      <c r="AG5" s="128">
        <v>920888000000</v>
      </c>
      <c r="AH5" s="128">
        <v>1131547000000</v>
      </c>
      <c r="AI5" s="125" t="s">
        <v>340</v>
      </c>
      <c r="AJ5" s="125" t="s">
        <v>340</v>
      </c>
      <c r="AK5" s="125" t="s">
        <v>340</v>
      </c>
      <c r="AL5" s="125" t="s">
        <v>340</v>
      </c>
      <c r="AM5" s="128">
        <v>1067355000000</v>
      </c>
      <c r="AN5" s="128">
        <v>1009966000000</v>
      </c>
      <c r="AO5" s="128">
        <v>920888000000</v>
      </c>
      <c r="AP5" s="128">
        <v>1131547000000</v>
      </c>
      <c r="AQ5" s="128">
        <v>23251000000</v>
      </c>
      <c r="AR5" s="128">
        <v>140412000000</v>
      </c>
      <c r="AS5" s="125" t="s">
        <v>340</v>
      </c>
      <c r="AT5" s="125" t="s">
        <v>340</v>
      </c>
      <c r="AU5" s="128">
        <v>-247473000000</v>
      </c>
      <c r="AV5" s="128">
        <v>-195750000000</v>
      </c>
      <c r="AW5" s="128">
        <v>-170953000000</v>
      </c>
      <c r="AX5" s="128">
        <v>-196434000000</v>
      </c>
      <c r="AY5" s="128">
        <v>-26678000000</v>
      </c>
      <c r="AZ5" s="128">
        <v>-25814000000</v>
      </c>
      <c r="BA5" s="128">
        <v>-26992000000</v>
      </c>
      <c r="BB5" s="128">
        <v>-31697000000</v>
      </c>
      <c r="BC5" s="128">
        <v>-698486000000</v>
      </c>
      <c r="BD5" s="128">
        <v>-741193000000</v>
      </c>
      <c r="BE5" s="128">
        <v>-640531000000</v>
      </c>
      <c r="BF5" s="128">
        <v>-731174000000</v>
      </c>
      <c r="BG5" s="128">
        <v>117969000000</v>
      </c>
      <c r="BH5" s="128">
        <v>187621000000</v>
      </c>
      <c r="BI5" s="128">
        <v>82412000000</v>
      </c>
      <c r="BJ5" s="128">
        <v>172242000000</v>
      </c>
      <c r="BK5" s="128">
        <v>-75718000000</v>
      </c>
      <c r="BL5" s="128">
        <v>-87637000000</v>
      </c>
      <c r="BM5" s="128">
        <v>-68224000000</v>
      </c>
      <c r="BN5" s="128">
        <v>-58410000000</v>
      </c>
      <c r="BO5" s="128">
        <v>-75718000000</v>
      </c>
      <c r="BP5" s="128">
        <v>-76058000000</v>
      </c>
      <c r="BQ5" s="128">
        <v>-61160000000</v>
      </c>
      <c r="BR5" s="128">
        <v>-55732000000</v>
      </c>
      <c r="BS5" s="128">
        <v>0</v>
      </c>
      <c r="BT5" s="128">
        <v>-11579000000</v>
      </c>
      <c r="BU5" s="128">
        <v>-7064000000</v>
      </c>
      <c r="BV5" s="128">
        <v>-2678000000</v>
      </c>
      <c r="BW5" s="128">
        <v>34202000000</v>
      </c>
      <c r="BX5" s="128">
        <v>46909000000</v>
      </c>
      <c r="BY5" s="128">
        <v>-11660000000</v>
      </c>
      <c r="BZ5" s="128">
        <v>73562000000</v>
      </c>
      <c r="CA5" s="128">
        <v>524229000000</v>
      </c>
      <c r="CB5" s="128">
        <v>512922000000</v>
      </c>
      <c r="CC5" s="128">
        <v>514764000000</v>
      </c>
      <c r="CD5" s="128">
        <v>532623000000</v>
      </c>
      <c r="CE5" s="128">
        <v>130940000000</v>
      </c>
      <c r="CF5" s="128">
        <v>134147000000</v>
      </c>
      <c r="CG5" s="128">
        <v>170031000000</v>
      </c>
      <c r="CH5" s="128">
        <v>181104000000</v>
      </c>
      <c r="CI5" s="128">
        <v>165210000000</v>
      </c>
      <c r="CJ5" s="128">
        <v>147078000000</v>
      </c>
      <c r="CK5" s="128">
        <v>141084000000</v>
      </c>
      <c r="CL5" s="128">
        <v>170164000000</v>
      </c>
      <c r="CM5" s="128">
        <v>79471000000</v>
      </c>
      <c r="CN5" s="128">
        <v>47654000000</v>
      </c>
      <c r="CO5" s="128">
        <v>52636000000</v>
      </c>
      <c r="CP5" s="128">
        <v>71013000000</v>
      </c>
      <c r="CQ5" s="128">
        <v>137534000000</v>
      </c>
      <c r="CR5" s="128">
        <v>172932000000</v>
      </c>
      <c r="CS5" s="128">
        <v>151013000000</v>
      </c>
      <c r="CT5" s="128">
        <v>110342000000</v>
      </c>
      <c r="CU5" s="128">
        <v>18498000000</v>
      </c>
      <c r="CV5" s="128">
        <v>16429000000</v>
      </c>
      <c r="CW5" s="128">
        <v>21000000000</v>
      </c>
      <c r="CX5" s="125" t="s">
        <v>340</v>
      </c>
      <c r="CY5" s="128">
        <v>135090000000</v>
      </c>
      <c r="CZ5" s="128">
        <v>145762000000</v>
      </c>
      <c r="DA5" s="128">
        <v>129966000000</v>
      </c>
      <c r="DB5" s="128">
        <v>158852000000</v>
      </c>
      <c r="DC5" s="128">
        <v>1307661000000</v>
      </c>
      <c r="DD5" s="128">
        <v>1300979000000</v>
      </c>
      <c r="DE5" s="128">
        <v>1204229000000</v>
      </c>
      <c r="DF5" s="128">
        <v>1218795000000</v>
      </c>
      <c r="DG5" s="16">
        <f t="shared" si="2"/>
        <v>1067355000000</v>
      </c>
      <c r="DH5" s="16">
        <f t="shared" si="3"/>
        <v>-247473000000</v>
      </c>
      <c r="DI5" s="16">
        <f t="shared" si="4"/>
        <v>-725164000000</v>
      </c>
      <c r="DJ5" s="16">
        <f t="shared" si="5"/>
        <v>-75718000000</v>
      </c>
      <c r="DK5" s="16">
        <f t="shared" si="6"/>
        <v>19000000000</v>
      </c>
      <c r="DL5" s="57">
        <f t="shared" si="7"/>
        <v>1.7801012783937864E-2</v>
      </c>
      <c r="DM5" s="57">
        <f t="shared" si="8"/>
        <v>1.812363178503465E-2</v>
      </c>
      <c r="DN5" s="58">
        <f t="shared" si="9"/>
        <v>-26678000000</v>
      </c>
      <c r="DO5" s="16">
        <f t="shared" si="10"/>
        <v>132543500000</v>
      </c>
      <c r="DP5" s="16">
        <f t="shared" si="11"/>
        <v>140426000000</v>
      </c>
      <c r="DQ5" s="61"/>
      <c r="DR5" s="62">
        <f t="shared" si="12"/>
        <v>1009966000000</v>
      </c>
      <c r="DS5" s="62">
        <f t="shared" si="13"/>
        <v>-195750000000</v>
      </c>
      <c r="DT5" s="62">
        <f t="shared" si="14"/>
        <v>-767007000000</v>
      </c>
      <c r="DU5" s="62">
        <f t="shared" si="15"/>
        <v>-87637000000</v>
      </c>
      <c r="DV5" s="62">
        <f t="shared" si="16"/>
        <v>-40428000000</v>
      </c>
      <c r="DW5" s="63">
        <f t="shared" si="17"/>
        <v>-4.0029070285534367E-2</v>
      </c>
      <c r="DX5" s="63">
        <f t="shared" si="18"/>
        <v>-3.8488414823390077E-2</v>
      </c>
      <c r="DY5" s="64">
        <f t="shared" si="19"/>
        <v>-25814000000</v>
      </c>
      <c r="DZ5" s="64">
        <f t="shared" si="20"/>
        <v>152089000000</v>
      </c>
      <c r="EA5" s="64">
        <f t="shared" si="21"/>
        <v>137864000000</v>
      </c>
      <c r="EB5" s="61"/>
      <c r="EC5" s="64">
        <f t="shared" si="22"/>
        <v>920888000000</v>
      </c>
      <c r="ED5" s="64">
        <f t="shared" si="23"/>
        <v>-170953000000</v>
      </c>
      <c r="EE5" s="64">
        <f t="shared" si="24"/>
        <v>-667523000000</v>
      </c>
      <c r="EF5" s="64">
        <f t="shared" si="25"/>
        <v>-68224000000</v>
      </c>
      <c r="EG5" s="64">
        <f t="shared" si="26"/>
        <v>14188000000</v>
      </c>
      <c r="EH5" s="63">
        <f t="shared" si="27"/>
        <v>1.5406868153347639E-2</v>
      </c>
      <c r="EI5" s="57">
        <f t="shared" si="28"/>
        <v>1.5647954119333847E-2</v>
      </c>
      <c r="EJ5" s="64">
        <f t="shared" si="29"/>
        <v>-26992000000</v>
      </c>
      <c r="EK5" s="64">
        <f t="shared" si="30"/>
        <v>175567500000</v>
      </c>
      <c r="EL5" s="64">
        <f t="shared" si="31"/>
        <v>144409000000</v>
      </c>
      <c r="EM5" s="61"/>
      <c r="EN5" s="66">
        <f t="shared" si="32"/>
        <v>999403000000</v>
      </c>
      <c r="EO5" s="66">
        <f t="shared" si="32"/>
        <v>-204725333333.33334</v>
      </c>
      <c r="EP5" s="66">
        <f t="shared" si="32"/>
        <v>-719898000000</v>
      </c>
      <c r="EQ5" s="66">
        <f t="shared" si="32"/>
        <v>-77193000000</v>
      </c>
      <c r="ER5" s="66">
        <f t="shared" si="33"/>
        <v>-2413333333.333374</v>
      </c>
      <c r="ES5" s="63">
        <f t="shared" si="34"/>
        <v>-2.4147749539809005E-3</v>
      </c>
      <c r="ET5" s="67">
        <f t="shared" si="35"/>
        <v>-2.4089578628684505E-3</v>
      </c>
      <c r="EU5" s="66">
        <f t="shared" si="36"/>
        <v>26494666666.666668</v>
      </c>
      <c r="EV5" s="66">
        <f t="shared" si="37"/>
        <v>153400000000</v>
      </c>
      <c r="EW5" s="66">
        <f t="shared" si="37"/>
        <v>140899666666.66666</v>
      </c>
      <c r="EX5" s="70"/>
      <c r="EY5" s="71" t="str">
        <f t="shared" si="38"/>
        <v>完整</v>
      </c>
      <c r="EZ5" s="71" t="str">
        <f t="shared" si="39"/>
        <v>完整</v>
      </c>
      <c r="FA5" s="71" t="str">
        <f t="shared" si="40"/>
        <v>完整</v>
      </c>
      <c r="FB5" s="71" t="str">
        <f t="shared" si="41"/>
        <v>选择</v>
      </c>
      <c r="FC5" s="71" t="str">
        <f t="shared" si="42"/>
        <v>选择</v>
      </c>
    </row>
    <row r="6" spans="1:217" s="3" customFormat="1" ht="12.75" customHeight="1" x14ac:dyDescent="0.25">
      <c r="A6" s="28" t="s">
        <v>14</v>
      </c>
      <c r="B6" s="134" t="str">
        <f t="shared" si="0"/>
        <v>HINDUSTAN UNILEVER LIMITED</v>
      </c>
      <c r="C6" s="29" t="s">
        <v>328</v>
      </c>
      <c r="D6" s="136" t="s">
        <v>309</v>
      </c>
      <c r="E6" s="30"/>
      <c r="H6" s="31" t="str">
        <f t="shared" si="1"/>
        <v xml:space="preserve"> </v>
      </c>
      <c r="I6" s="29"/>
      <c r="J6" s="29" t="str">
        <f>VLOOKUP(Z:Z,'[1]AP 2022'!FD5:FF167,2,FALSE)</f>
        <v>exclude</v>
      </c>
      <c r="K6" s="47" t="str">
        <f>VLOOKUP(Z:Z,'[1]AP 2022'!FD5:FF167,3,0)</f>
        <v>Independence(A+, A, A-, U)</v>
      </c>
      <c r="L6" s="48"/>
      <c r="M6" s="125" t="s">
        <v>350</v>
      </c>
      <c r="N6" s="125" t="s">
        <v>351</v>
      </c>
      <c r="O6" s="125" t="s">
        <v>331</v>
      </c>
      <c r="P6" s="125" t="s">
        <v>352</v>
      </c>
      <c r="Q6" s="124"/>
      <c r="R6" s="125" t="s">
        <v>353</v>
      </c>
      <c r="S6" s="125" t="s">
        <v>354</v>
      </c>
      <c r="T6" s="125" t="s">
        <v>355</v>
      </c>
      <c r="U6" s="125" t="s">
        <v>315</v>
      </c>
      <c r="V6" s="125" t="s">
        <v>356</v>
      </c>
      <c r="W6" s="125" t="s">
        <v>357</v>
      </c>
      <c r="X6" s="125" t="s">
        <v>358</v>
      </c>
      <c r="Y6" s="124"/>
      <c r="Z6" s="125" t="s">
        <v>359</v>
      </c>
      <c r="AA6" s="128">
        <v>605800000000</v>
      </c>
      <c r="AB6" s="128">
        <v>524500000000</v>
      </c>
      <c r="AC6" s="128">
        <v>470290000000</v>
      </c>
      <c r="AD6" s="128">
        <v>397830000000</v>
      </c>
      <c r="AE6" s="128">
        <v>595490000000</v>
      </c>
      <c r="AF6" s="128">
        <v>515480000000</v>
      </c>
      <c r="AG6" s="128">
        <v>463210000000</v>
      </c>
      <c r="AH6" s="128">
        <v>392380000000</v>
      </c>
      <c r="AI6" s="125" t="s">
        <v>340</v>
      </c>
      <c r="AJ6" s="125" t="s">
        <v>340</v>
      </c>
      <c r="AK6" s="125" t="s">
        <v>340</v>
      </c>
      <c r="AL6" s="125" t="s">
        <v>340</v>
      </c>
      <c r="AM6" s="128">
        <v>595490000000</v>
      </c>
      <c r="AN6" s="128">
        <v>515480000000</v>
      </c>
      <c r="AO6" s="128">
        <v>463210000000</v>
      </c>
      <c r="AP6" s="128">
        <v>392380000000</v>
      </c>
      <c r="AQ6" s="128">
        <v>10310000000</v>
      </c>
      <c r="AR6" s="128">
        <v>9020000000</v>
      </c>
      <c r="AS6" s="128">
        <v>7080000000</v>
      </c>
      <c r="AT6" s="128">
        <v>5450000000</v>
      </c>
      <c r="AU6" s="128">
        <v>-317160000000</v>
      </c>
      <c r="AV6" s="128">
        <v>-257350000000</v>
      </c>
      <c r="AW6" s="128">
        <v>-221480000000</v>
      </c>
      <c r="AX6" s="128">
        <v>-182590000000</v>
      </c>
      <c r="AY6" s="128">
        <v>0</v>
      </c>
      <c r="AZ6" s="128">
        <v>0</v>
      </c>
      <c r="BA6" s="128">
        <v>0</v>
      </c>
      <c r="BB6" s="128">
        <v>0</v>
      </c>
      <c r="BC6" s="128">
        <v>-147000000000</v>
      </c>
      <c r="BD6" s="128">
        <v>-138400000000</v>
      </c>
      <c r="BE6" s="128">
        <v>-131960000000</v>
      </c>
      <c r="BF6" s="128">
        <v>-116630000000</v>
      </c>
      <c r="BG6" s="128">
        <v>141640000000</v>
      </c>
      <c r="BH6" s="128">
        <v>128750000000</v>
      </c>
      <c r="BI6" s="128">
        <v>116850000000</v>
      </c>
      <c r="BJ6" s="128">
        <v>98610000000</v>
      </c>
      <c r="BK6" s="128">
        <v>-11530000000</v>
      </c>
      <c r="BL6" s="128">
        <v>-11060000000</v>
      </c>
      <c r="BM6" s="128">
        <v>-11340000000</v>
      </c>
      <c r="BN6" s="128">
        <v>-10020000000</v>
      </c>
      <c r="BO6" s="128">
        <v>-11290000000</v>
      </c>
      <c r="BP6" s="128">
        <v>-10800000000</v>
      </c>
      <c r="BQ6" s="128">
        <v>-11070000000</v>
      </c>
      <c r="BR6" s="128">
        <v>-9860000000</v>
      </c>
      <c r="BS6" s="128">
        <v>-240000000</v>
      </c>
      <c r="BT6" s="128">
        <v>-260000000</v>
      </c>
      <c r="BU6" s="128">
        <v>-270000000</v>
      </c>
      <c r="BV6" s="128">
        <v>-160000000</v>
      </c>
      <c r="BW6" s="128">
        <v>101200000000</v>
      </c>
      <c r="BX6" s="128">
        <v>88790000000</v>
      </c>
      <c r="BY6" s="128">
        <v>79950000000</v>
      </c>
      <c r="BZ6" s="128">
        <v>67480000000</v>
      </c>
      <c r="CA6" s="128">
        <v>169980000000</v>
      </c>
      <c r="CB6" s="128">
        <v>155220000000</v>
      </c>
      <c r="CC6" s="128">
        <v>142170000000</v>
      </c>
      <c r="CD6" s="128">
        <v>123210000000</v>
      </c>
      <c r="CE6" s="128">
        <v>42510000000</v>
      </c>
      <c r="CF6" s="128">
        <v>40960000000</v>
      </c>
      <c r="CG6" s="128">
        <v>35790000000</v>
      </c>
      <c r="CH6" s="128">
        <v>27670000000</v>
      </c>
      <c r="CI6" s="128">
        <v>30790000000</v>
      </c>
      <c r="CJ6" s="128">
        <v>22360000000</v>
      </c>
      <c r="CK6" s="128">
        <v>17580000000</v>
      </c>
      <c r="CL6" s="128">
        <v>11490000000</v>
      </c>
      <c r="CM6" s="128">
        <v>5700000000</v>
      </c>
      <c r="CN6" s="128">
        <v>5270000000</v>
      </c>
      <c r="CO6" s="128">
        <v>4050000000</v>
      </c>
      <c r="CP6" s="128">
        <v>10840000000</v>
      </c>
      <c r="CQ6" s="128">
        <v>83530000000</v>
      </c>
      <c r="CR6" s="128">
        <v>79750000000</v>
      </c>
      <c r="CS6" s="128">
        <v>79780000000</v>
      </c>
      <c r="CT6" s="128">
        <v>70310000000</v>
      </c>
      <c r="CU6" s="128">
        <v>36750000000</v>
      </c>
      <c r="CV6" s="128">
        <v>41290000000</v>
      </c>
      <c r="CW6" s="128">
        <v>35070000000</v>
      </c>
      <c r="CX6" s="128">
        <v>19180000000</v>
      </c>
      <c r="CY6" s="128">
        <v>14780000000</v>
      </c>
      <c r="CZ6" s="128">
        <v>16460000000</v>
      </c>
      <c r="DA6" s="128">
        <v>10760000000</v>
      </c>
      <c r="DB6" s="128">
        <v>8900000000</v>
      </c>
      <c r="DC6" s="128">
        <v>730870000000</v>
      </c>
      <c r="DD6" s="128">
        <v>705170000000</v>
      </c>
      <c r="DE6" s="128">
        <v>687570000000</v>
      </c>
      <c r="DF6" s="128">
        <v>201530000000</v>
      </c>
      <c r="DG6" s="16">
        <f t="shared" si="2"/>
        <v>595490000000</v>
      </c>
      <c r="DH6" s="16">
        <f t="shared" si="3"/>
        <v>-317160000000</v>
      </c>
      <c r="DI6" s="16">
        <f t="shared" si="4"/>
        <v>-147000000000</v>
      </c>
      <c r="DJ6" s="16">
        <f t="shared" si="5"/>
        <v>-11530000000</v>
      </c>
      <c r="DK6" s="16">
        <f t="shared" si="6"/>
        <v>119800000000</v>
      </c>
      <c r="DL6" s="57">
        <f t="shared" si="7"/>
        <v>0.20117886110597996</v>
      </c>
      <c r="DM6" s="57">
        <f t="shared" si="8"/>
        <v>0.25184468876789506</v>
      </c>
      <c r="DN6" s="58">
        <f t="shared" si="9"/>
        <v>0</v>
      </c>
      <c r="DO6" s="16">
        <f t="shared" si="10"/>
        <v>41735000000</v>
      </c>
      <c r="DP6" s="16">
        <f t="shared" si="11"/>
        <v>15620000000</v>
      </c>
      <c r="DQ6" s="61"/>
      <c r="DR6" s="62">
        <f t="shared" si="12"/>
        <v>515480000000</v>
      </c>
      <c r="DS6" s="62">
        <f t="shared" si="13"/>
        <v>-257350000000</v>
      </c>
      <c r="DT6" s="62">
        <f t="shared" si="14"/>
        <v>-138400000000</v>
      </c>
      <c r="DU6" s="62">
        <f t="shared" si="15"/>
        <v>-11060000000</v>
      </c>
      <c r="DV6" s="62">
        <f t="shared" si="16"/>
        <v>108670000000</v>
      </c>
      <c r="DW6" s="63">
        <f t="shared" si="17"/>
        <v>0.21081322262745403</v>
      </c>
      <c r="DX6" s="63">
        <f t="shared" si="18"/>
        <v>0.26712716009930926</v>
      </c>
      <c r="DY6" s="64">
        <f t="shared" si="19"/>
        <v>0</v>
      </c>
      <c r="DZ6" s="64">
        <f t="shared" si="20"/>
        <v>38375000000</v>
      </c>
      <c r="EA6" s="64">
        <f t="shared" si="21"/>
        <v>13610000000</v>
      </c>
      <c r="EB6" s="61"/>
      <c r="EC6" s="64">
        <f t="shared" si="22"/>
        <v>463210000000</v>
      </c>
      <c r="ED6" s="64">
        <f t="shared" si="23"/>
        <v>-221480000000</v>
      </c>
      <c r="EE6" s="64">
        <f t="shared" si="24"/>
        <v>-131960000000</v>
      </c>
      <c r="EF6" s="64">
        <f t="shared" si="25"/>
        <v>-11340000000</v>
      </c>
      <c r="EG6" s="64">
        <f t="shared" si="26"/>
        <v>98430000000</v>
      </c>
      <c r="EH6" s="63">
        <f t="shared" si="27"/>
        <v>0.21249541244791778</v>
      </c>
      <c r="EI6" s="57">
        <f t="shared" si="28"/>
        <v>0.26983387247107848</v>
      </c>
      <c r="EJ6" s="64">
        <f t="shared" si="29"/>
        <v>0</v>
      </c>
      <c r="EK6" s="64">
        <f t="shared" si="30"/>
        <v>31730000000</v>
      </c>
      <c r="EL6" s="64">
        <f t="shared" si="31"/>
        <v>9830000000</v>
      </c>
      <c r="EM6" s="61"/>
      <c r="EN6" s="66">
        <f t="shared" si="32"/>
        <v>524726666666.66669</v>
      </c>
      <c r="EO6" s="66">
        <f t="shared" si="32"/>
        <v>-265330000000</v>
      </c>
      <c r="EP6" s="66">
        <f t="shared" si="32"/>
        <v>-139120000000</v>
      </c>
      <c r="EQ6" s="66">
        <f t="shared" si="32"/>
        <v>-11310000000</v>
      </c>
      <c r="ER6" s="66">
        <f t="shared" si="33"/>
        <v>108966666666.66669</v>
      </c>
      <c r="ES6" s="63">
        <f t="shared" si="34"/>
        <v>0.20766367251521431</v>
      </c>
      <c r="ET6" s="67">
        <f t="shared" si="35"/>
        <v>0.2620903085113207</v>
      </c>
      <c r="EU6" s="66">
        <f t="shared" si="36"/>
        <v>0</v>
      </c>
      <c r="EV6" s="66">
        <f t="shared" si="37"/>
        <v>37280000000</v>
      </c>
      <c r="EW6" s="66">
        <f t="shared" si="37"/>
        <v>13020000000</v>
      </c>
      <c r="EX6" s="70"/>
      <c r="EY6" s="71" t="str">
        <f t="shared" si="38"/>
        <v>完整</v>
      </c>
      <c r="EZ6" s="71" t="str">
        <f t="shared" si="39"/>
        <v>完整</v>
      </c>
      <c r="FA6" s="71" t="str">
        <f t="shared" si="40"/>
        <v>完整</v>
      </c>
      <c r="FB6" s="71" t="str">
        <f t="shared" si="41"/>
        <v>选择</v>
      </c>
      <c r="FC6" s="71" t="str">
        <f t="shared" si="42"/>
        <v>选择</v>
      </c>
      <c r="FD6" s="72"/>
      <c r="FE6" s="72"/>
      <c r="FF6" s="72"/>
      <c r="FG6" s="72"/>
      <c r="FH6" s="72"/>
      <c r="FI6" s="72"/>
      <c r="FJ6" s="72"/>
      <c r="FK6" s="72"/>
      <c r="FL6" s="72"/>
      <c r="FM6" s="72"/>
      <c r="FN6" s="72"/>
      <c r="FO6" s="72"/>
      <c r="FP6" s="72"/>
      <c r="FQ6" s="72"/>
      <c r="FR6" s="72"/>
      <c r="FS6" s="72"/>
      <c r="FT6" s="72"/>
      <c r="FU6" s="72"/>
      <c r="FV6" s="72"/>
      <c r="FW6" s="72"/>
      <c r="FX6" s="72"/>
      <c r="FY6" s="72"/>
      <c r="FZ6" s="72"/>
      <c r="GA6" s="72"/>
      <c r="GB6" s="72"/>
      <c r="GC6" s="72"/>
      <c r="GD6" s="72"/>
      <c r="GE6" s="72"/>
      <c r="GF6" s="72"/>
      <c r="GG6" s="72"/>
      <c r="GH6" s="72"/>
      <c r="GI6" s="72"/>
      <c r="GJ6" s="72"/>
      <c r="GK6" s="72"/>
      <c r="GL6" s="72"/>
      <c r="GM6" s="72"/>
      <c r="GN6" s="72"/>
      <c r="GO6" s="72"/>
      <c r="GP6" s="72"/>
      <c r="GQ6" s="72"/>
      <c r="GR6" s="72"/>
      <c r="GS6" s="72"/>
      <c r="GT6" s="72"/>
      <c r="GU6" s="72"/>
      <c r="GV6" s="72"/>
      <c r="GW6" s="72"/>
      <c r="GX6" s="72"/>
      <c r="GY6" s="72"/>
      <c r="GZ6" s="72"/>
      <c r="HA6" s="72"/>
      <c r="HB6" s="72"/>
      <c r="HC6" s="72"/>
      <c r="HD6" s="72"/>
      <c r="HE6" s="72"/>
      <c r="HF6" s="72"/>
      <c r="HG6" s="72"/>
      <c r="HH6" s="72"/>
      <c r="HI6" s="72"/>
    </row>
    <row r="7" spans="1:217" s="3" customFormat="1" ht="12.75" customHeight="1" x14ac:dyDescent="0.25">
      <c r="A7" s="28" t="s">
        <v>15</v>
      </c>
      <c r="B7" s="134" t="str">
        <f t="shared" si="0"/>
        <v>LG H&amp;H CO.,LTD.</v>
      </c>
      <c r="C7" s="29" t="s">
        <v>328</v>
      </c>
      <c r="D7" s="136" t="s">
        <v>309</v>
      </c>
      <c r="E7" s="30"/>
      <c r="F7" s="34"/>
      <c r="H7" s="31" t="str">
        <f t="shared" si="1"/>
        <v xml:space="preserve"> </v>
      </c>
      <c r="I7" s="29"/>
      <c r="J7" s="29" t="str">
        <f>VLOOKUP(Z:Z,'[1]AP 2022'!FD6:FF168,2,FALSE)</f>
        <v>exclude</v>
      </c>
      <c r="K7" s="47" t="str">
        <f>VLOOKUP(Z:Z,'[1]AP 2022'!FD6:FF168,3,0)</f>
        <v>Independence(A+, A, A-, U)</v>
      </c>
      <c r="L7" s="48"/>
      <c r="M7" s="125" t="s">
        <v>360</v>
      </c>
      <c r="N7" s="125" t="s">
        <v>361</v>
      </c>
      <c r="O7" s="125" t="s">
        <v>331</v>
      </c>
      <c r="P7" s="125" t="s">
        <v>362</v>
      </c>
      <c r="Q7" s="124"/>
      <c r="R7" s="125" t="s">
        <v>363</v>
      </c>
      <c r="S7" s="125" t="s">
        <v>364</v>
      </c>
      <c r="T7" s="125" t="s">
        <v>365</v>
      </c>
      <c r="U7" s="125" t="s">
        <v>321</v>
      </c>
      <c r="V7" s="125" t="s">
        <v>366</v>
      </c>
      <c r="W7" s="125" t="s">
        <v>367</v>
      </c>
      <c r="X7" s="125" t="s">
        <v>368</v>
      </c>
      <c r="Y7" s="124"/>
      <c r="Z7" s="125" t="s">
        <v>369</v>
      </c>
      <c r="AA7" s="128">
        <v>7185759184000</v>
      </c>
      <c r="AB7" s="128">
        <v>8091511298000</v>
      </c>
      <c r="AC7" s="128">
        <v>7844506057000</v>
      </c>
      <c r="AD7" s="128">
        <v>7685424230000</v>
      </c>
      <c r="AE7" s="128">
        <v>7185759184000</v>
      </c>
      <c r="AF7" s="128">
        <v>8091511298000</v>
      </c>
      <c r="AG7" s="128">
        <v>7844506057000</v>
      </c>
      <c r="AH7" s="128">
        <v>7685424230000</v>
      </c>
      <c r="AI7" s="125" t="s">
        <v>340</v>
      </c>
      <c r="AJ7" s="125" t="s">
        <v>340</v>
      </c>
      <c r="AK7" s="125" t="s">
        <v>340</v>
      </c>
      <c r="AL7" s="125" t="s">
        <v>340</v>
      </c>
      <c r="AM7" s="128">
        <v>7185759184000</v>
      </c>
      <c r="AN7" s="128">
        <v>8091511298000</v>
      </c>
      <c r="AO7" s="128">
        <v>7844506057000</v>
      </c>
      <c r="AP7" s="128">
        <v>7685424230000</v>
      </c>
      <c r="AQ7" s="125" t="s">
        <v>340</v>
      </c>
      <c r="AR7" s="125" t="s">
        <v>340</v>
      </c>
      <c r="AS7" s="125" t="s">
        <v>340</v>
      </c>
      <c r="AT7" s="125" t="s">
        <v>340</v>
      </c>
      <c r="AU7" s="128">
        <v>-3168512093000</v>
      </c>
      <c r="AV7" s="128">
        <v>-3039883555000</v>
      </c>
      <c r="AW7" s="128">
        <v>-2962930554000</v>
      </c>
      <c r="AX7" s="128">
        <v>-2917246275000</v>
      </c>
      <c r="AY7" s="128">
        <v>-25356000000</v>
      </c>
      <c r="AZ7" s="128">
        <v>-24734000000</v>
      </c>
      <c r="BA7" s="128">
        <v>-34058000000</v>
      </c>
      <c r="BB7" s="128">
        <v>-26047000000</v>
      </c>
      <c r="BC7" s="128">
        <v>-3108414157000</v>
      </c>
      <c r="BD7" s="128">
        <v>-3565277319000</v>
      </c>
      <c r="BE7" s="128">
        <v>-3447748772000</v>
      </c>
      <c r="BF7" s="128">
        <v>-3392991709000</v>
      </c>
      <c r="BG7" s="128">
        <v>883476934000</v>
      </c>
      <c r="BH7" s="128">
        <v>1461616424000</v>
      </c>
      <c r="BI7" s="128">
        <v>1399768731000</v>
      </c>
      <c r="BJ7" s="128">
        <v>1349139246000</v>
      </c>
      <c r="BK7" s="128">
        <v>-172354000000</v>
      </c>
      <c r="BL7" s="128">
        <v>-171986000000</v>
      </c>
      <c r="BM7" s="128">
        <v>-178904000000</v>
      </c>
      <c r="BN7" s="128">
        <v>-172728000000</v>
      </c>
      <c r="BO7" s="128">
        <v>-133945000000</v>
      </c>
      <c r="BP7" s="128">
        <v>-141034000000</v>
      </c>
      <c r="BQ7" s="128">
        <v>-152377000000</v>
      </c>
      <c r="BR7" s="128">
        <v>-146284000000</v>
      </c>
      <c r="BS7" s="128">
        <v>-38409000000</v>
      </c>
      <c r="BT7" s="128">
        <v>-30952000000</v>
      </c>
      <c r="BU7" s="128">
        <v>-26527000000</v>
      </c>
      <c r="BV7" s="128">
        <v>-26444000000</v>
      </c>
      <c r="BW7" s="128">
        <v>236572426000</v>
      </c>
      <c r="BX7" s="128">
        <v>844523496000</v>
      </c>
      <c r="BY7" s="128">
        <v>797628673000</v>
      </c>
      <c r="BZ7" s="128">
        <v>778097707000</v>
      </c>
      <c r="CA7" s="128">
        <v>2284388637000</v>
      </c>
      <c r="CB7" s="128">
        <v>2472884296000</v>
      </c>
      <c r="CC7" s="128">
        <v>1982768918000</v>
      </c>
      <c r="CD7" s="128">
        <v>2163074841000</v>
      </c>
      <c r="CE7" s="128">
        <v>955432615000</v>
      </c>
      <c r="CF7" s="128">
        <v>1000655942000</v>
      </c>
      <c r="CG7" s="128">
        <v>808965988000</v>
      </c>
      <c r="CH7" s="128">
        <v>746323199000</v>
      </c>
      <c r="CI7" s="128">
        <v>583310506000</v>
      </c>
      <c r="CJ7" s="128">
        <v>576428051000</v>
      </c>
      <c r="CK7" s="128">
        <v>611446696000</v>
      </c>
      <c r="CL7" s="128">
        <v>642440865000</v>
      </c>
      <c r="CM7" s="128">
        <v>45354159000</v>
      </c>
      <c r="CN7" s="128">
        <v>114346691000</v>
      </c>
      <c r="CO7" s="128">
        <v>87714770000</v>
      </c>
      <c r="CP7" s="128">
        <v>78400058000</v>
      </c>
      <c r="CQ7" s="128">
        <v>655119563000</v>
      </c>
      <c r="CR7" s="128">
        <v>734520612000</v>
      </c>
      <c r="CS7" s="128">
        <v>434105464000</v>
      </c>
      <c r="CT7" s="128">
        <v>647104059000</v>
      </c>
      <c r="CU7" s="128">
        <v>27000000</v>
      </c>
      <c r="CV7" s="125" t="s">
        <v>340</v>
      </c>
      <c r="CW7" s="125" t="s">
        <v>340</v>
      </c>
      <c r="CX7" s="125" t="s">
        <v>340</v>
      </c>
      <c r="CY7" s="128">
        <v>545185277000</v>
      </c>
      <c r="CZ7" s="128">
        <v>669098181000</v>
      </c>
      <c r="DA7" s="128">
        <v>740742013000</v>
      </c>
      <c r="DB7" s="128">
        <v>691402655000</v>
      </c>
      <c r="DC7" s="128">
        <v>7302929652000</v>
      </c>
      <c r="DD7" s="128">
        <v>7555239418000</v>
      </c>
      <c r="DE7" s="128">
        <v>6801415784000</v>
      </c>
      <c r="DF7" s="128">
        <v>6493669663000</v>
      </c>
      <c r="DG7" s="16">
        <f t="shared" si="2"/>
        <v>7185759184000</v>
      </c>
      <c r="DH7" s="16">
        <f t="shared" si="3"/>
        <v>-3168512093000</v>
      </c>
      <c r="DI7" s="16">
        <f t="shared" si="4"/>
        <v>-3133770157000</v>
      </c>
      <c r="DJ7" s="16">
        <f t="shared" si="5"/>
        <v>-172354000000</v>
      </c>
      <c r="DK7" s="16">
        <f t="shared" si="6"/>
        <v>711122934000</v>
      </c>
      <c r="DL7" s="57">
        <f t="shared" si="7"/>
        <v>9.8962811832520772E-2</v>
      </c>
      <c r="DM7" s="57">
        <f t="shared" si="8"/>
        <v>0.10983210585768428</v>
      </c>
      <c r="DN7" s="58">
        <f t="shared" si="9"/>
        <v>-25356000000</v>
      </c>
      <c r="DO7" s="16">
        <f t="shared" si="10"/>
        <v>978044278500</v>
      </c>
      <c r="DP7" s="16">
        <f t="shared" si="11"/>
        <v>607141729000</v>
      </c>
      <c r="DQ7" s="61"/>
      <c r="DR7" s="62">
        <f t="shared" si="12"/>
        <v>8091511298000</v>
      </c>
      <c r="DS7" s="62">
        <f t="shared" si="13"/>
        <v>-3039883555000</v>
      </c>
      <c r="DT7" s="62">
        <f t="shared" si="14"/>
        <v>-3590011319000</v>
      </c>
      <c r="DU7" s="62">
        <f t="shared" si="15"/>
        <v>-171986000000</v>
      </c>
      <c r="DV7" s="62">
        <f t="shared" si="16"/>
        <v>1289630424000</v>
      </c>
      <c r="DW7" s="63">
        <f t="shared" si="17"/>
        <v>0.15938066159763767</v>
      </c>
      <c r="DX7" s="63">
        <f t="shared" si="18"/>
        <v>0.18959909000017575</v>
      </c>
      <c r="DY7" s="64">
        <f t="shared" si="19"/>
        <v>-24734000000</v>
      </c>
      <c r="DZ7" s="64">
        <f t="shared" si="20"/>
        <v>904810965000</v>
      </c>
      <c r="EA7" s="64">
        <f t="shared" si="21"/>
        <v>704920097000</v>
      </c>
      <c r="EB7" s="61"/>
      <c r="EC7" s="64">
        <f t="shared" si="22"/>
        <v>7844506057000</v>
      </c>
      <c r="ED7" s="64">
        <f t="shared" si="23"/>
        <v>-2962930554000</v>
      </c>
      <c r="EE7" s="64">
        <f t="shared" si="24"/>
        <v>-3481806772000</v>
      </c>
      <c r="EF7" s="64">
        <f t="shared" si="25"/>
        <v>-178904000000</v>
      </c>
      <c r="EG7" s="64">
        <f t="shared" si="26"/>
        <v>1220864731000</v>
      </c>
      <c r="EH7" s="63">
        <f t="shared" si="27"/>
        <v>0.15563309176242759</v>
      </c>
      <c r="EI7" s="57">
        <f t="shared" si="28"/>
        <v>0.1843192695546027</v>
      </c>
      <c r="EJ7" s="64">
        <f t="shared" si="29"/>
        <v>-34058000000</v>
      </c>
      <c r="EK7" s="64">
        <f t="shared" si="30"/>
        <v>777644593500</v>
      </c>
      <c r="EL7" s="64">
        <f t="shared" si="31"/>
        <v>716072334000</v>
      </c>
      <c r="EM7" s="61"/>
      <c r="EN7" s="66">
        <f t="shared" si="32"/>
        <v>7707258846333.333</v>
      </c>
      <c r="EO7" s="66">
        <f t="shared" si="32"/>
        <v>-3057108734000</v>
      </c>
      <c r="EP7" s="66">
        <f t="shared" si="32"/>
        <v>-3401862749333.3335</v>
      </c>
      <c r="EQ7" s="66">
        <f t="shared" si="32"/>
        <v>-174414666666.66666</v>
      </c>
      <c r="ER7" s="66">
        <f t="shared" si="33"/>
        <v>1073872696333.3329</v>
      </c>
      <c r="ES7" s="63">
        <f t="shared" si="34"/>
        <v>0.13933263664087514</v>
      </c>
      <c r="ET7" s="67">
        <f t="shared" si="35"/>
        <v>0.16188906721996468</v>
      </c>
      <c r="EU7" s="66">
        <f t="shared" si="36"/>
        <v>28049333333.333332</v>
      </c>
      <c r="EV7" s="66">
        <f t="shared" si="37"/>
        <v>886833279000</v>
      </c>
      <c r="EW7" s="66">
        <f t="shared" si="37"/>
        <v>676044720000</v>
      </c>
      <c r="EX7" s="70"/>
      <c r="EY7" s="71" t="str">
        <f t="shared" si="38"/>
        <v>完整</v>
      </c>
      <c r="EZ7" s="71" t="str">
        <f t="shared" si="39"/>
        <v>完整</v>
      </c>
      <c r="FA7" s="71" t="str">
        <f t="shared" si="40"/>
        <v>完整</v>
      </c>
      <c r="FB7" s="71" t="str">
        <f t="shared" si="41"/>
        <v>选择</v>
      </c>
      <c r="FC7" s="71" t="str">
        <f t="shared" si="42"/>
        <v>选择</v>
      </c>
      <c r="FD7" s="72"/>
      <c r="FE7" s="72"/>
      <c r="FF7" s="72"/>
      <c r="FG7" s="72"/>
      <c r="FH7" s="72"/>
      <c r="FI7" s="72"/>
      <c r="FJ7" s="72"/>
      <c r="FK7" s="72"/>
      <c r="FL7" s="72"/>
      <c r="FM7" s="72"/>
      <c r="FN7" s="72"/>
      <c r="FO7" s="72"/>
      <c r="FP7" s="72"/>
      <c r="FQ7" s="72"/>
      <c r="FR7" s="72"/>
      <c r="FS7" s="72"/>
      <c r="FT7" s="72"/>
      <c r="FU7" s="72"/>
      <c r="FV7" s="72"/>
      <c r="FW7" s="72"/>
      <c r="FX7" s="72"/>
      <c r="FY7" s="72"/>
      <c r="FZ7" s="72"/>
      <c r="GA7" s="72"/>
      <c r="GB7" s="72"/>
      <c r="GC7" s="72"/>
      <c r="GD7" s="72"/>
      <c r="GE7" s="72"/>
      <c r="GF7" s="72"/>
      <c r="GG7" s="72"/>
      <c r="GH7" s="72"/>
      <c r="GI7" s="72"/>
      <c r="GJ7" s="72"/>
      <c r="GK7" s="72"/>
      <c r="GL7" s="72"/>
      <c r="GM7" s="72"/>
      <c r="GN7" s="72"/>
      <c r="GO7" s="72"/>
      <c r="GP7" s="72"/>
      <c r="GQ7" s="72"/>
      <c r="GR7" s="72"/>
      <c r="GS7" s="72"/>
      <c r="GT7" s="72"/>
      <c r="GU7" s="72"/>
      <c r="GV7" s="72"/>
      <c r="GW7" s="72"/>
      <c r="GX7" s="72"/>
      <c r="GY7" s="72"/>
      <c r="GZ7" s="72"/>
      <c r="HA7" s="72"/>
      <c r="HB7" s="72"/>
      <c r="HC7" s="72"/>
      <c r="HD7" s="72"/>
      <c r="HE7" s="72"/>
      <c r="HF7" s="72"/>
      <c r="HG7" s="72"/>
      <c r="HH7" s="72"/>
      <c r="HI7" s="72"/>
    </row>
    <row r="8" spans="1:217" s="3" customFormat="1" ht="12.75" customHeight="1" x14ac:dyDescent="0.25">
      <c r="A8" s="28" t="s">
        <v>16</v>
      </c>
      <c r="B8" s="134" t="str">
        <f t="shared" si="0"/>
        <v>AMORE PACIFIC GROUP</v>
      </c>
      <c r="C8" s="29" t="s">
        <v>328</v>
      </c>
      <c r="D8" s="136" t="s">
        <v>309</v>
      </c>
      <c r="E8" s="30"/>
      <c r="F8" s="34"/>
      <c r="H8" s="31" t="str">
        <f t="shared" si="1"/>
        <v xml:space="preserve"> </v>
      </c>
      <c r="I8" s="29"/>
      <c r="J8" s="29" t="str">
        <f>VLOOKUP(Z:Z,'[1]AP 2022'!FD7:FF169,2,FALSE)</f>
        <v>exclude</v>
      </c>
      <c r="K8" s="47" t="str">
        <f>VLOOKUP(Z:Z,'[1]AP 2022'!FD7:FF169,3,0)</f>
        <v>Independence(A+, A, A-, U)</v>
      </c>
      <c r="L8" s="48"/>
      <c r="M8" s="125" t="s">
        <v>370</v>
      </c>
      <c r="N8" s="125" t="s">
        <v>371</v>
      </c>
      <c r="O8" s="125" t="s">
        <v>331</v>
      </c>
      <c r="P8" s="125" t="s">
        <v>372</v>
      </c>
      <c r="Q8" s="124"/>
      <c r="R8" s="125" t="s">
        <v>363</v>
      </c>
      <c r="S8" s="125" t="s">
        <v>373</v>
      </c>
      <c r="T8" s="125" t="s">
        <v>374</v>
      </c>
      <c r="U8" s="125" t="s">
        <v>321</v>
      </c>
      <c r="V8" s="125" t="s">
        <v>375</v>
      </c>
      <c r="W8" s="125" t="s">
        <v>376</v>
      </c>
      <c r="X8" s="125" t="s">
        <v>377</v>
      </c>
      <c r="Y8" s="124"/>
      <c r="Z8" s="125" t="s">
        <v>378</v>
      </c>
      <c r="AA8" s="128">
        <v>4494956807000</v>
      </c>
      <c r="AB8" s="128">
        <v>5326080007000</v>
      </c>
      <c r="AC8" s="128">
        <v>4930083150000</v>
      </c>
      <c r="AD8" s="128">
        <v>6284255176000</v>
      </c>
      <c r="AE8" s="128">
        <v>4494956807000</v>
      </c>
      <c r="AF8" s="128">
        <v>5326080007000</v>
      </c>
      <c r="AG8" s="128">
        <v>4930083150000</v>
      </c>
      <c r="AH8" s="128">
        <v>6284255176000</v>
      </c>
      <c r="AI8" s="125" t="s">
        <v>340</v>
      </c>
      <c r="AJ8" s="125" t="s">
        <v>340</v>
      </c>
      <c r="AK8" s="125" t="s">
        <v>340</v>
      </c>
      <c r="AL8" s="125" t="s">
        <v>340</v>
      </c>
      <c r="AM8" s="128">
        <v>4494956807000</v>
      </c>
      <c r="AN8" s="128">
        <v>5326080007000</v>
      </c>
      <c r="AO8" s="128">
        <v>4930083150000</v>
      </c>
      <c r="AP8" s="128">
        <v>6284255176000</v>
      </c>
      <c r="AQ8" s="125" t="s">
        <v>340</v>
      </c>
      <c r="AR8" s="125" t="s">
        <v>340</v>
      </c>
      <c r="AS8" s="125" t="s">
        <v>340</v>
      </c>
      <c r="AT8" s="125" t="s">
        <v>340</v>
      </c>
      <c r="AU8" s="128">
        <v>-1347786581000</v>
      </c>
      <c r="AV8" s="128">
        <v>-1461565392000</v>
      </c>
      <c r="AW8" s="128">
        <v>-1371125561000</v>
      </c>
      <c r="AX8" s="128">
        <v>-1641834346000</v>
      </c>
      <c r="AY8" s="128">
        <v>-98631000000</v>
      </c>
      <c r="AZ8" s="128">
        <v>-105555000000</v>
      </c>
      <c r="BA8" s="128">
        <v>-91006000000</v>
      </c>
      <c r="BB8" s="128">
        <v>-98613000000</v>
      </c>
      <c r="BC8" s="128">
        <v>-2539012513000</v>
      </c>
      <c r="BD8" s="128">
        <v>-3076684342000</v>
      </c>
      <c r="BE8" s="128">
        <v>-2880741541000</v>
      </c>
      <c r="BF8" s="128">
        <v>-3573391013000</v>
      </c>
      <c r="BG8" s="128">
        <v>509526713000</v>
      </c>
      <c r="BH8" s="128">
        <v>682275273000</v>
      </c>
      <c r="BI8" s="128">
        <v>587210048000</v>
      </c>
      <c r="BJ8" s="128">
        <v>970416817000</v>
      </c>
      <c r="BK8" s="128">
        <v>-237626000000</v>
      </c>
      <c r="BL8" s="128">
        <v>-326104000000</v>
      </c>
      <c r="BM8" s="128">
        <v>-436549000000</v>
      </c>
      <c r="BN8" s="128">
        <v>-472167000000</v>
      </c>
      <c r="BO8" s="128">
        <v>-237626000000</v>
      </c>
      <c r="BP8" s="128">
        <v>-326104000000</v>
      </c>
      <c r="BQ8" s="128">
        <v>-436549000000</v>
      </c>
      <c r="BR8" s="128">
        <v>-430272000000</v>
      </c>
      <c r="BS8" s="125" t="s">
        <v>340</v>
      </c>
      <c r="BT8" s="125" t="s">
        <v>340</v>
      </c>
      <c r="BU8" s="125" t="s">
        <v>340</v>
      </c>
      <c r="BV8" s="128">
        <v>-41895000000</v>
      </c>
      <c r="BW8" s="128">
        <v>62237029000</v>
      </c>
      <c r="BX8" s="128">
        <v>179995030000</v>
      </c>
      <c r="BY8" s="128">
        <v>10381314000</v>
      </c>
      <c r="BZ8" s="128">
        <v>133732557000</v>
      </c>
      <c r="CA8" s="128">
        <v>2566383547000</v>
      </c>
      <c r="CB8" s="128">
        <v>3015471536000</v>
      </c>
      <c r="CC8" s="128">
        <v>2853056756000</v>
      </c>
      <c r="CD8" s="128">
        <v>2905906252000</v>
      </c>
      <c r="CE8" s="128">
        <v>459962411000</v>
      </c>
      <c r="CF8" s="128">
        <v>542815041000</v>
      </c>
      <c r="CG8" s="128">
        <v>478448079000</v>
      </c>
      <c r="CH8" s="128">
        <v>524543689000</v>
      </c>
      <c r="CI8" s="128">
        <v>311527901000</v>
      </c>
      <c r="CJ8" s="128">
        <v>320555820000</v>
      </c>
      <c r="CK8" s="128">
        <v>315545983000</v>
      </c>
      <c r="CL8" s="128">
        <v>406284796000</v>
      </c>
      <c r="CM8" s="128">
        <v>286388276000</v>
      </c>
      <c r="CN8" s="128">
        <v>353487428000</v>
      </c>
      <c r="CO8" s="128">
        <v>366709074000</v>
      </c>
      <c r="CP8" s="128">
        <v>318060960000</v>
      </c>
      <c r="CQ8" s="128">
        <v>1462154321000</v>
      </c>
      <c r="CR8" s="128">
        <v>1734419302000</v>
      </c>
      <c r="CS8" s="128">
        <v>1602080206000</v>
      </c>
      <c r="CT8" s="128">
        <v>1575051467000</v>
      </c>
      <c r="CU8" s="128">
        <v>812088316000</v>
      </c>
      <c r="CV8" s="128">
        <v>863824272000</v>
      </c>
      <c r="CW8" s="128">
        <v>411153895000</v>
      </c>
      <c r="CX8" s="128">
        <v>157610206000</v>
      </c>
      <c r="CY8" s="128">
        <v>215105111000</v>
      </c>
      <c r="CZ8" s="128">
        <v>210894211000</v>
      </c>
      <c r="DA8" s="128">
        <v>259123223000</v>
      </c>
      <c r="DB8" s="128">
        <v>1024007754000</v>
      </c>
      <c r="DC8" s="128">
        <v>7651003801000</v>
      </c>
      <c r="DD8" s="128">
        <v>8038142932000</v>
      </c>
      <c r="DE8" s="128">
        <v>7788743600000</v>
      </c>
      <c r="DF8" s="128">
        <v>8281393134000</v>
      </c>
      <c r="DG8" s="16">
        <f t="shared" si="2"/>
        <v>4494956807000</v>
      </c>
      <c r="DH8" s="16">
        <f t="shared" si="3"/>
        <v>-1347786581000</v>
      </c>
      <c r="DI8" s="16">
        <f t="shared" si="4"/>
        <v>-2637643513000</v>
      </c>
      <c r="DJ8" s="16">
        <f t="shared" si="5"/>
        <v>-237626000000</v>
      </c>
      <c r="DK8" s="16">
        <f t="shared" si="6"/>
        <v>271900713000</v>
      </c>
      <c r="DL8" s="57">
        <f t="shared" si="7"/>
        <v>6.0490172581095507E-2</v>
      </c>
      <c r="DM8" s="57">
        <f t="shared" si="8"/>
        <v>6.4384821548145885E-2</v>
      </c>
      <c r="DN8" s="58">
        <f t="shared" si="9"/>
        <v>-98631000000</v>
      </c>
      <c r="DO8" s="16">
        <f t="shared" si="10"/>
        <v>501388726000</v>
      </c>
      <c r="DP8" s="16">
        <f t="shared" si="11"/>
        <v>212999661000</v>
      </c>
      <c r="DQ8" s="61"/>
      <c r="DR8" s="62">
        <f t="shared" si="12"/>
        <v>5326080007000</v>
      </c>
      <c r="DS8" s="62">
        <f t="shared" si="13"/>
        <v>-1461565392000</v>
      </c>
      <c r="DT8" s="62">
        <f t="shared" si="14"/>
        <v>-3182239342000</v>
      </c>
      <c r="DU8" s="62">
        <f t="shared" si="15"/>
        <v>-326104000000</v>
      </c>
      <c r="DV8" s="62">
        <f t="shared" si="16"/>
        <v>356171273000</v>
      </c>
      <c r="DW8" s="63">
        <f t="shared" si="17"/>
        <v>6.68730609626383E-2</v>
      </c>
      <c r="DX8" s="63">
        <f t="shared" si="18"/>
        <v>7.1665556062100511E-2</v>
      </c>
      <c r="DY8" s="64">
        <f t="shared" si="19"/>
        <v>-105555000000</v>
      </c>
      <c r="DZ8" s="64">
        <f t="shared" si="20"/>
        <v>510631560000</v>
      </c>
      <c r="EA8" s="64">
        <f t="shared" si="21"/>
        <v>235008717000</v>
      </c>
      <c r="EB8" s="61"/>
      <c r="EC8" s="64">
        <f t="shared" si="22"/>
        <v>4930083150000</v>
      </c>
      <c r="ED8" s="64">
        <f t="shared" si="23"/>
        <v>-1371125561000</v>
      </c>
      <c r="EE8" s="64">
        <f t="shared" si="24"/>
        <v>-2971747541000</v>
      </c>
      <c r="EF8" s="64">
        <f t="shared" si="25"/>
        <v>-436549000000</v>
      </c>
      <c r="EG8" s="64">
        <f t="shared" si="26"/>
        <v>150661048000</v>
      </c>
      <c r="EH8" s="63">
        <f t="shared" si="27"/>
        <v>3.0559534883301105E-2</v>
      </c>
      <c r="EI8" s="57">
        <f t="shared" si="28"/>
        <v>3.1522858785993035E-2</v>
      </c>
      <c r="EJ8" s="64">
        <f t="shared" si="29"/>
        <v>-91006000000</v>
      </c>
      <c r="EK8" s="64">
        <f t="shared" si="30"/>
        <v>501495884000</v>
      </c>
      <c r="EL8" s="64">
        <f t="shared" si="31"/>
        <v>641565488500</v>
      </c>
      <c r="EM8" s="61"/>
      <c r="EN8" s="66">
        <f t="shared" si="32"/>
        <v>4917039988000</v>
      </c>
      <c r="EO8" s="66">
        <f t="shared" si="32"/>
        <v>-1393492511333.3333</v>
      </c>
      <c r="EP8" s="66">
        <f t="shared" si="32"/>
        <v>-2930543465333.3335</v>
      </c>
      <c r="EQ8" s="66">
        <f t="shared" si="32"/>
        <v>-333426333333.33331</v>
      </c>
      <c r="ER8" s="66">
        <f t="shared" si="33"/>
        <v>259577678000.00018</v>
      </c>
      <c r="ES8" s="63">
        <f t="shared" si="34"/>
        <v>5.2791451489818592E-2</v>
      </c>
      <c r="ET8" s="67">
        <f t="shared" si="35"/>
        <v>5.5733715212823734E-2</v>
      </c>
      <c r="EU8" s="66">
        <f t="shared" si="36"/>
        <v>98397333333.333328</v>
      </c>
      <c r="EV8" s="66">
        <f t="shared" si="37"/>
        <v>504505390000</v>
      </c>
      <c r="EW8" s="66">
        <f t="shared" si="37"/>
        <v>363191288833.33331</v>
      </c>
      <c r="EX8" s="70"/>
      <c r="EY8" s="71" t="str">
        <f t="shared" si="38"/>
        <v>完整</v>
      </c>
      <c r="EZ8" s="71" t="str">
        <f t="shared" si="39"/>
        <v>完整</v>
      </c>
      <c r="FA8" s="71" t="str">
        <f t="shared" si="40"/>
        <v>完整</v>
      </c>
      <c r="FB8" s="71" t="str">
        <f t="shared" si="41"/>
        <v>选择</v>
      </c>
      <c r="FC8" s="71" t="str">
        <f t="shared" si="42"/>
        <v>选择</v>
      </c>
    </row>
    <row r="9" spans="1:217" s="3" customFormat="1" ht="12.75" customHeight="1" x14ac:dyDescent="0.25">
      <c r="A9" s="28" t="s">
        <v>17</v>
      </c>
      <c r="B9" s="134" t="str">
        <f t="shared" si="0"/>
        <v>AMOREPACIFIC CORP.</v>
      </c>
      <c r="C9" s="29" t="s">
        <v>328</v>
      </c>
      <c r="D9" s="136" t="s">
        <v>309</v>
      </c>
      <c r="E9" s="33"/>
      <c r="H9" s="31" t="str">
        <f t="shared" si="1"/>
        <v xml:space="preserve"> </v>
      </c>
      <c r="I9" s="29"/>
      <c r="J9" s="29" t="str">
        <f>VLOOKUP(Z:Z,'[1]AP 2022'!FD8:FF170,2,FALSE)</f>
        <v>exclude</v>
      </c>
      <c r="K9" s="47" t="str">
        <f>VLOOKUP(Z:Z,'[1]AP 2022'!FD8:FF170,3,0)</f>
        <v>Independence(A+, A, A-, U)</v>
      </c>
      <c r="L9" s="48"/>
      <c r="M9" s="125" t="s">
        <v>379</v>
      </c>
      <c r="N9" s="125" t="s">
        <v>380</v>
      </c>
      <c r="O9" s="125" t="s">
        <v>381</v>
      </c>
      <c r="P9" s="125" t="s">
        <v>372</v>
      </c>
      <c r="Q9" s="124"/>
      <c r="R9" s="125" t="s">
        <v>363</v>
      </c>
      <c r="S9" s="125" t="s">
        <v>382</v>
      </c>
      <c r="T9" s="125" t="s">
        <v>365</v>
      </c>
      <c r="U9" s="125" t="s">
        <v>321</v>
      </c>
      <c r="V9" s="125" t="s">
        <v>383</v>
      </c>
      <c r="W9" s="125" t="s">
        <v>384</v>
      </c>
      <c r="X9" s="124"/>
      <c r="Y9" s="125" t="s">
        <v>385</v>
      </c>
      <c r="Z9" s="125" t="s">
        <v>386</v>
      </c>
      <c r="AA9" s="128">
        <v>4134932512000</v>
      </c>
      <c r="AB9" s="128">
        <v>4863128497000</v>
      </c>
      <c r="AC9" s="128">
        <v>4432179039000</v>
      </c>
      <c r="AD9" s="128">
        <v>5580142193000</v>
      </c>
      <c r="AE9" s="128">
        <v>4134932512000</v>
      </c>
      <c r="AF9" s="128">
        <v>4863128497000</v>
      </c>
      <c r="AG9" s="128">
        <v>4432179039000</v>
      </c>
      <c r="AH9" s="128">
        <v>5580142193000</v>
      </c>
      <c r="AI9" s="125" t="s">
        <v>340</v>
      </c>
      <c r="AJ9" s="125" t="s">
        <v>340</v>
      </c>
      <c r="AK9" s="125" t="s">
        <v>340</v>
      </c>
      <c r="AL9" s="125" t="s">
        <v>340</v>
      </c>
      <c r="AM9" s="128">
        <v>4134932512000</v>
      </c>
      <c r="AN9" s="128">
        <v>4863128497000</v>
      </c>
      <c r="AO9" s="128">
        <v>4432179039000</v>
      </c>
      <c r="AP9" s="128">
        <v>5580142193000</v>
      </c>
      <c r="AQ9" s="125" t="s">
        <v>340</v>
      </c>
      <c r="AR9" s="125" t="s">
        <v>340</v>
      </c>
      <c r="AS9" s="125" t="s">
        <v>340</v>
      </c>
      <c r="AT9" s="125" t="s">
        <v>340</v>
      </c>
      <c r="AU9" s="128">
        <v>-1337512407000</v>
      </c>
      <c r="AV9" s="128">
        <v>-1362639202000</v>
      </c>
      <c r="AW9" s="128">
        <v>-1265398065000</v>
      </c>
      <c r="AX9" s="128">
        <v>-1500515578000</v>
      </c>
      <c r="AY9" s="128">
        <v>-97025000000</v>
      </c>
      <c r="AZ9" s="128">
        <v>-103878000000</v>
      </c>
      <c r="BA9" s="128">
        <v>-89073000000</v>
      </c>
      <c r="BB9" s="128">
        <v>-96391000000</v>
      </c>
      <c r="BC9" s="128">
        <v>-2277728850000</v>
      </c>
      <c r="BD9" s="128">
        <v>-2766811485000</v>
      </c>
      <c r="BE9" s="128">
        <v>-2550637855000</v>
      </c>
      <c r="BF9" s="128">
        <v>-3147608018000</v>
      </c>
      <c r="BG9" s="128">
        <v>422666255000</v>
      </c>
      <c r="BH9" s="128">
        <v>629799810000.00098</v>
      </c>
      <c r="BI9" s="128">
        <v>527070119000</v>
      </c>
      <c r="BJ9" s="128">
        <v>835627597000</v>
      </c>
      <c r="BK9" s="128">
        <v>-208433000000</v>
      </c>
      <c r="BL9" s="128">
        <v>-286442000000</v>
      </c>
      <c r="BM9" s="128">
        <v>-384061000000</v>
      </c>
      <c r="BN9" s="128">
        <v>-407793000000</v>
      </c>
      <c r="BO9" s="128">
        <v>-208433000000</v>
      </c>
      <c r="BP9" s="128">
        <v>-286442000000</v>
      </c>
      <c r="BQ9" s="128">
        <v>-384061000000</v>
      </c>
      <c r="BR9" s="128">
        <v>-371605000000</v>
      </c>
      <c r="BS9" s="125" t="s">
        <v>340</v>
      </c>
      <c r="BT9" s="125" t="s">
        <v>340</v>
      </c>
      <c r="BU9" s="125" t="s">
        <v>340</v>
      </c>
      <c r="BV9" s="128">
        <v>-36188000000</v>
      </c>
      <c r="BW9" s="128">
        <v>134474812000</v>
      </c>
      <c r="BX9" s="128">
        <v>193680579000</v>
      </c>
      <c r="BY9" s="128">
        <v>35132160000</v>
      </c>
      <c r="BZ9" s="128">
        <v>238804192000</v>
      </c>
      <c r="CA9" s="128">
        <v>1735019347000</v>
      </c>
      <c r="CB9" s="128">
        <v>2018526858000</v>
      </c>
      <c r="CC9" s="128">
        <v>1825732428000</v>
      </c>
      <c r="CD9" s="128">
        <v>1803063671000</v>
      </c>
      <c r="CE9" s="128">
        <v>408934397000</v>
      </c>
      <c r="CF9" s="128">
        <v>493223643000</v>
      </c>
      <c r="CG9" s="128">
        <v>414482961000</v>
      </c>
      <c r="CH9" s="128">
        <v>452589072000</v>
      </c>
      <c r="CI9" s="128">
        <v>305539515000</v>
      </c>
      <c r="CJ9" s="128">
        <v>327583709000</v>
      </c>
      <c r="CK9" s="128">
        <v>295920804000</v>
      </c>
      <c r="CL9" s="128">
        <v>387444814000</v>
      </c>
      <c r="CM9" s="128">
        <v>141145947000</v>
      </c>
      <c r="CN9" s="128">
        <v>117796656000</v>
      </c>
      <c r="CO9" s="128">
        <v>75955178000</v>
      </c>
      <c r="CP9" s="128">
        <v>83633914000</v>
      </c>
      <c r="CQ9" s="128">
        <v>841083840000</v>
      </c>
      <c r="CR9" s="128">
        <v>1028532963000</v>
      </c>
      <c r="CS9" s="128">
        <v>960191529000</v>
      </c>
      <c r="CT9" s="128">
        <v>811103301000</v>
      </c>
      <c r="CU9" s="128">
        <v>391485892000</v>
      </c>
      <c r="CV9" s="128">
        <v>490839332000</v>
      </c>
      <c r="CW9" s="128">
        <v>166463243000</v>
      </c>
      <c r="CX9" s="128">
        <v>137522926000</v>
      </c>
      <c r="CY9" s="128">
        <v>191017690000</v>
      </c>
      <c r="CZ9" s="128">
        <v>200383151000</v>
      </c>
      <c r="DA9" s="128">
        <v>247111198000</v>
      </c>
      <c r="DB9" s="128">
        <v>894941508000</v>
      </c>
      <c r="DC9" s="128">
        <v>5801783178000</v>
      </c>
      <c r="DD9" s="128">
        <v>6116713933000</v>
      </c>
      <c r="DE9" s="128">
        <v>5701918176000</v>
      </c>
      <c r="DF9" s="128">
        <v>5989007791000</v>
      </c>
      <c r="DG9" s="16">
        <f t="shared" si="2"/>
        <v>4134932512000</v>
      </c>
      <c r="DH9" s="16">
        <f t="shared" si="3"/>
        <v>-1337512407000</v>
      </c>
      <c r="DI9" s="16">
        <f t="shared" si="4"/>
        <v>-2374753850000</v>
      </c>
      <c r="DJ9" s="16">
        <f t="shared" si="5"/>
        <v>-208433000000</v>
      </c>
      <c r="DK9" s="16">
        <f t="shared" si="6"/>
        <v>214233255000</v>
      </c>
      <c r="DL9" s="57">
        <f t="shared" si="7"/>
        <v>5.1810580796245898E-2</v>
      </c>
      <c r="DM9" s="57">
        <f t="shared" si="8"/>
        <v>5.4641593490627687E-2</v>
      </c>
      <c r="DN9" s="58">
        <f t="shared" si="9"/>
        <v>-97025000000</v>
      </c>
      <c r="DO9" s="16">
        <f t="shared" si="10"/>
        <v>451079020000</v>
      </c>
      <c r="DP9" s="16">
        <f t="shared" si="11"/>
        <v>195700420500</v>
      </c>
      <c r="DQ9" s="61"/>
      <c r="DR9" s="62">
        <f t="shared" si="12"/>
        <v>4863128497000</v>
      </c>
      <c r="DS9" s="62">
        <f t="shared" si="13"/>
        <v>-1362639202000</v>
      </c>
      <c r="DT9" s="62">
        <f t="shared" si="14"/>
        <v>-2870689485000</v>
      </c>
      <c r="DU9" s="62">
        <f t="shared" si="15"/>
        <v>-286442000000</v>
      </c>
      <c r="DV9" s="62">
        <f t="shared" si="16"/>
        <v>343357810000</v>
      </c>
      <c r="DW9" s="63">
        <f t="shared" si="17"/>
        <v>7.0604305481916207E-2</v>
      </c>
      <c r="DX9" s="63">
        <f t="shared" si="18"/>
        <v>7.5967971337037879E-2</v>
      </c>
      <c r="DY9" s="64">
        <f t="shared" si="19"/>
        <v>-103878000000</v>
      </c>
      <c r="DZ9" s="64">
        <f t="shared" si="20"/>
        <v>453853302000</v>
      </c>
      <c r="EA9" s="64">
        <f t="shared" si="21"/>
        <v>223747174500</v>
      </c>
      <c r="EB9" s="61"/>
      <c r="EC9" s="64">
        <f t="shared" si="22"/>
        <v>4432179039000</v>
      </c>
      <c r="ED9" s="64">
        <f t="shared" si="23"/>
        <v>-1265398065000</v>
      </c>
      <c r="EE9" s="64">
        <f t="shared" si="24"/>
        <v>-2639710855000</v>
      </c>
      <c r="EF9" s="64">
        <f t="shared" si="25"/>
        <v>-384061000000</v>
      </c>
      <c r="EG9" s="64">
        <f t="shared" si="26"/>
        <v>143009119000</v>
      </c>
      <c r="EH9" s="63">
        <f t="shared" si="27"/>
        <v>3.2266097046536754E-2</v>
      </c>
      <c r="EI9" s="57">
        <f t="shared" si="28"/>
        <v>3.3341910361993771E-2</v>
      </c>
      <c r="EJ9" s="64">
        <f t="shared" si="29"/>
        <v>-89073000000</v>
      </c>
      <c r="EK9" s="64">
        <f t="shared" si="30"/>
        <v>433536016500</v>
      </c>
      <c r="EL9" s="64">
        <f t="shared" si="31"/>
        <v>571026353000</v>
      </c>
      <c r="EM9" s="61"/>
      <c r="EN9" s="66">
        <f t="shared" si="32"/>
        <v>4476746682666.667</v>
      </c>
      <c r="EO9" s="66">
        <f t="shared" si="32"/>
        <v>-1321849891333.3333</v>
      </c>
      <c r="EP9" s="66">
        <f t="shared" si="32"/>
        <v>-2628384730000</v>
      </c>
      <c r="EQ9" s="66">
        <f t="shared" si="32"/>
        <v>-292978666666.66669</v>
      </c>
      <c r="ER9" s="66">
        <f t="shared" si="33"/>
        <v>233533394666.6673</v>
      </c>
      <c r="ES9" s="63">
        <f t="shared" si="34"/>
        <v>5.2165872054113702E-2</v>
      </c>
      <c r="ET9" s="67">
        <f t="shared" si="35"/>
        <v>5.5036921035082155E-2</v>
      </c>
      <c r="EU9" s="66">
        <f t="shared" si="36"/>
        <v>96658666666.666672</v>
      </c>
      <c r="EV9" s="66">
        <f t="shared" si="37"/>
        <v>446156112833.33331</v>
      </c>
      <c r="EW9" s="66">
        <f t="shared" si="37"/>
        <v>330157982666.66669</v>
      </c>
      <c r="EX9" s="70"/>
      <c r="EY9" s="71" t="str">
        <f t="shared" si="38"/>
        <v>完整</v>
      </c>
      <c r="EZ9" s="71" t="str">
        <f t="shared" si="39"/>
        <v>完整</v>
      </c>
      <c r="FA9" s="71" t="str">
        <f t="shared" si="40"/>
        <v>完整</v>
      </c>
      <c r="FB9" s="71" t="str">
        <f t="shared" si="41"/>
        <v>选择</v>
      </c>
      <c r="FC9" s="71" t="str">
        <f t="shared" si="42"/>
        <v>选择</v>
      </c>
    </row>
    <row r="10" spans="1:217" s="3" customFormat="1" ht="12.75" customHeight="1" x14ac:dyDescent="0.25">
      <c r="A10" s="28" t="s">
        <v>18</v>
      </c>
      <c r="B10" s="134" t="str">
        <f t="shared" si="0"/>
        <v>LION CORPORATION</v>
      </c>
      <c r="C10" s="29" t="s">
        <v>328</v>
      </c>
      <c r="D10" s="135" t="s">
        <v>312</v>
      </c>
      <c r="E10" s="29"/>
      <c r="F10" s="135"/>
      <c r="G10" s="29"/>
      <c r="H10" s="31" t="str">
        <f t="shared" si="1"/>
        <v xml:space="preserve"> </v>
      </c>
      <c r="I10" s="29"/>
      <c r="J10" s="29" t="str">
        <f>VLOOKUP(Z:Z,'[1]AP 2022'!FD9:FF171,2,FALSE)</f>
        <v>exclude</v>
      </c>
      <c r="K10" s="47" t="str">
        <f>VLOOKUP(Z:Z,'[1]AP 2022'!FD9:FF171,3,0)</f>
        <v>lev SDA/SDP</v>
      </c>
      <c r="L10" s="48"/>
      <c r="M10" s="125" t="s">
        <v>387</v>
      </c>
      <c r="N10" s="125" t="s">
        <v>388</v>
      </c>
      <c r="O10" s="125" t="s">
        <v>381</v>
      </c>
      <c r="P10" s="125" t="s">
        <v>389</v>
      </c>
      <c r="Q10" s="124"/>
      <c r="R10" s="125" t="s">
        <v>333</v>
      </c>
      <c r="S10" s="125" t="s">
        <v>390</v>
      </c>
      <c r="T10" s="125" t="s">
        <v>335</v>
      </c>
      <c r="U10" s="125" t="s">
        <v>321</v>
      </c>
      <c r="V10" s="125" t="s">
        <v>391</v>
      </c>
      <c r="W10" s="125" t="s">
        <v>392</v>
      </c>
      <c r="X10" s="125" t="s">
        <v>393</v>
      </c>
      <c r="Y10" s="125" t="s">
        <v>394</v>
      </c>
      <c r="Z10" s="125" t="s">
        <v>395</v>
      </c>
      <c r="AA10" s="128">
        <v>391294000000</v>
      </c>
      <c r="AB10" s="128">
        <v>367414000000</v>
      </c>
      <c r="AC10" s="128">
        <v>356571000000</v>
      </c>
      <c r="AD10" s="128">
        <v>349038000000</v>
      </c>
      <c r="AE10" s="128">
        <v>389869000000</v>
      </c>
      <c r="AF10" s="128">
        <v>366234000000</v>
      </c>
      <c r="AG10" s="128">
        <v>355352000000</v>
      </c>
      <c r="AH10" s="128">
        <v>347519000000</v>
      </c>
      <c r="AI10" s="125" t="s">
        <v>340</v>
      </c>
      <c r="AJ10" s="125" t="s">
        <v>340</v>
      </c>
      <c r="AK10" s="125" t="s">
        <v>340</v>
      </c>
      <c r="AL10" s="125" t="s">
        <v>340</v>
      </c>
      <c r="AM10" s="128">
        <v>389869000000</v>
      </c>
      <c r="AN10" s="128">
        <v>366234000000</v>
      </c>
      <c r="AO10" s="128">
        <v>355352000000</v>
      </c>
      <c r="AP10" s="128">
        <v>347519000000</v>
      </c>
      <c r="AQ10" s="128">
        <v>1425000000</v>
      </c>
      <c r="AR10" s="128">
        <v>1180000000</v>
      </c>
      <c r="AS10" s="128">
        <v>1219000000</v>
      </c>
      <c r="AT10" s="128">
        <v>1519000000</v>
      </c>
      <c r="AU10" s="128">
        <v>-215263000000</v>
      </c>
      <c r="AV10" s="128">
        <v>-187129000000</v>
      </c>
      <c r="AW10" s="128">
        <v>-175479000000</v>
      </c>
      <c r="AX10" s="128">
        <v>-175588000000</v>
      </c>
      <c r="AY10" s="128">
        <v>-11077000000</v>
      </c>
      <c r="AZ10" s="128">
        <v>-11180000000</v>
      </c>
      <c r="BA10" s="128">
        <v>-10906000000</v>
      </c>
      <c r="BB10" s="128">
        <v>-10944000000</v>
      </c>
      <c r="BC10" s="128">
        <v>-122900000000</v>
      </c>
      <c r="BD10" s="128">
        <v>-123285000000</v>
      </c>
      <c r="BE10" s="128">
        <v>-121984000000</v>
      </c>
      <c r="BF10" s="128">
        <v>-121695000000</v>
      </c>
      <c r="BG10" s="128">
        <v>42054000000</v>
      </c>
      <c r="BH10" s="128">
        <v>45820000000</v>
      </c>
      <c r="BI10" s="128">
        <v>48202000000</v>
      </c>
      <c r="BJ10" s="128">
        <v>40811000000</v>
      </c>
      <c r="BK10" s="128">
        <v>-18166000000</v>
      </c>
      <c r="BL10" s="128">
        <v>-14267000000</v>
      </c>
      <c r="BM10" s="128">
        <v>-14746000000</v>
      </c>
      <c r="BN10" s="128">
        <v>-10614000000</v>
      </c>
      <c r="BO10" s="128">
        <v>-18166000000</v>
      </c>
      <c r="BP10" s="128">
        <v>-14267000000</v>
      </c>
      <c r="BQ10" s="128">
        <v>-14746000000</v>
      </c>
      <c r="BR10" s="128">
        <v>-10614000000</v>
      </c>
      <c r="BS10" s="128">
        <v>0</v>
      </c>
      <c r="BT10" s="128">
        <v>0</v>
      </c>
      <c r="BU10" s="128">
        <v>0</v>
      </c>
      <c r="BV10" s="128">
        <v>0</v>
      </c>
      <c r="BW10" s="128">
        <v>21939000000</v>
      </c>
      <c r="BX10" s="128">
        <v>23759000000</v>
      </c>
      <c r="BY10" s="128">
        <v>29870000000</v>
      </c>
      <c r="BZ10" s="128">
        <v>20559000000</v>
      </c>
      <c r="CA10" s="128">
        <v>237691000000</v>
      </c>
      <c r="CB10" s="128">
        <v>232150000000</v>
      </c>
      <c r="CC10" s="128">
        <v>245419000000</v>
      </c>
      <c r="CD10" s="128">
        <v>222497000000</v>
      </c>
      <c r="CE10" s="128">
        <v>53909000000</v>
      </c>
      <c r="CF10" s="128">
        <v>51714000000</v>
      </c>
      <c r="CG10" s="128">
        <v>45158000000</v>
      </c>
      <c r="CH10" s="128">
        <v>43555000000</v>
      </c>
      <c r="CI10" s="128">
        <v>69350000000</v>
      </c>
      <c r="CJ10" s="128">
        <v>69183000000</v>
      </c>
      <c r="CK10" s="128">
        <v>61528000000</v>
      </c>
      <c r="CL10" s="128">
        <v>61071000000</v>
      </c>
      <c r="CM10" s="128">
        <v>5377000000</v>
      </c>
      <c r="CN10" s="128">
        <v>7347000000</v>
      </c>
      <c r="CO10" s="128">
        <v>8607000000</v>
      </c>
      <c r="CP10" s="128">
        <v>3442000000</v>
      </c>
      <c r="CQ10" s="128">
        <v>109055000000</v>
      </c>
      <c r="CR10" s="128">
        <v>103906000000</v>
      </c>
      <c r="CS10" s="128">
        <v>130126000000</v>
      </c>
      <c r="CT10" s="128">
        <v>114429000000</v>
      </c>
      <c r="CU10" s="128">
        <v>10258000000</v>
      </c>
      <c r="CV10" s="128">
        <v>9629000000</v>
      </c>
      <c r="CW10" s="128">
        <v>10114000000</v>
      </c>
      <c r="CX10" s="128">
        <v>39612000000</v>
      </c>
      <c r="CY10" s="128">
        <v>39072000000</v>
      </c>
      <c r="CZ10" s="128">
        <v>32949000000</v>
      </c>
      <c r="DA10" s="128">
        <v>62207000000</v>
      </c>
      <c r="DB10" s="128">
        <v>38117000000</v>
      </c>
      <c r="DC10" s="128">
        <v>469278000000</v>
      </c>
      <c r="DD10" s="128">
        <v>428025000000</v>
      </c>
      <c r="DE10" s="128">
        <v>435501000000</v>
      </c>
      <c r="DF10" s="128">
        <v>380701000000</v>
      </c>
      <c r="DG10" s="16">
        <f t="shared" si="2"/>
        <v>389869000000</v>
      </c>
      <c r="DH10" s="16">
        <f t="shared" si="3"/>
        <v>-215263000000</v>
      </c>
      <c r="DI10" s="16">
        <f t="shared" si="4"/>
        <v>-133977000000</v>
      </c>
      <c r="DJ10" s="16">
        <f t="shared" si="5"/>
        <v>-18166000000</v>
      </c>
      <c r="DK10" s="16">
        <f t="shared" si="6"/>
        <v>22463000000</v>
      </c>
      <c r="DL10" s="57">
        <f t="shared" si="7"/>
        <v>5.7616789229202631E-2</v>
      </c>
      <c r="DM10" s="57">
        <f t="shared" si="8"/>
        <v>6.1139447913207731E-2</v>
      </c>
      <c r="DN10" s="58">
        <f t="shared" si="9"/>
        <v>-11077000000</v>
      </c>
      <c r="DO10" s="16">
        <f t="shared" si="10"/>
        <v>52811500000</v>
      </c>
      <c r="DP10" s="16">
        <f t="shared" si="11"/>
        <v>36010500000</v>
      </c>
      <c r="DQ10" s="61"/>
      <c r="DR10" s="62">
        <f t="shared" si="12"/>
        <v>366234000000</v>
      </c>
      <c r="DS10" s="62">
        <f t="shared" si="13"/>
        <v>-187129000000</v>
      </c>
      <c r="DT10" s="62">
        <f t="shared" si="14"/>
        <v>-134465000000</v>
      </c>
      <c r="DU10" s="62">
        <f t="shared" si="15"/>
        <v>-14267000000</v>
      </c>
      <c r="DV10" s="62">
        <f t="shared" si="16"/>
        <v>30373000000</v>
      </c>
      <c r="DW10" s="63">
        <f t="shared" si="17"/>
        <v>8.2933315858167184E-2</v>
      </c>
      <c r="DX10" s="63">
        <f t="shared" si="18"/>
        <v>9.0433244705398957E-2</v>
      </c>
      <c r="DY10" s="64">
        <f t="shared" si="19"/>
        <v>-11180000000</v>
      </c>
      <c r="DZ10" s="64">
        <f t="shared" si="20"/>
        <v>48436000000</v>
      </c>
      <c r="EA10" s="64">
        <f t="shared" si="21"/>
        <v>47578000000</v>
      </c>
      <c r="EB10" s="61"/>
      <c r="EC10" s="64">
        <f t="shared" si="22"/>
        <v>355352000000</v>
      </c>
      <c r="ED10" s="64">
        <f t="shared" si="23"/>
        <v>-175479000000</v>
      </c>
      <c r="EE10" s="64">
        <f t="shared" si="24"/>
        <v>-132890000000</v>
      </c>
      <c r="EF10" s="64">
        <f t="shared" si="25"/>
        <v>-14746000000</v>
      </c>
      <c r="EG10" s="64">
        <f t="shared" si="26"/>
        <v>32237000000</v>
      </c>
      <c r="EH10" s="63">
        <f t="shared" si="27"/>
        <v>9.0718498840586234E-2</v>
      </c>
      <c r="EI10" s="57">
        <f t="shared" si="28"/>
        <v>9.9769431935998021E-2</v>
      </c>
      <c r="EJ10" s="64">
        <f t="shared" si="29"/>
        <v>-10906000000</v>
      </c>
      <c r="EK10" s="64">
        <f t="shared" si="30"/>
        <v>44356500000</v>
      </c>
      <c r="EL10" s="64">
        <f t="shared" si="31"/>
        <v>50162000000</v>
      </c>
      <c r="EM10" s="61"/>
      <c r="EN10" s="66">
        <f t="shared" si="32"/>
        <v>370485000000</v>
      </c>
      <c r="EO10" s="66">
        <f t="shared" si="32"/>
        <v>-192623666666.66666</v>
      </c>
      <c r="EP10" s="66">
        <f t="shared" si="32"/>
        <v>-133777333333.33333</v>
      </c>
      <c r="EQ10" s="66">
        <f t="shared" si="32"/>
        <v>-15726333333.333334</v>
      </c>
      <c r="ER10" s="66">
        <f t="shared" si="33"/>
        <v>28357666666.666679</v>
      </c>
      <c r="ES10" s="63">
        <f t="shared" si="34"/>
        <v>7.6542010247828335E-2</v>
      </c>
      <c r="ET10" s="67">
        <f t="shared" si="35"/>
        <v>8.2886293797046359E-2</v>
      </c>
      <c r="EU10" s="66">
        <f t="shared" si="36"/>
        <v>11054333333.333334</v>
      </c>
      <c r="EV10" s="66">
        <f t="shared" si="37"/>
        <v>48534666666.666664</v>
      </c>
      <c r="EW10" s="66">
        <f t="shared" si="37"/>
        <v>44583500000</v>
      </c>
      <c r="EX10" s="70"/>
      <c r="EY10" s="71" t="str">
        <f t="shared" si="38"/>
        <v>完整</v>
      </c>
      <c r="EZ10" s="71" t="str">
        <f t="shared" si="39"/>
        <v>完整</v>
      </c>
      <c r="FA10" s="71" t="str">
        <f t="shared" si="40"/>
        <v>完整</v>
      </c>
      <c r="FB10" s="71" t="str">
        <f t="shared" si="41"/>
        <v>选择</v>
      </c>
      <c r="FC10" s="71" t="str">
        <f t="shared" si="42"/>
        <v>选择</v>
      </c>
      <c r="FD10" s="72"/>
      <c r="FE10" s="72"/>
      <c r="FF10" s="72"/>
      <c r="FG10" s="72"/>
      <c r="FH10" s="72"/>
      <c r="FI10" s="72"/>
      <c r="FJ10" s="72"/>
      <c r="FK10" s="72"/>
      <c r="FL10" s="72"/>
      <c r="FM10" s="72"/>
      <c r="FN10" s="72"/>
      <c r="FO10" s="72"/>
      <c r="FP10" s="72"/>
      <c r="FQ10" s="72"/>
      <c r="FR10" s="72"/>
      <c r="FS10" s="72"/>
      <c r="FT10" s="72"/>
      <c r="FU10" s="72"/>
      <c r="FV10" s="72"/>
      <c r="FW10" s="72"/>
      <c r="FX10" s="72"/>
      <c r="FY10" s="72"/>
      <c r="FZ10" s="72"/>
      <c r="GA10" s="72"/>
      <c r="GB10" s="72"/>
      <c r="GC10" s="72"/>
      <c r="GD10" s="72"/>
      <c r="GE10" s="72"/>
      <c r="GF10" s="72"/>
      <c r="GG10" s="72"/>
      <c r="GH10" s="72"/>
      <c r="GI10" s="72"/>
      <c r="GJ10" s="72"/>
      <c r="GK10" s="72"/>
      <c r="GL10" s="72"/>
      <c r="GM10" s="72"/>
      <c r="GN10" s="72"/>
      <c r="GO10" s="72"/>
      <c r="GP10" s="72"/>
      <c r="GQ10" s="72"/>
      <c r="GR10" s="72"/>
      <c r="GS10" s="72"/>
      <c r="GT10" s="72"/>
      <c r="GU10" s="72"/>
      <c r="GV10" s="72"/>
      <c r="GW10" s="72"/>
      <c r="GX10" s="72"/>
      <c r="GY10" s="72"/>
      <c r="GZ10" s="72"/>
      <c r="HA10" s="72"/>
      <c r="HB10" s="72"/>
      <c r="HC10" s="72"/>
      <c r="HD10" s="72"/>
      <c r="HE10" s="72"/>
      <c r="HF10" s="72"/>
      <c r="HG10" s="72"/>
      <c r="HH10" s="72"/>
      <c r="HI10" s="72"/>
    </row>
    <row r="11" spans="1:217" s="3" customFormat="1" ht="12.75" customHeight="1" x14ac:dyDescent="0.25">
      <c r="A11" s="28" t="s">
        <v>177</v>
      </c>
      <c r="B11" s="134" t="str">
        <f t="shared" si="0"/>
        <v>PT UNILEVER INDONESIA TBK</v>
      </c>
      <c r="C11" s="29" t="s">
        <v>328</v>
      </c>
      <c r="D11" s="136" t="s">
        <v>309</v>
      </c>
      <c r="E11" s="33"/>
      <c r="F11" s="34"/>
      <c r="H11" s="31" t="str">
        <f t="shared" si="1"/>
        <v xml:space="preserve"> </v>
      </c>
      <c r="I11" s="29"/>
      <c r="J11" s="29" t="str">
        <f>VLOOKUP(Z:Z,'[1]AP 2022'!FD10:FF172,2,FALSE)</f>
        <v>exclude</v>
      </c>
      <c r="K11" s="47" t="str">
        <f>VLOOKUP(Z:Z,'[1]AP 2022'!FD10:FF172,3,0)</f>
        <v>Independence(A+, A, A-, U)</v>
      </c>
      <c r="L11" s="48"/>
      <c r="M11" s="125" t="s">
        <v>396</v>
      </c>
      <c r="N11" s="125" t="s">
        <v>397</v>
      </c>
      <c r="O11" s="125" t="s">
        <v>331</v>
      </c>
      <c r="P11" s="125" t="s">
        <v>398</v>
      </c>
      <c r="Q11" s="124"/>
      <c r="R11" s="125" t="s">
        <v>399</v>
      </c>
      <c r="S11" s="125" t="s">
        <v>400</v>
      </c>
      <c r="T11" s="125" t="s">
        <v>374</v>
      </c>
      <c r="U11" s="125" t="s">
        <v>315</v>
      </c>
      <c r="V11" s="125" t="s">
        <v>401</v>
      </c>
      <c r="W11" s="125" t="s">
        <v>402</v>
      </c>
      <c r="X11" s="124"/>
      <c r="Y11" s="124"/>
      <c r="Z11" s="125" t="s">
        <v>403</v>
      </c>
      <c r="AA11" s="128">
        <v>41218881000000</v>
      </c>
      <c r="AB11" s="128">
        <v>39547487000000</v>
      </c>
      <c r="AC11" s="128">
        <v>42972474000000</v>
      </c>
      <c r="AD11" s="128">
        <v>42922563000000</v>
      </c>
      <c r="AE11" s="128">
        <v>41218881000000</v>
      </c>
      <c r="AF11" s="128">
        <v>39545959000000</v>
      </c>
      <c r="AG11" s="128">
        <v>42972474000000</v>
      </c>
      <c r="AH11" s="128">
        <v>42922563000000</v>
      </c>
      <c r="AI11" s="125" t="s">
        <v>340</v>
      </c>
      <c r="AJ11" s="125" t="s">
        <v>340</v>
      </c>
      <c r="AK11" s="125" t="s">
        <v>340</v>
      </c>
      <c r="AL11" s="125" t="s">
        <v>340</v>
      </c>
      <c r="AM11" s="128">
        <v>41218881000000</v>
      </c>
      <c r="AN11" s="128">
        <v>39545959000000</v>
      </c>
      <c r="AO11" s="128">
        <v>42972474000000</v>
      </c>
      <c r="AP11" s="128">
        <v>42922563000000</v>
      </c>
      <c r="AQ11" s="125" t="s">
        <v>340</v>
      </c>
      <c r="AR11" s="128">
        <v>1528000000</v>
      </c>
      <c r="AS11" s="125" t="s">
        <v>340</v>
      </c>
      <c r="AT11" s="125" t="s">
        <v>340</v>
      </c>
      <c r="AU11" s="128">
        <v>-21525509000000</v>
      </c>
      <c r="AV11" s="128">
        <v>-19281843000000</v>
      </c>
      <c r="AW11" s="128">
        <v>-19884228000000</v>
      </c>
      <c r="AX11" s="128">
        <v>-20220174000000</v>
      </c>
      <c r="AY11" s="128">
        <v>-3042793000000</v>
      </c>
      <c r="AZ11" s="128">
        <v>-2183726000000</v>
      </c>
      <c r="BA11" s="128">
        <v>-2420189000000</v>
      </c>
      <c r="BB11" s="128">
        <v>-2475620000000</v>
      </c>
      <c r="BC11" s="128">
        <v>-5529553000000</v>
      </c>
      <c r="BD11" s="128">
        <v>-9019837000000</v>
      </c>
      <c r="BE11" s="128">
        <v>-10113609000000</v>
      </c>
      <c r="BF11" s="128">
        <v>-8979600000000</v>
      </c>
      <c r="BG11" s="128">
        <v>11121026000000</v>
      </c>
      <c r="BH11" s="128">
        <v>9062081000000</v>
      </c>
      <c r="BI11" s="128">
        <v>10554448000000</v>
      </c>
      <c r="BJ11" s="128">
        <v>11247169000000</v>
      </c>
      <c r="BK11" s="128">
        <v>-1053985000000</v>
      </c>
      <c r="BL11" s="128">
        <v>-1076908000000</v>
      </c>
      <c r="BM11" s="128">
        <v>-1103436000000</v>
      </c>
      <c r="BN11" s="128">
        <v>-1129345000000</v>
      </c>
      <c r="BO11" s="128">
        <v>-1006601000000</v>
      </c>
      <c r="BP11" s="128">
        <v>-1041927000000</v>
      </c>
      <c r="BQ11" s="128">
        <v>-1066753000000</v>
      </c>
      <c r="BR11" s="128">
        <v>-1097858000000</v>
      </c>
      <c r="BS11" s="128">
        <v>-47384000000</v>
      </c>
      <c r="BT11" s="128">
        <v>-34981000000</v>
      </c>
      <c r="BU11" s="128">
        <v>-36683000000</v>
      </c>
      <c r="BV11" s="128">
        <v>-31487000000</v>
      </c>
      <c r="BW11" s="128">
        <v>5364761000000</v>
      </c>
      <c r="BX11" s="128">
        <v>5758148000000</v>
      </c>
      <c r="BY11" s="128">
        <v>7163536000000</v>
      </c>
      <c r="BZ11" s="128">
        <v>7392837000000</v>
      </c>
      <c r="CA11" s="128">
        <v>7567768000000</v>
      </c>
      <c r="CB11" s="128">
        <v>7642208000000</v>
      </c>
      <c r="CC11" s="128">
        <v>8828360000000</v>
      </c>
      <c r="CD11" s="128">
        <v>8530334000000</v>
      </c>
      <c r="CE11" s="128">
        <v>2625116000000</v>
      </c>
      <c r="CF11" s="128">
        <v>2453871000000</v>
      </c>
      <c r="CG11" s="128">
        <v>2463104000000</v>
      </c>
      <c r="CH11" s="128">
        <v>2429234000000</v>
      </c>
      <c r="CI11" s="128">
        <v>3924499000000</v>
      </c>
      <c r="CJ11" s="128">
        <v>4516555000000</v>
      </c>
      <c r="CK11" s="128">
        <v>5295288000000</v>
      </c>
      <c r="CL11" s="128">
        <v>5335489000000</v>
      </c>
      <c r="CM11" s="128">
        <v>74246000000</v>
      </c>
      <c r="CN11" s="128">
        <v>68645000000</v>
      </c>
      <c r="CO11" s="128">
        <v>118066000000</v>
      </c>
      <c r="CP11" s="128">
        <v>112262000000</v>
      </c>
      <c r="CQ11" s="128">
        <v>502882000000</v>
      </c>
      <c r="CR11" s="128">
        <v>325197000000</v>
      </c>
      <c r="CS11" s="128">
        <v>844076000000</v>
      </c>
      <c r="CT11" s="128">
        <v>628649000000</v>
      </c>
      <c r="CU11" s="125" t="s">
        <v>340</v>
      </c>
      <c r="CV11" s="125" t="s">
        <v>340</v>
      </c>
      <c r="CW11" s="125" t="s">
        <v>340</v>
      </c>
      <c r="CX11" s="125" t="s">
        <v>340</v>
      </c>
      <c r="CY11" s="128">
        <v>712491000000</v>
      </c>
      <c r="CZ11" s="128">
        <v>749409000000</v>
      </c>
      <c r="DA11" s="128">
        <v>889998000000</v>
      </c>
      <c r="DB11" s="128">
        <v>1245266000000</v>
      </c>
      <c r="DC11" s="128">
        <v>18318114000000</v>
      </c>
      <c r="DD11" s="128">
        <v>19068532000000</v>
      </c>
      <c r="DE11" s="128">
        <v>20534632000000</v>
      </c>
      <c r="DF11" s="128">
        <v>20649371000000</v>
      </c>
      <c r="DG11" s="16">
        <f t="shared" si="2"/>
        <v>41218881000000</v>
      </c>
      <c r="DH11" s="16">
        <f t="shared" si="3"/>
        <v>-21525509000000</v>
      </c>
      <c r="DI11" s="16">
        <f t="shared" si="4"/>
        <v>-8572346000000</v>
      </c>
      <c r="DJ11" s="16">
        <f t="shared" si="5"/>
        <v>-1053985000000</v>
      </c>
      <c r="DK11" s="16">
        <f t="shared" si="6"/>
        <v>10067041000000</v>
      </c>
      <c r="DL11" s="57">
        <f t="shared" si="7"/>
        <v>0.24423372871281973</v>
      </c>
      <c r="DM11" s="57">
        <f t="shared" si="8"/>
        <v>0.32316039758807186</v>
      </c>
      <c r="DN11" s="58">
        <f t="shared" si="9"/>
        <v>-3042793000000</v>
      </c>
      <c r="DO11" s="16">
        <f t="shared" si="10"/>
        <v>2539493500000</v>
      </c>
      <c r="DP11" s="16">
        <f t="shared" si="11"/>
        <v>730950000000</v>
      </c>
      <c r="DQ11" s="61"/>
      <c r="DR11" s="62">
        <f t="shared" si="12"/>
        <v>39545959000000</v>
      </c>
      <c r="DS11" s="62">
        <f t="shared" si="13"/>
        <v>-19281843000000</v>
      </c>
      <c r="DT11" s="62">
        <f t="shared" si="14"/>
        <v>-11203563000000</v>
      </c>
      <c r="DU11" s="62">
        <f t="shared" si="15"/>
        <v>-1076908000000</v>
      </c>
      <c r="DV11" s="62">
        <f t="shared" si="16"/>
        <v>7983645000000</v>
      </c>
      <c r="DW11" s="63">
        <f t="shared" si="17"/>
        <v>0.20188270058136662</v>
      </c>
      <c r="DX11" s="63">
        <f t="shared" si="18"/>
        <v>0.25294865896081004</v>
      </c>
      <c r="DY11" s="64">
        <f t="shared" si="19"/>
        <v>-2183726000000</v>
      </c>
      <c r="DZ11" s="64">
        <f t="shared" si="20"/>
        <v>2458487500000</v>
      </c>
      <c r="EA11" s="64">
        <f t="shared" si="21"/>
        <v>819703500000</v>
      </c>
      <c r="EB11" s="61"/>
      <c r="EC11" s="64">
        <f t="shared" si="22"/>
        <v>42972474000000</v>
      </c>
      <c r="ED11" s="64">
        <f t="shared" si="23"/>
        <v>-19884228000000</v>
      </c>
      <c r="EE11" s="64">
        <f t="shared" si="24"/>
        <v>-12533798000000</v>
      </c>
      <c r="EF11" s="64">
        <f t="shared" si="25"/>
        <v>-1103436000000</v>
      </c>
      <c r="EG11" s="64">
        <f t="shared" si="26"/>
        <v>9451012000000</v>
      </c>
      <c r="EH11" s="63">
        <f t="shared" si="27"/>
        <v>0.21993176376114626</v>
      </c>
      <c r="EI11" s="57">
        <f t="shared" si="28"/>
        <v>0.28193913499357515</v>
      </c>
      <c r="EJ11" s="64">
        <f t="shared" si="29"/>
        <v>-2420189000000</v>
      </c>
      <c r="EK11" s="64">
        <f t="shared" si="30"/>
        <v>2446169000000</v>
      </c>
      <c r="EL11" s="64">
        <f t="shared" si="31"/>
        <v>1067632000000</v>
      </c>
      <c r="EM11" s="61"/>
      <c r="EN11" s="66">
        <f t="shared" si="32"/>
        <v>41245771333333.336</v>
      </c>
      <c r="EO11" s="66">
        <f t="shared" si="32"/>
        <v>-20230526666666.668</v>
      </c>
      <c r="EP11" s="66">
        <f t="shared" si="32"/>
        <v>-10769902333333.334</v>
      </c>
      <c r="EQ11" s="66">
        <f t="shared" si="32"/>
        <v>-1078109666666.6666</v>
      </c>
      <c r="ER11" s="66">
        <f t="shared" si="33"/>
        <v>9167232666666.668</v>
      </c>
      <c r="ES11" s="63">
        <f t="shared" si="34"/>
        <v>0.22225872787249934</v>
      </c>
      <c r="ET11" s="67">
        <f t="shared" si="35"/>
        <v>0.28577463462176</v>
      </c>
      <c r="EU11" s="66">
        <f t="shared" si="36"/>
        <v>2548902666666.6665</v>
      </c>
      <c r="EV11" s="66">
        <f t="shared" si="37"/>
        <v>2481383333333.3335</v>
      </c>
      <c r="EW11" s="66">
        <f t="shared" si="37"/>
        <v>872761833333.33337</v>
      </c>
      <c r="EX11" s="70"/>
      <c r="EY11" s="71" t="str">
        <f t="shared" si="38"/>
        <v>完整</v>
      </c>
      <c r="EZ11" s="71" t="str">
        <f t="shared" si="39"/>
        <v>完整</v>
      </c>
      <c r="FA11" s="71" t="str">
        <f t="shared" si="40"/>
        <v>完整</v>
      </c>
      <c r="FB11" s="71" t="str">
        <f t="shared" si="41"/>
        <v>选择</v>
      </c>
      <c r="FC11" s="71" t="str">
        <f t="shared" si="42"/>
        <v>选择</v>
      </c>
    </row>
    <row r="12" spans="1:217" s="3" customFormat="1" ht="12.75" customHeight="1" x14ac:dyDescent="0.25">
      <c r="A12" s="28" t="s">
        <v>19</v>
      </c>
      <c r="B12" s="134" t="str">
        <f t="shared" si="0"/>
        <v>KOSE CORPORATION</v>
      </c>
      <c r="C12" s="29" t="s">
        <v>341</v>
      </c>
      <c r="D12" s="32"/>
      <c r="E12" s="33"/>
      <c r="F12" s="34"/>
      <c r="H12" s="31">
        <f t="shared" si="1"/>
        <v>7.2948977632585871E-2</v>
      </c>
      <c r="I12" s="29"/>
      <c r="J12" s="29" t="str">
        <f>VLOOKUP(Z:Z,'[1]AP 2022'!FD11:FF173,2,FALSE)</f>
        <v>Include before</v>
      </c>
      <c r="K12" s="47">
        <f>VLOOKUP(Z:Z,'[1]AP 2022'!FD11:FF173,3,0)</f>
        <v>0</v>
      </c>
      <c r="L12" s="48"/>
      <c r="M12" s="125" t="s">
        <v>404</v>
      </c>
      <c r="N12" s="125" t="s">
        <v>405</v>
      </c>
      <c r="O12" s="125" t="s">
        <v>331</v>
      </c>
      <c r="P12" s="142" t="s">
        <v>406</v>
      </c>
      <c r="Q12" s="124"/>
      <c r="R12" s="125" t="s">
        <v>333</v>
      </c>
      <c r="S12" s="125" t="s">
        <v>407</v>
      </c>
      <c r="T12" s="125" t="s">
        <v>335</v>
      </c>
      <c r="U12" s="125" t="s">
        <v>321</v>
      </c>
      <c r="V12" s="125" t="s">
        <v>408</v>
      </c>
      <c r="W12" s="125" t="s">
        <v>409</v>
      </c>
      <c r="X12" s="124"/>
      <c r="Y12" s="124"/>
      <c r="Z12" s="125" t="s">
        <v>410</v>
      </c>
      <c r="AA12" s="128">
        <v>289136000000</v>
      </c>
      <c r="AB12" s="128">
        <v>224983000000</v>
      </c>
      <c r="AC12" s="128">
        <v>279389000000</v>
      </c>
      <c r="AD12" s="128">
        <v>327724000000</v>
      </c>
      <c r="AE12" s="128">
        <v>289136000000</v>
      </c>
      <c r="AF12" s="128">
        <v>224983000000</v>
      </c>
      <c r="AG12" s="128">
        <v>279389000000</v>
      </c>
      <c r="AH12" s="128">
        <v>327724000000</v>
      </c>
      <c r="AI12" s="125" t="s">
        <v>340</v>
      </c>
      <c r="AJ12" s="125" t="s">
        <v>340</v>
      </c>
      <c r="AK12" s="125" t="s">
        <v>340</v>
      </c>
      <c r="AL12" s="125" t="s">
        <v>340</v>
      </c>
      <c r="AM12" s="128">
        <v>289136000000</v>
      </c>
      <c r="AN12" s="128">
        <v>224983000000</v>
      </c>
      <c r="AO12" s="128">
        <v>279389000000</v>
      </c>
      <c r="AP12" s="128">
        <v>327724000000</v>
      </c>
      <c r="AQ12" s="125" t="s">
        <v>340</v>
      </c>
      <c r="AR12" s="125" t="s">
        <v>340</v>
      </c>
      <c r="AS12" s="125" t="s">
        <v>340</v>
      </c>
      <c r="AT12" s="125" t="s">
        <v>340</v>
      </c>
      <c r="AU12" s="128">
        <v>-77834000000</v>
      </c>
      <c r="AV12" s="128">
        <v>-63444000000</v>
      </c>
      <c r="AW12" s="128">
        <v>-70873000000</v>
      </c>
      <c r="AX12" s="128">
        <v>-79070000000</v>
      </c>
      <c r="AY12" s="128">
        <v>-6092000000</v>
      </c>
      <c r="AZ12" s="128">
        <v>-4362000000</v>
      </c>
      <c r="BA12" s="128">
        <v>-5996000000</v>
      </c>
      <c r="BB12" s="128">
        <v>-6299000000</v>
      </c>
      <c r="BC12" s="128">
        <v>-172387000000</v>
      </c>
      <c r="BD12" s="128">
        <v>-129897000000</v>
      </c>
      <c r="BE12" s="128">
        <v>-178067000000</v>
      </c>
      <c r="BF12" s="128">
        <v>-192490000000</v>
      </c>
      <c r="BG12" s="128">
        <v>32823000000</v>
      </c>
      <c r="BH12" s="128">
        <v>27280000000</v>
      </c>
      <c r="BI12" s="128">
        <v>24453000000</v>
      </c>
      <c r="BJ12" s="128">
        <v>49865000000</v>
      </c>
      <c r="BK12" s="128">
        <v>-10873000000</v>
      </c>
      <c r="BL12" s="128">
        <v>-8502000000</v>
      </c>
      <c r="BM12" s="128">
        <v>-11231000000</v>
      </c>
      <c r="BN12" s="128">
        <v>-9709000000</v>
      </c>
      <c r="BO12" s="128">
        <v>-9914000000</v>
      </c>
      <c r="BP12" s="128">
        <v>-7902000000</v>
      </c>
      <c r="BQ12" s="128">
        <v>-10452000000</v>
      </c>
      <c r="BR12" s="128">
        <v>-8914000000</v>
      </c>
      <c r="BS12" s="128">
        <v>-959000000</v>
      </c>
      <c r="BT12" s="128">
        <v>-600000000</v>
      </c>
      <c r="BU12" s="128">
        <v>-779000000</v>
      </c>
      <c r="BV12" s="128">
        <v>-795000000</v>
      </c>
      <c r="BW12" s="128">
        <v>18771000000</v>
      </c>
      <c r="BX12" s="128">
        <v>13341000000</v>
      </c>
      <c r="BY12" s="128">
        <v>11986000000</v>
      </c>
      <c r="BZ12" s="128">
        <v>26682000000</v>
      </c>
      <c r="CA12" s="128">
        <v>244481000000</v>
      </c>
      <c r="CB12" s="128">
        <v>217324000000</v>
      </c>
      <c r="CC12" s="128">
        <v>205031000000</v>
      </c>
      <c r="CD12" s="128">
        <v>204438000000</v>
      </c>
      <c r="CE12" s="128">
        <v>69076000000</v>
      </c>
      <c r="CF12" s="128">
        <v>63743000000</v>
      </c>
      <c r="CG12" s="128">
        <v>57337000000</v>
      </c>
      <c r="CH12" s="128">
        <v>61439000000</v>
      </c>
      <c r="CI12" s="128">
        <v>51787000000</v>
      </c>
      <c r="CJ12" s="128">
        <v>44055000000</v>
      </c>
      <c r="CK12" s="128">
        <v>39349000000</v>
      </c>
      <c r="CL12" s="128">
        <v>38294000000</v>
      </c>
      <c r="CM12" s="128">
        <v>7083000000</v>
      </c>
      <c r="CN12" s="128">
        <v>4245000000</v>
      </c>
      <c r="CO12" s="128">
        <v>4954000000</v>
      </c>
      <c r="CP12" s="128">
        <v>7149000000</v>
      </c>
      <c r="CQ12" s="128">
        <v>116535000000</v>
      </c>
      <c r="CR12" s="128">
        <v>105281000000</v>
      </c>
      <c r="CS12" s="128">
        <v>103391000000</v>
      </c>
      <c r="CT12" s="128">
        <v>97556000000</v>
      </c>
      <c r="CU12" s="125" t="s">
        <v>340</v>
      </c>
      <c r="CV12" s="125" t="s">
        <v>340</v>
      </c>
      <c r="CW12" s="125" t="s">
        <v>340</v>
      </c>
      <c r="CX12" s="125" t="s">
        <v>340</v>
      </c>
      <c r="CY12" s="128">
        <v>46744000000</v>
      </c>
      <c r="CZ12" s="128">
        <v>45343000000</v>
      </c>
      <c r="DA12" s="128">
        <v>44594000000</v>
      </c>
      <c r="DB12" s="128">
        <v>54219000000</v>
      </c>
      <c r="DC12" s="128">
        <v>359600000000</v>
      </c>
      <c r="DD12" s="128">
        <v>320018000000</v>
      </c>
      <c r="DE12" s="128">
        <v>308386000000</v>
      </c>
      <c r="DF12" s="128">
        <v>308606000000</v>
      </c>
      <c r="DG12" s="16">
        <f t="shared" si="2"/>
        <v>289136000000</v>
      </c>
      <c r="DH12" s="16">
        <f t="shared" si="3"/>
        <v>-77834000000</v>
      </c>
      <c r="DI12" s="16">
        <f t="shared" si="4"/>
        <v>-178479000000</v>
      </c>
      <c r="DJ12" s="16">
        <f t="shared" si="5"/>
        <v>-10873000000</v>
      </c>
      <c r="DK12" s="16">
        <f t="shared" si="6"/>
        <v>21950000000</v>
      </c>
      <c r="DL12" s="57">
        <f t="shared" si="7"/>
        <v>7.5915831996015717E-2</v>
      </c>
      <c r="DM12" s="57">
        <f t="shared" si="8"/>
        <v>8.2152507990688128E-2</v>
      </c>
      <c r="DN12" s="58">
        <f t="shared" si="9"/>
        <v>-6092000000</v>
      </c>
      <c r="DO12" s="16">
        <f t="shared" si="10"/>
        <v>66409500000</v>
      </c>
      <c r="DP12" s="16">
        <f t="shared" si="11"/>
        <v>46043500000</v>
      </c>
      <c r="DQ12" s="61"/>
      <c r="DR12" s="62">
        <f t="shared" si="12"/>
        <v>224983000000</v>
      </c>
      <c r="DS12" s="62">
        <f t="shared" si="13"/>
        <v>-63444000000</v>
      </c>
      <c r="DT12" s="62">
        <f t="shared" si="14"/>
        <v>-134259000000</v>
      </c>
      <c r="DU12" s="62">
        <f t="shared" si="15"/>
        <v>-8502000000</v>
      </c>
      <c r="DV12" s="62">
        <f t="shared" si="16"/>
        <v>18778000000</v>
      </c>
      <c r="DW12" s="63">
        <f t="shared" si="17"/>
        <v>8.3464083953009777E-2</v>
      </c>
      <c r="DX12" s="63">
        <f t="shared" si="18"/>
        <v>9.1064717150408578E-2</v>
      </c>
      <c r="DY12" s="64">
        <f t="shared" si="19"/>
        <v>-4362000000</v>
      </c>
      <c r="DZ12" s="64">
        <f t="shared" si="20"/>
        <v>60540000000</v>
      </c>
      <c r="EA12" s="64">
        <f t="shared" si="21"/>
        <v>44968500000</v>
      </c>
      <c r="EB12" s="61"/>
      <c r="EC12" s="64">
        <f t="shared" si="22"/>
        <v>279389000000</v>
      </c>
      <c r="ED12" s="64">
        <f t="shared" si="23"/>
        <v>-70873000000</v>
      </c>
      <c r="EE12" s="64">
        <f t="shared" si="24"/>
        <v>-184063000000</v>
      </c>
      <c r="EF12" s="64">
        <f t="shared" si="25"/>
        <v>-11231000000</v>
      </c>
      <c r="EG12" s="64">
        <f t="shared" si="26"/>
        <v>13222000000</v>
      </c>
      <c r="EH12" s="63">
        <f t="shared" si="27"/>
        <v>4.732469782274893E-2</v>
      </c>
      <c r="EI12" s="57">
        <f t="shared" si="28"/>
        <v>4.9675579617307931E-2</v>
      </c>
      <c r="EJ12" s="64">
        <f t="shared" si="29"/>
        <v>-5996000000</v>
      </c>
      <c r="EK12" s="64">
        <f t="shared" si="30"/>
        <v>59388000000</v>
      </c>
      <c r="EL12" s="64">
        <f t="shared" si="31"/>
        <v>49406500000</v>
      </c>
      <c r="EM12" s="61"/>
      <c r="EN12" s="66">
        <f t="shared" si="32"/>
        <v>264502666666.66666</v>
      </c>
      <c r="EO12" s="66">
        <f t="shared" si="32"/>
        <v>-70717000000</v>
      </c>
      <c r="EP12" s="66">
        <f t="shared" si="32"/>
        <v>-165600333333.33334</v>
      </c>
      <c r="EQ12" s="66">
        <f t="shared" si="32"/>
        <v>-10202000000</v>
      </c>
      <c r="ER12" s="66">
        <f t="shared" si="33"/>
        <v>17983333333.333313</v>
      </c>
      <c r="ES12" s="63">
        <f t="shared" si="34"/>
        <v>6.7989232622733403E-2</v>
      </c>
      <c r="ET12" s="67">
        <f t="shared" si="35"/>
        <v>7.2948977632585871E-2</v>
      </c>
      <c r="EU12" s="66">
        <f t="shared" si="36"/>
        <v>5483333333.333333</v>
      </c>
      <c r="EV12" s="66">
        <f t="shared" si="37"/>
        <v>62112500000</v>
      </c>
      <c r="EW12" s="66">
        <f t="shared" si="37"/>
        <v>46806166666.666664</v>
      </c>
      <c r="EX12" s="70"/>
      <c r="EY12" s="71" t="str">
        <f t="shared" si="38"/>
        <v>完整</v>
      </c>
      <c r="EZ12" s="71" t="str">
        <f t="shared" si="39"/>
        <v>完整</v>
      </c>
      <c r="FA12" s="71" t="str">
        <f t="shared" si="40"/>
        <v>完整</v>
      </c>
      <c r="FB12" s="71" t="str">
        <f t="shared" si="41"/>
        <v>选择</v>
      </c>
      <c r="FC12" s="71" t="str">
        <f t="shared" si="42"/>
        <v>选择</v>
      </c>
    </row>
    <row r="13" spans="1:217" s="3" customFormat="1" ht="12.75" customHeight="1" x14ac:dyDescent="0.25">
      <c r="A13" s="28" t="s">
        <v>20</v>
      </c>
      <c r="B13" s="134" t="str">
        <f t="shared" si="0"/>
        <v>GODREJ INDUSTRIES LIMITED</v>
      </c>
      <c r="C13" s="29" t="s">
        <v>328</v>
      </c>
      <c r="D13" s="135" t="s">
        <v>312</v>
      </c>
      <c r="E13" s="29"/>
      <c r="F13" s="135"/>
      <c r="H13" s="31" t="str">
        <f t="shared" si="1"/>
        <v xml:space="preserve"> </v>
      </c>
      <c r="I13" s="29"/>
      <c r="J13" s="29" t="str">
        <f>VLOOKUP(Z:Z,'[1]AP 2022'!FD12:FF174,2,FALSE)</f>
        <v>exclude</v>
      </c>
      <c r="K13" s="47" t="str">
        <f>VLOOKUP(Z:Z,'[1]AP 2022'!FD12:FF174,3,0)</f>
        <v>lev SDA/SDP</v>
      </c>
      <c r="L13" s="48"/>
      <c r="M13" s="125" t="s">
        <v>411</v>
      </c>
      <c r="N13" s="125" t="s">
        <v>412</v>
      </c>
      <c r="O13" s="125" t="s">
        <v>413</v>
      </c>
      <c r="P13" s="142" t="s">
        <v>414</v>
      </c>
      <c r="Q13" s="124"/>
      <c r="R13" s="125" t="s">
        <v>353</v>
      </c>
      <c r="S13" s="125" t="s">
        <v>415</v>
      </c>
      <c r="T13" s="125" t="s">
        <v>335</v>
      </c>
      <c r="U13" s="125" t="s">
        <v>315</v>
      </c>
      <c r="V13" s="125" t="s">
        <v>416</v>
      </c>
      <c r="W13" s="125" t="s">
        <v>417</v>
      </c>
      <c r="X13" s="125" t="s">
        <v>418</v>
      </c>
      <c r="Y13" s="124"/>
      <c r="Z13" s="125" t="s">
        <v>419</v>
      </c>
      <c r="AA13" s="128">
        <v>165857600000</v>
      </c>
      <c r="AB13" s="128">
        <v>142263600000</v>
      </c>
      <c r="AC13" s="128">
        <v>93955000000</v>
      </c>
      <c r="AD13" s="128">
        <v>114568900000</v>
      </c>
      <c r="AE13" s="128">
        <v>162650500000</v>
      </c>
      <c r="AF13" s="128">
        <v>139045700000</v>
      </c>
      <c r="AG13" s="128">
        <v>92012900000</v>
      </c>
      <c r="AH13" s="128">
        <v>112130900000</v>
      </c>
      <c r="AI13" s="125" t="s">
        <v>340</v>
      </c>
      <c r="AJ13" s="125" t="s">
        <v>340</v>
      </c>
      <c r="AK13" s="125" t="s">
        <v>340</v>
      </c>
      <c r="AL13" s="125" t="s">
        <v>340</v>
      </c>
      <c r="AM13" s="128">
        <v>162650500000</v>
      </c>
      <c r="AN13" s="128">
        <v>139045700000</v>
      </c>
      <c r="AO13" s="128">
        <v>92012900000</v>
      </c>
      <c r="AP13" s="128">
        <v>112130900000</v>
      </c>
      <c r="AQ13" s="128">
        <v>3207100000</v>
      </c>
      <c r="AR13" s="128">
        <v>3217900000</v>
      </c>
      <c r="AS13" s="128">
        <v>1942100000</v>
      </c>
      <c r="AT13" s="128">
        <v>2438000000</v>
      </c>
      <c r="AU13" s="128">
        <v>-121926100000</v>
      </c>
      <c r="AV13" s="128">
        <v>-106105200000</v>
      </c>
      <c r="AW13" s="128">
        <v>-69093200000</v>
      </c>
      <c r="AX13" s="128">
        <v>-84724400000</v>
      </c>
      <c r="AY13" s="128">
        <v>-223700000</v>
      </c>
      <c r="AZ13" s="128">
        <v>-62900000</v>
      </c>
      <c r="BA13" s="128">
        <v>-46200000</v>
      </c>
      <c r="BB13" s="128">
        <v>0</v>
      </c>
      <c r="BC13" s="128">
        <v>-29497600000</v>
      </c>
      <c r="BD13" s="128">
        <v>-23672200000</v>
      </c>
      <c r="BE13" s="128">
        <v>-20117300000</v>
      </c>
      <c r="BF13" s="128">
        <v>-20733600000</v>
      </c>
      <c r="BG13" s="128">
        <v>14210200000</v>
      </c>
      <c r="BH13" s="128">
        <v>12423300000</v>
      </c>
      <c r="BI13" s="128">
        <v>4698300000</v>
      </c>
      <c r="BJ13" s="128">
        <v>9110900000</v>
      </c>
      <c r="BK13" s="128">
        <v>-3045200000</v>
      </c>
      <c r="BL13" s="128">
        <v>-2778800000</v>
      </c>
      <c r="BM13" s="128">
        <v>-2423400000</v>
      </c>
      <c r="BN13" s="128">
        <v>-2417900000</v>
      </c>
      <c r="BO13" s="128">
        <v>-2874800000</v>
      </c>
      <c r="BP13" s="128">
        <v>-2677600000</v>
      </c>
      <c r="BQ13" s="128">
        <v>-2360600000</v>
      </c>
      <c r="BR13" s="128">
        <v>-2357500000</v>
      </c>
      <c r="BS13" s="128">
        <v>-170400000</v>
      </c>
      <c r="BT13" s="128">
        <v>-101200000</v>
      </c>
      <c r="BU13" s="128">
        <v>-62800000</v>
      </c>
      <c r="BV13" s="128">
        <v>-60400000</v>
      </c>
      <c r="BW13" s="128">
        <v>9747800000</v>
      </c>
      <c r="BX13" s="128">
        <v>6537300000</v>
      </c>
      <c r="BY13" s="128">
        <v>3346300000</v>
      </c>
      <c r="BZ13" s="128">
        <v>5538100000</v>
      </c>
      <c r="CA13" s="128">
        <v>260998900000</v>
      </c>
      <c r="CB13" s="128">
        <v>204659700000</v>
      </c>
      <c r="CC13" s="128">
        <v>176171600000</v>
      </c>
      <c r="CD13" s="128">
        <v>105732900000</v>
      </c>
      <c r="CE13" s="128">
        <v>139769100000</v>
      </c>
      <c r="CF13" s="128">
        <v>77186600000</v>
      </c>
      <c r="CG13" s="128">
        <v>61874200000</v>
      </c>
      <c r="CH13" s="128">
        <v>31875600000</v>
      </c>
      <c r="CI13" s="128">
        <v>15002100000</v>
      </c>
      <c r="CJ13" s="128">
        <v>16760400000</v>
      </c>
      <c r="CK13" s="128">
        <v>15230500000</v>
      </c>
      <c r="CL13" s="128">
        <v>15517200000</v>
      </c>
      <c r="CM13" s="128">
        <v>45906800000</v>
      </c>
      <c r="CN13" s="128">
        <v>39408000000</v>
      </c>
      <c r="CO13" s="128">
        <v>30954300000</v>
      </c>
      <c r="CP13" s="128">
        <v>21568700000</v>
      </c>
      <c r="CQ13" s="128">
        <v>50537400000</v>
      </c>
      <c r="CR13" s="128">
        <v>59850100000</v>
      </c>
      <c r="CS13" s="128">
        <v>58907500000</v>
      </c>
      <c r="CT13" s="128">
        <v>30400300000</v>
      </c>
      <c r="CU13" s="128">
        <v>20987500000</v>
      </c>
      <c r="CV13" s="128">
        <v>41610700000</v>
      </c>
      <c r="CW13" s="128">
        <v>50386000000</v>
      </c>
      <c r="CX13" s="128">
        <v>20615700000</v>
      </c>
      <c r="CY13" s="128">
        <v>12949400000</v>
      </c>
      <c r="CZ13" s="128">
        <v>7349500000</v>
      </c>
      <c r="DA13" s="128">
        <v>6626900000</v>
      </c>
      <c r="DB13" s="128">
        <v>4975300000</v>
      </c>
      <c r="DC13" s="128">
        <v>439750500000</v>
      </c>
      <c r="DD13" s="128">
        <v>340412000000</v>
      </c>
      <c r="DE13" s="128">
        <v>290024500000</v>
      </c>
      <c r="DF13" s="128">
        <v>204492900000</v>
      </c>
      <c r="DG13" s="16">
        <f t="shared" si="2"/>
        <v>162650500000</v>
      </c>
      <c r="DH13" s="16">
        <f t="shared" si="3"/>
        <v>-121926100000</v>
      </c>
      <c r="DI13" s="16">
        <f t="shared" si="4"/>
        <v>-29721300000</v>
      </c>
      <c r="DJ13" s="16">
        <f t="shared" si="5"/>
        <v>-3045200000</v>
      </c>
      <c r="DK13" s="16">
        <f t="shared" si="6"/>
        <v>7957900000</v>
      </c>
      <c r="DL13" s="57">
        <f t="shared" si="7"/>
        <v>4.8926378953646009E-2</v>
      </c>
      <c r="DM13" s="57">
        <f t="shared" si="8"/>
        <v>5.1443314030535398E-2</v>
      </c>
      <c r="DN13" s="58">
        <f t="shared" si="9"/>
        <v>-223700000</v>
      </c>
      <c r="DO13" s="16">
        <f t="shared" si="10"/>
        <v>108477850000</v>
      </c>
      <c r="DP13" s="16">
        <f t="shared" si="11"/>
        <v>10149450000</v>
      </c>
      <c r="DQ13" s="61"/>
      <c r="DR13" s="62">
        <f t="shared" si="12"/>
        <v>139045700000</v>
      </c>
      <c r="DS13" s="62">
        <f t="shared" si="13"/>
        <v>-106105200000</v>
      </c>
      <c r="DT13" s="62">
        <f t="shared" si="14"/>
        <v>-23735100000</v>
      </c>
      <c r="DU13" s="62">
        <f t="shared" si="15"/>
        <v>-2778800000</v>
      </c>
      <c r="DV13" s="62">
        <f t="shared" si="16"/>
        <v>6426600000</v>
      </c>
      <c r="DW13" s="63">
        <f t="shared" si="17"/>
        <v>4.6219336520295126E-2</v>
      </c>
      <c r="DX13" s="63">
        <f t="shared" si="18"/>
        <v>4.8459083193898918E-2</v>
      </c>
      <c r="DY13" s="64">
        <f t="shared" si="19"/>
        <v>-62900000</v>
      </c>
      <c r="DZ13" s="64">
        <f t="shared" si="20"/>
        <v>69530400000</v>
      </c>
      <c r="EA13" s="64">
        <f t="shared" si="21"/>
        <v>6988200000</v>
      </c>
      <c r="EB13" s="61"/>
      <c r="EC13" s="64">
        <f t="shared" si="22"/>
        <v>92012900000</v>
      </c>
      <c r="ED13" s="64">
        <f t="shared" si="23"/>
        <v>-69093200000</v>
      </c>
      <c r="EE13" s="64">
        <f t="shared" si="24"/>
        <v>-20163500000</v>
      </c>
      <c r="EF13" s="64">
        <f t="shared" si="25"/>
        <v>-2423400000</v>
      </c>
      <c r="EG13" s="64">
        <f t="shared" si="26"/>
        <v>332800000</v>
      </c>
      <c r="EH13" s="63">
        <f t="shared" si="27"/>
        <v>3.6168841542870618E-3</v>
      </c>
      <c r="EI13" s="57">
        <f t="shared" si="28"/>
        <v>3.6300134925681799E-3</v>
      </c>
      <c r="EJ13" s="64">
        <f t="shared" si="29"/>
        <v>-46200000</v>
      </c>
      <c r="EK13" s="64">
        <f t="shared" si="30"/>
        <v>46874900000</v>
      </c>
      <c r="EL13" s="64">
        <f t="shared" si="31"/>
        <v>5801100000</v>
      </c>
      <c r="EM13" s="61"/>
      <c r="EN13" s="66">
        <f t="shared" si="32"/>
        <v>131236366666.66667</v>
      </c>
      <c r="EO13" s="66">
        <f t="shared" si="32"/>
        <v>-99041500000</v>
      </c>
      <c r="EP13" s="66">
        <f t="shared" si="32"/>
        <v>-24539966666.666668</v>
      </c>
      <c r="EQ13" s="66">
        <f t="shared" si="32"/>
        <v>-2749133333.3333335</v>
      </c>
      <c r="ER13" s="66">
        <f t="shared" si="33"/>
        <v>4905766666.6666698</v>
      </c>
      <c r="ES13" s="63">
        <f t="shared" si="34"/>
        <v>3.7381152734341193E-2</v>
      </c>
      <c r="ET13" s="67">
        <f t="shared" si="35"/>
        <v>3.8832766302595488E-2</v>
      </c>
      <c r="EU13" s="66">
        <f t="shared" si="36"/>
        <v>110933333.33333333</v>
      </c>
      <c r="EV13" s="66">
        <f t="shared" si="37"/>
        <v>74961050000</v>
      </c>
      <c r="EW13" s="66">
        <f t="shared" si="37"/>
        <v>7646250000</v>
      </c>
      <c r="EX13" s="70"/>
      <c r="EY13" s="71" t="str">
        <f t="shared" si="38"/>
        <v>完整</v>
      </c>
      <c r="EZ13" s="71" t="str">
        <f t="shared" si="39"/>
        <v>完整</v>
      </c>
      <c r="FA13" s="71" t="str">
        <f t="shared" si="40"/>
        <v>完整</v>
      </c>
      <c r="FB13" s="71" t="str">
        <f t="shared" si="41"/>
        <v>选择</v>
      </c>
      <c r="FC13" s="71" t="str">
        <f t="shared" si="42"/>
        <v>选择</v>
      </c>
    </row>
    <row r="14" spans="1:217" s="3" customFormat="1" ht="12.75" customHeight="1" x14ac:dyDescent="0.25">
      <c r="A14" s="28" t="s">
        <v>178</v>
      </c>
      <c r="B14" s="134" t="str">
        <f t="shared" si="0"/>
        <v>CHENGZHI CO.,LTD.</v>
      </c>
      <c r="C14" s="29" t="s">
        <v>328</v>
      </c>
      <c r="D14" s="136" t="s">
        <v>309</v>
      </c>
      <c r="E14" s="33"/>
      <c r="H14" s="31" t="str">
        <f t="shared" si="1"/>
        <v xml:space="preserve"> </v>
      </c>
      <c r="I14" s="29"/>
      <c r="J14" s="29" t="str">
        <f>VLOOKUP(Z:Z,'[1]AP 2022'!FD13:FF175,2,FALSE)</f>
        <v>exclude</v>
      </c>
      <c r="K14" s="47" t="str">
        <f>VLOOKUP(Z:Z,'[1]AP 2022'!FD13:FF175,3,0)</f>
        <v>Independence(A+, A, A-, U)</v>
      </c>
      <c r="L14" s="48"/>
      <c r="M14" s="125" t="s">
        <v>420</v>
      </c>
      <c r="N14" s="125" t="s">
        <v>421</v>
      </c>
      <c r="O14" s="125" t="s">
        <v>413</v>
      </c>
      <c r="P14" s="125" t="s">
        <v>422</v>
      </c>
      <c r="Q14" s="124"/>
      <c r="R14" s="125" t="s">
        <v>423</v>
      </c>
      <c r="S14" s="125" t="s">
        <v>424</v>
      </c>
      <c r="T14" s="125" t="s">
        <v>365</v>
      </c>
      <c r="U14" s="125" t="s">
        <v>315</v>
      </c>
      <c r="V14" s="125" t="s">
        <v>425</v>
      </c>
      <c r="W14" s="125" t="s">
        <v>426</v>
      </c>
      <c r="X14" s="125" t="s">
        <v>427</v>
      </c>
      <c r="Y14" s="124"/>
      <c r="Z14" s="125" t="s">
        <v>428</v>
      </c>
      <c r="AA14" s="128">
        <v>11688878000</v>
      </c>
      <c r="AB14" s="128">
        <v>12124752000</v>
      </c>
      <c r="AC14" s="128">
        <v>9692680000</v>
      </c>
      <c r="AD14" s="128">
        <v>6865734000</v>
      </c>
      <c r="AE14" s="128">
        <v>11051427000</v>
      </c>
      <c r="AF14" s="128">
        <v>12018223000</v>
      </c>
      <c r="AG14" s="128">
        <v>9491367000</v>
      </c>
      <c r="AH14" s="128">
        <v>6660607000</v>
      </c>
      <c r="AI14" s="128">
        <v>-60943000</v>
      </c>
      <c r="AJ14" s="128">
        <v>-80864000</v>
      </c>
      <c r="AK14" s="128">
        <v>-65053000</v>
      </c>
      <c r="AL14" s="128">
        <v>-62522000</v>
      </c>
      <c r="AM14" s="128">
        <v>10990484000</v>
      </c>
      <c r="AN14" s="128">
        <v>11937359000</v>
      </c>
      <c r="AO14" s="128">
        <v>9426314000</v>
      </c>
      <c r="AP14" s="128">
        <v>6598085000</v>
      </c>
      <c r="AQ14" s="128">
        <v>698394000</v>
      </c>
      <c r="AR14" s="128">
        <v>187393000</v>
      </c>
      <c r="AS14" s="128">
        <v>266366000</v>
      </c>
      <c r="AT14" s="128">
        <v>267649000</v>
      </c>
      <c r="AU14" s="128">
        <v>-9279524000</v>
      </c>
      <c r="AV14" s="128">
        <v>-8545583000</v>
      </c>
      <c r="AW14" s="128">
        <v>-7141677000</v>
      </c>
      <c r="AX14" s="128">
        <v>-4454309000</v>
      </c>
      <c r="AY14" s="125" t="s">
        <v>340</v>
      </c>
      <c r="AZ14" s="125" t="s">
        <v>340</v>
      </c>
      <c r="BA14" s="125" t="s">
        <v>340</v>
      </c>
      <c r="BB14" s="125" t="s">
        <v>340</v>
      </c>
      <c r="BC14" s="128">
        <v>-1361920000</v>
      </c>
      <c r="BD14" s="128">
        <v>-1174931000</v>
      </c>
      <c r="BE14" s="128">
        <v>-996111000</v>
      </c>
      <c r="BF14" s="128">
        <v>-1021746000</v>
      </c>
      <c r="BG14" s="128">
        <v>1047434000</v>
      </c>
      <c r="BH14" s="128">
        <v>2404238000</v>
      </c>
      <c r="BI14" s="128">
        <v>1554892000</v>
      </c>
      <c r="BJ14" s="128">
        <v>1389679000</v>
      </c>
      <c r="BK14" s="128">
        <v>-615097000</v>
      </c>
      <c r="BL14" s="128">
        <v>-780566000</v>
      </c>
      <c r="BM14" s="128">
        <v>-650507000</v>
      </c>
      <c r="BN14" s="128">
        <v>-513640000</v>
      </c>
      <c r="BO14" s="128">
        <v>-524406000</v>
      </c>
      <c r="BP14" s="128">
        <v>-552164000</v>
      </c>
      <c r="BQ14" s="128">
        <v>-546908000</v>
      </c>
      <c r="BR14" s="128">
        <v>-420371000</v>
      </c>
      <c r="BS14" s="128">
        <v>-90691000</v>
      </c>
      <c r="BT14" s="128">
        <v>-228402000</v>
      </c>
      <c r="BU14" s="128">
        <v>-103599000</v>
      </c>
      <c r="BV14" s="128">
        <v>-93269000</v>
      </c>
      <c r="BW14" s="128">
        <v>52880000</v>
      </c>
      <c r="BX14" s="128">
        <v>1008442000</v>
      </c>
      <c r="BY14" s="128">
        <v>355076000</v>
      </c>
      <c r="BZ14" s="128">
        <v>442550000</v>
      </c>
      <c r="CA14" s="128">
        <v>6001702000</v>
      </c>
      <c r="CB14" s="128">
        <v>5851559000</v>
      </c>
      <c r="CC14" s="128">
        <v>5787492000</v>
      </c>
      <c r="CD14" s="128">
        <v>5266485000</v>
      </c>
      <c r="CE14" s="128">
        <v>860451000</v>
      </c>
      <c r="CF14" s="128">
        <v>1128210000</v>
      </c>
      <c r="CG14" s="128">
        <v>869164000</v>
      </c>
      <c r="CH14" s="128">
        <v>761902000</v>
      </c>
      <c r="CI14" s="128">
        <v>893579000</v>
      </c>
      <c r="CJ14" s="128">
        <v>827942000</v>
      </c>
      <c r="CK14" s="128">
        <v>1098299000</v>
      </c>
      <c r="CL14" s="128">
        <v>1081877000</v>
      </c>
      <c r="CM14" s="128">
        <v>1939107000</v>
      </c>
      <c r="CN14" s="128">
        <v>1722603000</v>
      </c>
      <c r="CO14" s="128">
        <v>1722851000</v>
      </c>
      <c r="CP14" s="128">
        <v>1486128000</v>
      </c>
      <c r="CQ14" s="128">
        <v>1918474000</v>
      </c>
      <c r="CR14" s="128">
        <v>1816204000</v>
      </c>
      <c r="CS14" s="128">
        <v>1854644000</v>
      </c>
      <c r="CT14" s="128">
        <v>1780053000</v>
      </c>
      <c r="CU14" s="128">
        <v>606107000</v>
      </c>
      <c r="CV14" s="128">
        <v>85911000</v>
      </c>
      <c r="CW14" s="128">
        <v>275000</v>
      </c>
      <c r="CX14" s="125" t="s">
        <v>340</v>
      </c>
      <c r="CY14" s="128">
        <v>338743000</v>
      </c>
      <c r="CZ14" s="128">
        <v>306032000</v>
      </c>
      <c r="DA14" s="128">
        <v>183131000</v>
      </c>
      <c r="DB14" s="128">
        <v>107236000</v>
      </c>
      <c r="DC14" s="128">
        <v>24525691000</v>
      </c>
      <c r="DD14" s="128">
        <v>24447251000</v>
      </c>
      <c r="DE14" s="128">
        <v>24412389000</v>
      </c>
      <c r="DF14" s="128">
        <v>24056062000</v>
      </c>
      <c r="DG14" s="16">
        <f t="shared" si="2"/>
        <v>10990484000</v>
      </c>
      <c r="DH14" s="16">
        <f t="shared" si="3"/>
        <v>-9279524000</v>
      </c>
      <c r="DI14" s="16">
        <f t="shared" si="4"/>
        <v>-1361920000</v>
      </c>
      <c r="DJ14" s="16">
        <f t="shared" si="5"/>
        <v>-615097000</v>
      </c>
      <c r="DK14" s="16">
        <f t="shared" si="6"/>
        <v>-266057000</v>
      </c>
      <c r="DL14" s="57">
        <f t="shared" si="7"/>
        <v>-2.4207942070613088E-2</v>
      </c>
      <c r="DM14" s="57">
        <f t="shared" si="8"/>
        <v>-2.3635768749920603E-2</v>
      </c>
      <c r="DN14" s="58" t="str">
        <f t="shared" si="9"/>
        <v>n.a.</v>
      </c>
      <c r="DO14" s="16">
        <f t="shared" si="10"/>
        <v>994330500</v>
      </c>
      <c r="DP14" s="16">
        <f t="shared" si="11"/>
        <v>322387500</v>
      </c>
      <c r="DQ14" s="61"/>
      <c r="DR14" s="62">
        <f t="shared" si="12"/>
        <v>11937359000</v>
      </c>
      <c r="DS14" s="62">
        <f t="shared" si="13"/>
        <v>-8545583000</v>
      </c>
      <c r="DT14" s="62">
        <f t="shared" si="14"/>
        <v>-1174931000</v>
      </c>
      <c r="DU14" s="62">
        <f t="shared" si="15"/>
        <v>-780566000</v>
      </c>
      <c r="DV14" s="62">
        <f t="shared" si="16"/>
        <v>1436279000</v>
      </c>
      <c r="DW14" s="63">
        <f t="shared" si="17"/>
        <v>0.12031798658312949</v>
      </c>
      <c r="DX14" s="63">
        <f t="shared" si="18"/>
        <v>0.13677440796565687</v>
      </c>
      <c r="DY14" s="64" t="str">
        <f t="shared" si="19"/>
        <v>n.a.</v>
      </c>
      <c r="DZ14" s="64">
        <f t="shared" si="20"/>
        <v>998687000</v>
      </c>
      <c r="EA14" s="64">
        <f t="shared" si="21"/>
        <v>244581500</v>
      </c>
      <c r="EB14" s="61"/>
      <c r="EC14" s="64">
        <f t="shared" si="22"/>
        <v>9426314000</v>
      </c>
      <c r="ED14" s="64">
        <f t="shared" si="23"/>
        <v>-7141677000</v>
      </c>
      <c r="EE14" s="64">
        <f t="shared" si="24"/>
        <v>-996111000</v>
      </c>
      <c r="EF14" s="64">
        <f t="shared" si="25"/>
        <v>-650507000</v>
      </c>
      <c r="EG14" s="64">
        <f t="shared" si="26"/>
        <v>638019000</v>
      </c>
      <c r="EH14" s="63">
        <f t="shared" si="27"/>
        <v>6.7684887221028278E-2</v>
      </c>
      <c r="EI14" s="57">
        <f t="shared" si="28"/>
        <v>7.2598723643209517E-2</v>
      </c>
      <c r="EJ14" s="64" t="str">
        <f t="shared" si="29"/>
        <v>n.a.</v>
      </c>
      <c r="EK14" s="64">
        <f t="shared" si="30"/>
        <v>815533000</v>
      </c>
      <c r="EL14" s="64">
        <f t="shared" si="31"/>
        <v>145183500</v>
      </c>
      <c r="EM14" s="61"/>
      <c r="EN14" s="66">
        <f t="shared" si="32"/>
        <v>10784719000</v>
      </c>
      <c r="EO14" s="66">
        <f t="shared" si="32"/>
        <v>-8322261333.333333</v>
      </c>
      <c r="EP14" s="66">
        <f t="shared" si="32"/>
        <v>-1177654000</v>
      </c>
      <c r="EQ14" s="66">
        <f t="shared" si="32"/>
        <v>-682056666.66666663</v>
      </c>
      <c r="ER14" s="66">
        <f t="shared" si="33"/>
        <v>602747000.00000036</v>
      </c>
      <c r="ES14" s="63">
        <f t="shared" si="34"/>
        <v>5.5888985146483681E-2</v>
      </c>
      <c r="ET14" s="67">
        <f t="shared" si="35"/>
        <v>5.9197471766765854E-2</v>
      </c>
      <c r="EU14" s="66" t="e">
        <f t="shared" si="36"/>
        <v>#VALUE!</v>
      </c>
      <c r="EV14" s="66">
        <f t="shared" si="37"/>
        <v>936183500</v>
      </c>
      <c r="EW14" s="66">
        <f t="shared" si="37"/>
        <v>237384166.66666666</v>
      </c>
      <c r="EX14" s="70"/>
      <c r="EY14" s="71" t="str">
        <f t="shared" si="38"/>
        <v>完整</v>
      </c>
      <c r="EZ14" s="71" t="str">
        <f t="shared" si="39"/>
        <v>完整</v>
      </c>
      <c r="FA14" s="71" t="str">
        <f t="shared" si="40"/>
        <v>完整</v>
      </c>
      <c r="FB14" s="71" t="str">
        <f t="shared" si="41"/>
        <v>选择</v>
      </c>
      <c r="FC14" s="71" t="str">
        <f t="shared" si="42"/>
        <v>选择</v>
      </c>
      <c r="FD14" s="72"/>
      <c r="FE14" s="72"/>
      <c r="FF14" s="72"/>
      <c r="FG14" s="72"/>
      <c r="FH14" s="72"/>
      <c r="FI14" s="72"/>
      <c r="FJ14" s="72"/>
      <c r="FK14" s="72"/>
      <c r="FL14" s="72"/>
      <c r="FM14" s="72"/>
      <c r="FN14" s="72"/>
      <c r="FO14" s="72"/>
      <c r="FP14" s="72"/>
      <c r="FQ14" s="72"/>
      <c r="FR14" s="72"/>
      <c r="FS14" s="72"/>
      <c r="FT14" s="72"/>
      <c r="FU14" s="72"/>
      <c r="FV14" s="72"/>
      <c r="FW14" s="72"/>
      <c r="FX14" s="72"/>
      <c r="FY14" s="72"/>
      <c r="FZ14" s="72"/>
      <c r="GA14" s="72"/>
      <c r="GB14" s="72"/>
      <c r="GC14" s="72"/>
      <c r="GD14" s="72"/>
      <c r="GE14" s="72"/>
      <c r="GF14" s="72"/>
      <c r="GG14" s="72"/>
      <c r="GH14" s="72"/>
      <c r="GI14" s="72"/>
      <c r="GJ14" s="72"/>
      <c r="GK14" s="72"/>
      <c r="GL14" s="72"/>
      <c r="GM14" s="72"/>
      <c r="GN14" s="72"/>
      <c r="GO14" s="72"/>
      <c r="GP14" s="72"/>
      <c r="GQ14" s="72"/>
      <c r="GR14" s="72"/>
      <c r="GS14" s="72"/>
      <c r="GT14" s="72"/>
      <c r="GU14" s="72"/>
      <c r="GV14" s="72"/>
      <c r="GW14" s="72"/>
      <c r="GX14" s="72"/>
      <c r="GY14" s="72"/>
      <c r="GZ14" s="72"/>
      <c r="HA14" s="72"/>
      <c r="HB14" s="72"/>
      <c r="HC14" s="72"/>
      <c r="HD14" s="72"/>
      <c r="HE14" s="72"/>
      <c r="HF14" s="72"/>
      <c r="HG14" s="72"/>
      <c r="HH14" s="72"/>
      <c r="HI14" s="72"/>
    </row>
    <row r="15" spans="1:217" s="3" customFormat="1" ht="12.75" customHeight="1" x14ac:dyDescent="0.25">
      <c r="A15" s="28" t="s">
        <v>179</v>
      </c>
      <c r="B15" s="134" t="str">
        <f t="shared" si="0"/>
        <v>GODREJ CONSUMER PRODUCTS LIMITED</v>
      </c>
      <c r="C15" s="29" t="s">
        <v>328</v>
      </c>
      <c r="D15" s="136" t="s">
        <v>309</v>
      </c>
      <c r="E15" s="33"/>
      <c r="G15" s="9"/>
      <c r="H15" s="31" t="str">
        <f t="shared" si="1"/>
        <v xml:space="preserve"> </v>
      </c>
      <c r="I15" s="29"/>
      <c r="J15" s="29" t="str">
        <f>VLOOKUP(Z:Z,'[1]AP 2022'!FD14:FF176,2,FALSE)</f>
        <v>exclude</v>
      </c>
      <c r="K15" s="47" t="str">
        <f>VLOOKUP(Z:Z,'[1]AP 2022'!FD14:FF176,3,0)</f>
        <v>Independence(A+, A, A-, U)</v>
      </c>
      <c r="L15" s="48"/>
      <c r="M15" s="125" t="s">
        <v>429</v>
      </c>
      <c r="N15" s="125" t="s">
        <v>430</v>
      </c>
      <c r="O15" s="125" t="s">
        <v>381</v>
      </c>
      <c r="P15" s="125" t="s">
        <v>431</v>
      </c>
      <c r="Q15" s="124"/>
      <c r="R15" s="125" t="s">
        <v>353</v>
      </c>
      <c r="S15" s="125" t="s">
        <v>432</v>
      </c>
      <c r="T15" s="125" t="s">
        <v>365</v>
      </c>
      <c r="U15" s="125" t="s">
        <v>321</v>
      </c>
      <c r="V15" s="125" t="s">
        <v>433</v>
      </c>
      <c r="W15" s="125" t="s">
        <v>434</v>
      </c>
      <c r="X15" s="124"/>
      <c r="Y15" s="125" t="s">
        <v>435</v>
      </c>
      <c r="Z15" s="125" t="s">
        <v>436</v>
      </c>
      <c r="AA15" s="128">
        <v>133272700000</v>
      </c>
      <c r="AB15" s="128">
        <v>122874700000</v>
      </c>
      <c r="AC15" s="128">
        <v>110406400000</v>
      </c>
      <c r="AD15" s="128">
        <v>99108000000</v>
      </c>
      <c r="AE15" s="128">
        <v>143581500000</v>
      </c>
      <c r="AF15" s="128">
        <v>132508700000</v>
      </c>
      <c r="AG15" s="128">
        <v>119129100000</v>
      </c>
      <c r="AH15" s="128">
        <v>98265100000</v>
      </c>
      <c r="AI15" s="128">
        <v>-11594700000</v>
      </c>
      <c r="AJ15" s="128">
        <v>-10766500000</v>
      </c>
      <c r="AK15" s="128">
        <v>-9769000000</v>
      </c>
      <c r="AL15" s="125" t="s">
        <v>340</v>
      </c>
      <c r="AM15" s="128">
        <v>131986800000</v>
      </c>
      <c r="AN15" s="128">
        <v>121742200000</v>
      </c>
      <c r="AO15" s="128">
        <v>109360100000</v>
      </c>
      <c r="AP15" s="128">
        <v>98265100000</v>
      </c>
      <c r="AQ15" s="128">
        <v>1285900000</v>
      </c>
      <c r="AR15" s="128">
        <v>1132500000</v>
      </c>
      <c r="AS15" s="128">
        <v>1046300000</v>
      </c>
      <c r="AT15" s="128">
        <v>842900000</v>
      </c>
      <c r="AU15" s="128">
        <v>-67378800000</v>
      </c>
      <c r="AV15" s="128">
        <v>-61081100000</v>
      </c>
      <c r="AW15" s="128">
        <v>-49643700000</v>
      </c>
      <c r="AX15" s="128">
        <v>-43001700000</v>
      </c>
      <c r="AY15" s="128">
        <v>-221700000</v>
      </c>
      <c r="AZ15" s="128">
        <v>-206600000</v>
      </c>
      <c r="BA15" s="128">
        <v>-234000000</v>
      </c>
      <c r="BB15" s="128">
        <v>0</v>
      </c>
      <c r="BC15" s="128">
        <v>-39986200000</v>
      </c>
      <c r="BD15" s="128">
        <v>-36387300000</v>
      </c>
      <c r="BE15" s="128">
        <v>-35824700000</v>
      </c>
      <c r="BF15" s="128">
        <v>-34503800000</v>
      </c>
      <c r="BG15" s="128">
        <v>25686000000</v>
      </c>
      <c r="BH15" s="128">
        <v>25199700000</v>
      </c>
      <c r="BI15" s="128">
        <v>24704000000</v>
      </c>
      <c r="BJ15" s="128">
        <v>21602500000</v>
      </c>
      <c r="BK15" s="128">
        <v>-2362900000</v>
      </c>
      <c r="BL15" s="128">
        <v>-2099300000</v>
      </c>
      <c r="BM15" s="128">
        <v>-2038500000</v>
      </c>
      <c r="BN15" s="128">
        <v>-1972800000</v>
      </c>
      <c r="BO15" s="128">
        <v>-2071300000</v>
      </c>
      <c r="BP15" s="128">
        <v>-1782000000</v>
      </c>
      <c r="BQ15" s="128">
        <v>-1681100000</v>
      </c>
      <c r="BR15" s="128">
        <v>-1610000000</v>
      </c>
      <c r="BS15" s="128">
        <v>-291600000</v>
      </c>
      <c r="BT15" s="128">
        <v>-317300000</v>
      </c>
      <c r="BU15" s="128">
        <v>-357400000</v>
      </c>
      <c r="BV15" s="128">
        <v>-362800000</v>
      </c>
      <c r="BW15" s="128">
        <v>17024600000</v>
      </c>
      <c r="BX15" s="128">
        <v>17833900000</v>
      </c>
      <c r="BY15" s="128">
        <v>17208200000</v>
      </c>
      <c r="BZ15" s="128">
        <v>14965800000</v>
      </c>
      <c r="CA15" s="128">
        <v>58059700000</v>
      </c>
      <c r="CB15" s="128">
        <v>56872700000</v>
      </c>
      <c r="CC15" s="128">
        <v>44724100000</v>
      </c>
      <c r="CD15" s="128">
        <v>48083400000</v>
      </c>
      <c r="CE15" s="128">
        <v>15371500000</v>
      </c>
      <c r="CF15" s="128">
        <v>21298500000</v>
      </c>
      <c r="CG15" s="128">
        <v>17162500000</v>
      </c>
      <c r="CH15" s="128">
        <v>17031200000</v>
      </c>
      <c r="CI15" s="128">
        <v>12452800000</v>
      </c>
      <c r="CJ15" s="128">
        <v>11163200000</v>
      </c>
      <c r="CK15" s="128">
        <v>10045000000</v>
      </c>
      <c r="CL15" s="128">
        <v>11572500000</v>
      </c>
      <c r="CM15" s="128">
        <v>1877500000</v>
      </c>
      <c r="CN15" s="128">
        <v>2274100000</v>
      </c>
      <c r="CO15" s="128">
        <v>2183800000</v>
      </c>
      <c r="CP15" s="128">
        <v>3260900000</v>
      </c>
      <c r="CQ15" s="128">
        <v>25961300000</v>
      </c>
      <c r="CR15" s="128">
        <v>19595500000</v>
      </c>
      <c r="CS15" s="128">
        <v>13439300000</v>
      </c>
      <c r="CT15" s="128">
        <v>14299700000</v>
      </c>
      <c r="CU15" s="128">
        <v>22054100000</v>
      </c>
      <c r="CV15" s="128">
        <v>8517800000</v>
      </c>
      <c r="CW15" s="128">
        <v>6717200000</v>
      </c>
      <c r="CX15" s="128">
        <v>6598100000</v>
      </c>
      <c r="CY15" s="128">
        <v>2051300000</v>
      </c>
      <c r="CZ15" s="128">
        <v>2665500000</v>
      </c>
      <c r="DA15" s="128">
        <v>1897100000</v>
      </c>
      <c r="DB15" s="128">
        <v>1234600000</v>
      </c>
      <c r="DC15" s="128">
        <v>174987700000</v>
      </c>
      <c r="DD15" s="128">
        <v>161340600000</v>
      </c>
      <c r="DE15" s="128">
        <v>142828200000</v>
      </c>
      <c r="DF15" s="128">
        <v>149570100000</v>
      </c>
      <c r="DG15" s="16">
        <f t="shared" si="2"/>
        <v>131986800000</v>
      </c>
      <c r="DH15" s="16">
        <f t="shared" si="3"/>
        <v>-67378800000</v>
      </c>
      <c r="DI15" s="16">
        <f t="shared" si="4"/>
        <v>-40207900000</v>
      </c>
      <c r="DJ15" s="16">
        <f t="shared" si="5"/>
        <v>-2362900000</v>
      </c>
      <c r="DK15" s="16">
        <f t="shared" si="6"/>
        <v>22037200000</v>
      </c>
      <c r="DL15" s="57">
        <f t="shared" si="7"/>
        <v>0.1669651813666215</v>
      </c>
      <c r="DM15" s="57">
        <f t="shared" si="8"/>
        <v>0.20043001520696754</v>
      </c>
      <c r="DN15" s="58">
        <f t="shared" si="9"/>
        <v>-221700000</v>
      </c>
      <c r="DO15" s="16">
        <f t="shared" si="10"/>
        <v>18335000000</v>
      </c>
      <c r="DP15" s="16">
        <f t="shared" si="11"/>
        <v>2358400000</v>
      </c>
      <c r="DQ15" s="61"/>
      <c r="DR15" s="62">
        <f t="shared" si="12"/>
        <v>121742200000</v>
      </c>
      <c r="DS15" s="62">
        <f t="shared" si="13"/>
        <v>-61081100000</v>
      </c>
      <c r="DT15" s="62">
        <f t="shared" si="14"/>
        <v>-36593900000</v>
      </c>
      <c r="DU15" s="62">
        <f t="shared" si="15"/>
        <v>-2099300000</v>
      </c>
      <c r="DV15" s="62">
        <f t="shared" si="16"/>
        <v>21967900000</v>
      </c>
      <c r="DW15" s="63">
        <f t="shared" si="17"/>
        <v>0.18044605732441174</v>
      </c>
      <c r="DX15" s="63">
        <f t="shared" si="18"/>
        <v>0.22017593709001215</v>
      </c>
      <c r="DY15" s="64">
        <f t="shared" si="19"/>
        <v>-206600000</v>
      </c>
      <c r="DZ15" s="64">
        <f t="shared" si="20"/>
        <v>19230500000</v>
      </c>
      <c r="EA15" s="64">
        <f t="shared" si="21"/>
        <v>2281300000</v>
      </c>
      <c r="EB15" s="61"/>
      <c r="EC15" s="64">
        <f t="shared" si="22"/>
        <v>109360100000</v>
      </c>
      <c r="ED15" s="64">
        <f t="shared" si="23"/>
        <v>-49643700000</v>
      </c>
      <c r="EE15" s="64">
        <f t="shared" si="24"/>
        <v>-36058700000</v>
      </c>
      <c r="EF15" s="64">
        <f t="shared" si="25"/>
        <v>-2038500000</v>
      </c>
      <c r="EG15" s="64">
        <f t="shared" si="26"/>
        <v>21619200000</v>
      </c>
      <c r="EH15" s="63">
        <f t="shared" si="27"/>
        <v>0.1976881879222861</v>
      </c>
      <c r="EI15" s="57">
        <f t="shared" si="28"/>
        <v>0.24639820197878071</v>
      </c>
      <c r="EJ15" s="64">
        <f t="shared" si="29"/>
        <v>-234000000</v>
      </c>
      <c r="EK15" s="64">
        <f t="shared" si="30"/>
        <v>17096850000</v>
      </c>
      <c r="EL15" s="64">
        <f t="shared" si="31"/>
        <v>1565850000</v>
      </c>
      <c r="EM15" s="61"/>
      <c r="EN15" s="66">
        <f t="shared" si="32"/>
        <v>121029700000</v>
      </c>
      <c r="EO15" s="66">
        <f t="shared" si="32"/>
        <v>-59367866666.666664</v>
      </c>
      <c r="EP15" s="66">
        <f t="shared" si="32"/>
        <v>-37620166666.666664</v>
      </c>
      <c r="EQ15" s="66">
        <f t="shared" si="32"/>
        <v>-2166900000</v>
      </c>
      <c r="ER15" s="66">
        <f t="shared" si="33"/>
        <v>21874766666.666672</v>
      </c>
      <c r="ES15" s="63">
        <f t="shared" si="34"/>
        <v>0.18073883242432784</v>
      </c>
      <c r="ET15" s="67">
        <f t="shared" si="35"/>
        <v>0.22061198501469759</v>
      </c>
      <c r="EU15" s="66">
        <f t="shared" si="36"/>
        <v>220766666.66666666</v>
      </c>
      <c r="EV15" s="66">
        <f t="shared" si="37"/>
        <v>18220783333.333332</v>
      </c>
      <c r="EW15" s="66">
        <f t="shared" si="37"/>
        <v>2068516666.6666667</v>
      </c>
      <c r="EX15" s="70"/>
      <c r="EY15" s="71" t="str">
        <f t="shared" si="38"/>
        <v>完整</v>
      </c>
      <c r="EZ15" s="71" t="str">
        <f t="shared" si="39"/>
        <v>完整</v>
      </c>
      <c r="FA15" s="71" t="str">
        <f t="shared" si="40"/>
        <v>完整</v>
      </c>
      <c r="FB15" s="71" t="str">
        <f t="shared" si="41"/>
        <v>选择</v>
      </c>
      <c r="FC15" s="71" t="str">
        <f t="shared" si="42"/>
        <v>选择</v>
      </c>
    </row>
    <row r="16" spans="1:217" s="3" customFormat="1" ht="12.75" customHeight="1" x14ac:dyDescent="0.25">
      <c r="A16" s="28" t="s">
        <v>180</v>
      </c>
      <c r="B16" s="134" t="str">
        <f t="shared" si="0"/>
        <v>ALS LIMITED</v>
      </c>
      <c r="C16" s="29" t="s">
        <v>328</v>
      </c>
      <c r="D16" s="137" t="s">
        <v>313</v>
      </c>
      <c r="E16" s="33" t="s">
        <v>437</v>
      </c>
      <c r="H16" s="31" t="str">
        <f t="shared" si="1"/>
        <v xml:space="preserve"> </v>
      </c>
      <c r="I16" s="29"/>
      <c r="J16" s="29" t="str">
        <f>VLOOKUP(Z:Z,'[1]AP 2022'!FD15:FF177,2,FALSE)</f>
        <v>exclude</v>
      </c>
      <c r="K16" s="47" t="str">
        <f>VLOOKUP(Z:Z,'[1]AP 2022'!FD15:FF177,3,0)</f>
        <v>Independence(A+, A, A-, U)</v>
      </c>
      <c r="L16" s="48"/>
      <c r="M16" s="125" t="s">
        <v>438</v>
      </c>
      <c r="N16" s="125" t="s">
        <v>439</v>
      </c>
      <c r="O16" s="125" t="s">
        <v>413</v>
      </c>
      <c r="P16" s="142" t="s">
        <v>440</v>
      </c>
      <c r="Q16" s="124"/>
      <c r="R16" s="125" t="s">
        <v>441</v>
      </c>
      <c r="S16" s="125" t="s">
        <v>442</v>
      </c>
      <c r="T16" s="125" t="s">
        <v>335</v>
      </c>
      <c r="U16" s="125" t="s">
        <v>315</v>
      </c>
      <c r="V16" s="125" t="s">
        <v>443</v>
      </c>
      <c r="W16" s="125" t="s">
        <v>444</v>
      </c>
      <c r="X16" s="125" t="s">
        <v>445</v>
      </c>
      <c r="Y16" s="124"/>
      <c r="Z16" s="125" t="s">
        <v>446</v>
      </c>
      <c r="AA16" s="128">
        <v>2400900000</v>
      </c>
      <c r="AB16" s="128">
        <v>2108500000</v>
      </c>
      <c r="AC16" s="128">
        <v>1789300000</v>
      </c>
      <c r="AD16" s="128">
        <v>1890200000</v>
      </c>
      <c r="AE16" s="128">
        <v>2400900000</v>
      </c>
      <c r="AF16" s="128">
        <v>2108500000</v>
      </c>
      <c r="AG16" s="128">
        <v>1761400000</v>
      </c>
      <c r="AH16" s="128">
        <v>1836100000</v>
      </c>
      <c r="AI16" s="125" t="s">
        <v>340</v>
      </c>
      <c r="AJ16" s="125" t="s">
        <v>340</v>
      </c>
      <c r="AK16" s="125" t="s">
        <v>340</v>
      </c>
      <c r="AL16" s="125" t="s">
        <v>340</v>
      </c>
      <c r="AM16" s="128">
        <v>2400900000</v>
      </c>
      <c r="AN16" s="128">
        <v>2108500000</v>
      </c>
      <c r="AO16" s="128">
        <v>1761400000</v>
      </c>
      <c r="AP16" s="128">
        <v>1836100000</v>
      </c>
      <c r="AQ16" s="125" t="s">
        <v>340</v>
      </c>
      <c r="AR16" s="125" t="s">
        <v>340</v>
      </c>
      <c r="AS16" s="128">
        <v>27900000</v>
      </c>
      <c r="AT16" s="128">
        <v>54100000</v>
      </c>
      <c r="AU16" s="128">
        <v>-252200000</v>
      </c>
      <c r="AV16" s="128">
        <v>-227800000</v>
      </c>
      <c r="AW16" s="128">
        <v>-182100000</v>
      </c>
      <c r="AX16" s="128">
        <v>-193800000</v>
      </c>
      <c r="AY16" s="128">
        <v>0</v>
      </c>
      <c r="AZ16" s="128">
        <v>0</v>
      </c>
      <c r="BA16" s="128">
        <v>0</v>
      </c>
      <c r="BB16" s="128">
        <v>0</v>
      </c>
      <c r="BC16" s="128">
        <v>-1550000000</v>
      </c>
      <c r="BD16" s="128">
        <v>-1414400000</v>
      </c>
      <c r="BE16" s="128">
        <v>-1180800000</v>
      </c>
      <c r="BF16" s="128">
        <v>-1229400000</v>
      </c>
      <c r="BG16" s="128">
        <v>598700000</v>
      </c>
      <c r="BH16" s="128">
        <v>466300000</v>
      </c>
      <c r="BI16" s="128">
        <v>426400000</v>
      </c>
      <c r="BJ16" s="128">
        <v>467000000</v>
      </c>
      <c r="BK16" s="128">
        <v>-158500000</v>
      </c>
      <c r="BL16" s="128">
        <v>-138900000</v>
      </c>
      <c r="BM16" s="128">
        <v>-132600000</v>
      </c>
      <c r="BN16" s="128">
        <v>-134400000</v>
      </c>
      <c r="BO16" s="128">
        <v>-158500000</v>
      </c>
      <c r="BP16" s="128">
        <v>-138900000</v>
      </c>
      <c r="BQ16" s="128">
        <v>-132600000</v>
      </c>
      <c r="BR16" s="128">
        <v>-134400000</v>
      </c>
      <c r="BS16" s="128">
        <v>0</v>
      </c>
      <c r="BT16" s="128">
        <v>0</v>
      </c>
      <c r="BU16" s="128">
        <v>0</v>
      </c>
      <c r="BV16" s="128">
        <v>0</v>
      </c>
      <c r="BW16" s="128">
        <v>291200000</v>
      </c>
      <c r="BX16" s="128">
        <v>190500000</v>
      </c>
      <c r="BY16" s="128">
        <v>169600000</v>
      </c>
      <c r="BZ16" s="128">
        <v>127800000</v>
      </c>
      <c r="CA16" s="128">
        <v>753300000</v>
      </c>
      <c r="CB16" s="128">
        <v>641900000</v>
      </c>
      <c r="CC16" s="128">
        <v>611100000</v>
      </c>
      <c r="CD16" s="128">
        <v>936700000</v>
      </c>
      <c r="CE16" s="128">
        <v>101300000</v>
      </c>
      <c r="CF16" s="128">
        <v>71200000</v>
      </c>
      <c r="CG16" s="128">
        <v>64400000</v>
      </c>
      <c r="CH16" s="128">
        <v>78900000</v>
      </c>
      <c r="CI16" s="128">
        <v>341900000</v>
      </c>
      <c r="CJ16" s="128">
        <v>321800000</v>
      </c>
      <c r="CK16" s="128">
        <v>282900000</v>
      </c>
      <c r="CL16" s="128">
        <v>310700000</v>
      </c>
      <c r="CM16" s="128">
        <v>83100000</v>
      </c>
      <c r="CN16" s="128">
        <v>84300000</v>
      </c>
      <c r="CO16" s="128">
        <v>60200000</v>
      </c>
      <c r="CP16" s="128">
        <v>122700000</v>
      </c>
      <c r="CQ16" s="128">
        <v>179600000</v>
      </c>
      <c r="CR16" s="128">
        <v>122800000</v>
      </c>
      <c r="CS16" s="128">
        <v>168600000</v>
      </c>
      <c r="CT16" s="128">
        <v>424400000</v>
      </c>
      <c r="CU16" s="125" t="s">
        <v>340</v>
      </c>
      <c r="CV16" s="125" t="s">
        <v>340</v>
      </c>
      <c r="CW16" s="125" t="s">
        <v>340</v>
      </c>
      <c r="CX16" s="125" t="s">
        <v>340</v>
      </c>
      <c r="CY16" s="128">
        <v>56900000</v>
      </c>
      <c r="CZ16" s="128">
        <v>33700000</v>
      </c>
      <c r="DA16" s="128">
        <v>25200000</v>
      </c>
      <c r="DB16" s="128">
        <v>33700000</v>
      </c>
      <c r="DC16" s="128">
        <v>3330100000</v>
      </c>
      <c r="DD16" s="128">
        <v>2844200000</v>
      </c>
      <c r="DE16" s="128">
        <v>2481600000</v>
      </c>
      <c r="DF16" s="128">
        <v>2930800000</v>
      </c>
      <c r="DG16" s="16">
        <f t="shared" si="2"/>
        <v>2400900000</v>
      </c>
      <c r="DH16" s="16">
        <f t="shared" si="3"/>
        <v>-252200000</v>
      </c>
      <c r="DI16" s="16">
        <f t="shared" si="4"/>
        <v>-1550000000</v>
      </c>
      <c r="DJ16" s="16">
        <f t="shared" si="5"/>
        <v>-158500000</v>
      </c>
      <c r="DK16" s="16">
        <f t="shared" si="6"/>
        <v>440200000</v>
      </c>
      <c r="DL16" s="57">
        <f t="shared" si="7"/>
        <v>0.18334791119996668</v>
      </c>
      <c r="DM16" s="57">
        <f t="shared" si="8"/>
        <v>0.22451165400112205</v>
      </c>
      <c r="DN16" s="58">
        <f t="shared" si="9"/>
        <v>0</v>
      </c>
      <c r="DO16" s="16">
        <f t="shared" si="10"/>
        <v>86250000</v>
      </c>
      <c r="DP16" s="16">
        <f t="shared" si="11"/>
        <v>45300000</v>
      </c>
      <c r="DQ16" s="61"/>
      <c r="DR16" s="62">
        <f t="shared" si="12"/>
        <v>2108500000</v>
      </c>
      <c r="DS16" s="62">
        <f t="shared" si="13"/>
        <v>-227800000</v>
      </c>
      <c r="DT16" s="62">
        <f t="shared" si="14"/>
        <v>-1414400000</v>
      </c>
      <c r="DU16" s="62">
        <f t="shared" si="15"/>
        <v>-138900000</v>
      </c>
      <c r="DV16" s="62">
        <f t="shared" si="16"/>
        <v>327400000</v>
      </c>
      <c r="DW16" s="63">
        <f t="shared" si="17"/>
        <v>0.15527626274602799</v>
      </c>
      <c r="DX16" s="63">
        <f t="shared" si="18"/>
        <v>0.18381898826567852</v>
      </c>
      <c r="DY16" s="64">
        <f t="shared" si="19"/>
        <v>0</v>
      </c>
      <c r="DZ16" s="64">
        <f t="shared" si="20"/>
        <v>67800000</v>
      </c>
      <c r="EA16" s="64">
        <f t="shared" si="21"/>
        <v>29450000</v>
      </c>
      <c r="EB16" s="61"/>
      <c r="EC16" s="64">
        <f t="shared" si="22"/>
        <v>1761400000</v>
      </c>
      <c r="ED16" s="64">
        <f t="shared" si="23"/>
        <v>-182100000</v>
      </c>
      <c r="EE16" s="64">
        <f t="shared" si="24"/>
        <v>-1180800000</v>
      </c>
      <c r="EF16" s="64">
        <f t="shared" si="25"/>
        <v>-132600000</v>
      </c>
      <c r="EG16" s="64">
        <f t="shared" si="26"/>
        <v>265900000</v>
      </c>
      <c r="EH16" s="63">
        <f t="shared" si="27"/>
        <v>0.15095946406267741</v>
      </c>
      <c r="EI16" s="57">
        <f t="shared" si="28"/>
        <v>0.17780006686726849</v>
      </c>
      <c r="EJ16" s="64">
        <f t="shared" si="29"/>
        <v>0</v>
      </c>
      <c r="EK16" s="64">
        <f t="shared" si="30"/>
        <v>71650000</v>
      </c>
      <c r="EL16" s="64">
        <f t="shared" si="31"/>
        <v>29450000</v>
      </c>
      <c r="EM16" s="61"/>
      <c r="EN16" s="66">
        <f t="shared" si="32"/>
        <v>2090266666.6666667</v>
      </c>
      <c r="EO16" s="66">
        <f t="shared" si="32"/>
        <v>-220700000</v>
      </c>
      <c r="EP16" s="66">
        <f t="shared" si="32"/>
        <v>-1381733333.3333333</v>
      </c>
      <c r="EQ16" s="66">
        <f t="shared" si="32"/>
        <v>-143333333.33333334</v>
      </c>
      <c r="ER16" s="66">
        <f t="shared" si="33"/>
        <v>344500000.00000012</v>
      </c>
      <c r="ES16" s="63">
        <f t="shared" si="34"/>
        <v>0.16481150730369337</v>
      </c>
      <c r="ET16" s="67">
        <f t="shared" si="35"/>
        <v>0.19733450442021661</v>
      </c>
      <c r="EU16" s="66">
        <f t="shared" si="36"/>
        <v>0</v>
      </c>
      <c r="EV16" s="66">
        <f t="shared" si="37"/>
        <v>75233333.333333328</v>
      </c>
      <c r="EW16" s="66">
        <f t="shared" si="37"/>
        <v>34733333.333333336</v>
      </c>
      <c r="EX16" s="70"/>
      <c r="EY16" s="71" t="str">
        <f t="shared" si="38"/>
        <v>完整</v>
      </c>
      <c r="EZ16" s="71" t="str">
        <f t="shared" si="39"/>
        <v>完整</v>
      </c>
      <c r="FA16" s="71" t="str">
        <f t="shared" si="40"/>
        <v>完整</v>
      </c>
      <c r="FB16" s="71" t="str">
        <f t="shared" si="41"/>
        <v>选择</v>
      </c>
      <c r="FC16" s="71" t="str">
        <f t="shared" si="42"/>
        <v>选择</v>
      </c>
    </row>
    <row r="17" spans="1:217" s="3" customFormat="1" ht="12.75" customHeight="1" x14ac:dyDescent="0.25">
      <c r="A17" s="28" t="s">
        <v>181</v>
      </c>
      <c r="B17" s="134" t="str">
        <f t="shared" si="0"/>
        <v>ZANYU TECHNOLOGY GROUP CO., LTD.</v>
      </c>
      <c r="C17" s="29" t="s">
        <v>328</v>
      </c>
      <c r="D17" s="137" t="s">
        <v>314</v>
      </c>
      <c r="E17" s="33" t="s">
        <v>447</v>
      </c>
      <c r="G17" s="29"/>
      <c r="H17" s="31" t="str">
        <f t="shared" si="1"/>
        <v xml:space="preserve"> </v>
      </c>
      <c r="I17" s="29"/>
      <c r="J17" s="29" t="e">
        <f>VLOOKUP(Z:Z,'[1]AP 2022'!FD16:FF178,2,FALSE)</f>
        <v>#N/A</v>
      </c>
      <c r="K17" s="47" t="e">
        <f>VLOOKUP(Z:Z,'[1]AP 2022'!FD16:FF178,3,0)</f>
        <v>#N/A</v>
      </c>
      <c r="L17" s="48"/>
      <c r="M17" s="125" t="s">
        <v>448</v>
      </c>
      <c r="N17" s="125" t="s">
        <v>449</v>
      </c>
      <c r="O17" s="125" t="s">
        <v>331</v>
      </c>
      <c r="P17" s="142" t="s">
        <v>450</v>
      </c>
      <c r="Q17" s="124"/>
      <c r="R17" s="125" t="s">
        <v>423</v>
      </c>
      <c r="S17" s="125" t="s">
        <v>451</v>
      </c>
      <c r="T17" s="125" t="s">
        <v>335</v>
      </c>
      <c r="U17" s="125" t="s">
        <v>319</v>
      </c>
      <c r="V17" s="125" t="s">
        <v>452</v>
      </c>
      <c r="W17" s="125" t="s">
        <v>453</v>
      </c>
      <c r="X17" s="125" t="s">
        <v>454</v>
      </c>
      <c r="Y17" s="124"/>
      <c r="Z17" s="125" t="s">
        <v>455</v>
      </c>
      <c r="AA17" s="128">
        <v>11238596000</v>
      </c>
      <c r="AB17" s="128">
        <v>11201597000</v>
      </c>
      <c r="AC17" s="128">
        <v>7825030000</v>
      </c>
      <c r="AD17" s="128">
        <v>6588371000</v>
      </c>
      <c r="AE17" s="128">
        <v>11059830000</v>
      </c>
      <c r="AF17" s="128">
        <v>10796468000</v>
      </c>
      <c r="AG17" s="128">
        <v>7403995000</v>
      </c>
      <c r="AH17" s="128">
        <v>6255161000</v>
      </c>
      <c r="AI17" s="128">
        <v>-32383000</v>
      </c>
      <c r="AJ17" s="128">
        <v>-35002000</v>
      </c>
      <c r="AK17" s="128">
        <v>-24130000</v>
      </c>
      <c r="AL17" s="128">
        <v>-22507000</v>
      </c>
      <c r="AM17" s="128">
        <v>11027447000</v>
      </c>
      <c r="AN17" s="128">
        <v>10761466000</v>
      </c>
      <c r="AO17" s="128">
        <v>7379865000</v>
      </c>
      <c r="AP17" s="128">
        <v>6232654000</v>
      </c>
      <c r="AQ17" s="128">
        <v>211149000</v>
      </c>
      <c r="AR17" s="128">
        <v>440131000</v>
      </c>
      <c r="AS17" s="128">
        <v>445165000</v>
      </c>
      <c r="AT17" s="128">
        <v>355717000</v>
      </c>
      <c r="AU17" s="128">
        <v>-10235425000</v>
      </c>
      <c r="AV17" s="128">
        <v>-9022159000</v>
      </c>
      <c r="AW17" s="128">
        <v>-6107840000</v>
      </c>
      <c r="AX17" s="128">
        <v>-4909157000</v>
      </c>
      <c r="AY17" s="125" t="s">
        <v>340</v>
      </c>
      <c r="AZ17" s="125" t="s">
        <v>340</v>
      </c>
      <c r="BA17" s="125" t="s">
        <v>340</v>
      </c>
      <c r="BB17" s="125" t="s">
        <v>340</v>
      </c>
      <c r="BC17" s="128">
        <v>-576078000</v>
      </c>
      <c r="BD17" s="128">
        <v>-763953000</v>
      </c>
      <c r="BE17" s="128">
        <v>-900199000</v>
      </c>
      <c r="BF17" s="128">
        <v>-779867000</v>
      </c>
      <c r="BG17" s="128">
        <v>427093000</v>
      </c>
      <c r="BH17" s="128">
        <v>1415485000</v>
      </c>
      <c r="BI17" s="128">
        <v>816991000</v>
      </c>
      <c r="BJ17" s="128">
        <v>899347000</v>
      </c>
      <c r="BK17" s="128">
        <v>-287921000</v>
      </c>
      <c r="BL17" s="128">
        <v>-204043000</v>
      </c>
      <c r="BM17" s="128">
        <v>-311052000</v>
      </c>
      <c r="BN17" s="128">
        <v>-399505000</v>
      </c>
      <c r="BO17" s="128">
        <v>-205715000</v>
      </c>
      <c r="BP17" s="128">
        <v>-139722000</v>
      </c>
      <c r="BQ17" s="128">
        <v>-109001000</v>
      </c>
      <c r="BR17" s="128">
        <v>-322823000</v>
      </c>
      <c r="BS17" s="128">
        <v>-82206000</v>
      </c>
      <c r="BT17" s="128">
        <v>-64321000</v>
      </c>
      <c r="BU17" s="128">
        <v>-202051000</v>
      </c>
      <c r="BV17" s="128">
        <v>-76682000</v>
      </c>
      <c r="BW17" s="128">
        <v>-127958000</v>
      </c>
      <c r="BX17" s="128">
        <v>796031000</v>
      </c>
      <c r="BY17" s="128">
        <v>344719000</v>
      </c>
      <c r="BZ17" s="128">
        <v>354197000</v>
      </c>
      <c r="CA17" s="128">
        <v>3823971000</v>
      </c>
      <c r="CB17" s="128">
        <v>3815250000</v>
      </c>
      <c r="CC17" s="128">
        <v>3245166000</v>
      </c>
      <c r="CD17" s="128">
        <v>2674421000</v>
      </c>
      <c r="CE17" s="128">
        <v>1428325000</v>
      </c>
      <c r="CF17" s="128">
        <v>1302204000</v>
      </c>
      <c r="CG17" s="128">
        <v>940197000</v>
      </c>
      <c r="CH17" s="128">
        <v>889480000</v>
      </c>
      <c r="CI17" s="128">
        <v>489410000</v>
      </c>
      <c r="CJ17" s="128">
        <v>762600000</v>
      </c>
      <c r="CK17" s="128">
        <v>662681000</v>
      </c>
      <c r="CL17" s="128">
        <v>594450000</v>
      </c>
      <c r="CM17" s="128">
        <v>1007315000</v>
      </c>
      <c r="CN17" s="128">
        <v>611541000</v>
      </c>
      <c r="CO17" s="128">
        <v>566124000</v>
      </c>
      <c r="CP17" s="128">
        <v>537426000</v>
      </c>
      <c r="CQ17" s="128">
        <v>593658000</v>
      </c>
      <c r="CR17" s="128">
        <v>742762000</v>
      </c>
      <c r="CS17" s="128">
        <v>823837000</v>
      </c>
      <c r="CT17" s="128">
        <v>513055000</v>
      </c>
      <c r="CU17" s="128">
        <v>266214000</v>
      </c>
      <c r="CV17" s="128">
        <v>298799000</v>
      </c>
      <c r="CW17" s="128">
        <v>25000</v>
      </c>
      <c r="CX17" s="128">
        <v>123870000</v>
      </c>
      <c r="CY17" s="128">
        <v>220608000</v>
      </c>
      <c r="CZ17" s="128">
        <v>492607000</v>
      </c>
      <c r="DA17" s="128">
        <v>1120469000</v>
      </c>
      <c r="DB17" s="128">
        <v>1346438000</v>
      </c>
      <c r="DC17" s="128">
        <v>7667448000</v>
      </c>
      <c r="DD17" s="128">
        <v>8419519000</v>
      </c>
      <c r="DE17" s="128">
        <v>7218159000</v>
      </c>
      <c r="DF17" s="128">
        <v>6679238000</v>
      </c>
      <c r="DG17" s="16">
        <f t="shared" si="2"/>
        <v>11027447000</v>
      </c>
      <c r="DH17" s="16">
        <f t="shared" si="3"/>
        <v>-10235425000</v>
      </c>
      <c r="DI17" s="16">
        <f t="shared" si="4"/>
        <v>-576078000</v>
      </c>
      <c r="DJ17" s="16">
        <f t="shared" si="5"/>
        <v>-287921000</v>
      </c>
      <c r="DK17" s="16">
        <f t="shared" si="6"/>
        <v>-71977000</v>
      </c>
      <c r="DL17" s="57">
        <f t="shared" si="7"/>
        <v>-6.5270773915304245E-3</v>
      </c>
      <c r="DM17" s="57">
        <f t="shared" si="8"/>
        <v>-6.4847509204081222E-3</v>
      </c>
      <c r="DN17" s="58" t="str">
        <f t="shared" si="9"/>
        <v>n.a.</v>
      </c>
      <c r="DO17" s="16">
        <f t="shared" si="10"/>
        <v>1365264500</v>
      </c>
      <c r="DP17" s="16">
        <f t="shared" si="11"/>
        <v>356607500</v>
      </c>
      <c r="DQ17" s="61"/>
      <c r="DR17" s="62">
        <f t="shared" si="12"/>
        <v>10761466000</v>
      </c>
      <c r="DS17" s="62">
        <f t="shared" si="13"/>
        <v>-9022159000</v>
      </c>
      <c r="DT17" s="62">
        <f t="shared" si="14"/>
        <v>-763953000</v>
      </c>
      <c r="DU17" s="62">
        <f t="shared" si="15"/>
        <v>-204043000</v>
      </c>
      <c r="DV17" s="62">
        <f t="shared" si="16"/>
        <v>771311000</v>
      </c>
      <c r="DW17" s="63">
        <f t="shared" si="17"/>
        <v>7.1673413269158687E-2</v>
      </c>
      <c r="DX17" s="63">
        <f t="shared" si="18"/>
        <v>7.7207110400188989E-2</v>
      </c>
      <c r="DY17" s="64" t="str">
        <f t="shared" si="19"/>
        <v>n.a.</v>
      </c>
      <c r="DZ17" s="64">
        <f t="shared" si="20"/>
        <v>1121200500</v>
      </c>
      <c r="EA17" s="64">
        <f t="shared" si="21"/>
        <v>806538000</v>
      </c>
      <c r="EB17" s="61"/>
      <c r="EC17" s="64">
        <f t="shared" si="22"/>
        <v>7379865000</v>
      </c>
      <c r="ED17" s="64">
        <f t="shared" si="23"/>
        <v>-6107840000</v>
      </c>
      <c r="EE17" s="64">
        <f t="shared" si="24"/>
        <v>-900199000</v>
      </c>
      <c r="EF17" s="64">
        <f t="shared" si="25"/>
        <v>-311052000</v>
      </c>
      <c r="EG17" s="64">
        <f t="shared" si="26"/>
        <v>60774000</v>
      </c>
      <c r="EH17" s="63">
        <f t="shared" si="27"/>
        <v>8.2351099918494437E-3</v>
      </c>
      <c r="EI17" s="57">
        <f t="shared" si="28"/>
        <v>8.3034901465222927E-3</v>
      </c>
      <c r="EJ17" s="64" t="str">
        <f t="shared" si="29"/>
        <v>n.a.</v>
      </c>
      <c r="EK17" s="64">
        <f t="shared" si="30"/>
        <v>914838500</v>
      </c>
      <c r="EL17" s="64">
        <f t="shared" si="31"/>
        <v>1233453500</v>
      </c>
      <c r="EM17" s="61"/>
      <c r="EN17" s="66">
        <f t="shared" si="32"/>
        <v>9722926000</v>
      </c>
      <c r="EO17" s="66">
        <f t="shared" si="32"/>
        <v>-8455141333.333333</v>
      </c>
      <c r="EP17" s="66">
        <f t="shared" si="32"/>
        <v>-746743333.33333337</v>
      </c>
      <c r="EQ17" s="66">
        <f t="shared" si="32"/>
        <v>-267672000</v>
      </c>
      <c r="ER17" s="66">
        <f t="shared" si="33"/>
        <v>253369333.33333361</v>
      </c>
      <c r="ES17" s="63">
        <f t="shared" si="34"/>
        <v>2.6058959343445955E-2</v>
      </c>
      <c r="ET17" s="67">
        <f t="shared" si="35"/>
        <v>2.6756198019829893E-2</v>
      </c>
      <c r="EU17" s="66" t="e">
        <f t="shared" si="36"/>
        <v>#VALUE!</v>
      </c>
      <c r="EV17" s="66">
        <f t="shared" si="37"/>
        <v>1133767833.3333333</v>
      </c>
      <c r="EW17" s="66">
        <f t="shared" si="37"/>
        <v>798866333.33333337</v>
      </c>
      <c r="EX17" s="70"/>
      <c r="EY17" s="71" t="str">
        <f t="shared" si="38"/>
        <v>完整</v>
      </c>
      <c r="EZ17" s="71" t="str">
        <f t="shared" si="39"/>
        <v>完整</v>
      </c>
      <c r="FA17" s="71" t="str">
        <f t="shared" si="40"/>
        <v>完整</v>
      </c>
      <c r="FB17" s="71" t="str">
        <f t="shared" si="41"/>
        <v>选择</v>
      </c>
      <c r="FC17" s="71" t="str">
        <f t="shared" si="42"/>
        <v>选择</v>
      </c>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c r="GM17" s="72"/>
      <c r="GN17" s="72"/>
      <c r="GO17" s="72"/>
      <c r="GP17" s="72"/>
      <c r="GQ17" s="72"/>
      <c r="GR17" s="72"/>
      <c r="GS17" s="72"/>
      <c r="GT17" s="72"/>
      <c r="GU17" s="72"/>
      <c r="GV17" s="72"/>
      <c r="GW17" s="72"/>
      <c r="GX17" s="72"/>
      <c r="GY17" s="72"/>
      <c r="GZ17" s="72"/>
      <c r="HA17" s="72"/>
      <c r="HB17" s="72"/>
      <c r="HC17" s="72"/>
      <c r="HD17" s="72"/>
      <c r="HE17" s="72"/>
      <c r="HF17" s="72"/>
      <c r="HG17" s="72"/>
      <c r="HH17" s="72"/>
      <c r="HI17" s="72"/>
    </row>
    <row r="18" spans="1:217" s="3" customFormat="1" ht="12.75" customHeight="1" x14ac:dyDescent="0.25">
      <c r="A18" s="28" t="s">
        <v>182</v>
      </c>
      <c r="B18" s="134" t="str">
        <f t="shared" si="0"/>
        <v>KOLMAR KOREA CO.,LTD.</v>
      </c>
      <c r="C18" s="29" t="s">
        <v>328</v>
      </c>
      <c r="D18" s="136" t="s">
        <v>309</v>
      </c>
      <c r="E18" s="33"/>
      <c r="F18" s="34"/>
      <c r="H18" s="31" t="str">
        <f t="shared" si="1"/>
        <v xml:space="preserve"> </v>
      </c>
      <c r="I18" s="29"/>
      <c r="J18" s="29" t="str">
        <f>VLOOKUP(Z:Z,'[1]AP 2022'!FD17:FF179,2,FALSE)</f>
        <v>exclude</v>
      </c>
      <c r="K18" s="47" t="str">
        <f>VLOOKUP(Z:Z,'[1]AP 2022'!FD17:FF179,3,0)</f>
        <v>Independence(A+, A, A-, U)</v>
      </c>
      <c r="L18" s="48"/>
      <c r="M18" s="125" t="s">
        <v>456</v>
      </c>
      <c r="N18" s="125" t="s">
        <v>457</v>
      </c>
      <c r="O18" s="125" t="s">
        <v>381</v>
      </c>
      <c r="P18" s="125" t="s">
        <v>458</v>
      </c>
      <c r="Q18" s="124"/>
      <c r="R18" s="125" t="s">
        <v>363</v>
      </c>
      <c r="S18" s="125" t="s">
        <v>459</v>
      </c>
      <c r="T18" s="125" t="s">
        <v>365</v>
      </c>
      <c r="U18" s="125" t="s">
        <v>321</v>
      </c>
      <c r="V18" s="125" t="s">
        <v>460</v>
      </c>
      <c r="W18" s="125" t="s">
        <v>461</v>
      </c>
      <c r="X18" s="124"/>
      <c r="Y18" s="124"/>
      <c r="Z18" s="125" t="s">
        <v>462</v>
      </c>
      <c r="AA18" s="128">
        <v>1865731523000</v>
      </c>
      <c r="AB18" s="128">
        <v>1586332710000</v>
      </c>
      <c r="AC18" s="128">
        <v>1322081318000</v>
      </c>
      <c r="AD18" s="128">
        <v>1378886358000</v>
      </c>
      <c r="AE18" s="128">
        <v>1865731523000</v>
      </c>
      <c r="AF18" s="128">
        <v>1586332710000</v>
      </c>
      <c r="AG18" s="128">
        <v>1322081318000</v>
      </c>
      <c r="AH18" s="128">
        <v>1378886358000</v>
      </c>
      <c r="AI18" s="125" t="s">
        <v>340</v>
      </c>
      <c r="AJ18" s="125" t="s">
        <v>340</v>
      </c>
      <c r="AK18" s="125" t="s">
        <v>340</v>
      </c>
      <c r="AL18" s="125" t="s">
        <v>340</v>
      </c>
      <c r="AM18" s="128">
        <v>1865731523000</v>
      </c>
      <c r="AN18" s="128">
        <v>1586332710000</v>
      </c>
      <c r="AO18" s="128">
        <v>1322081318000</v>
      </c>
      <c r="AP18" s="128">
        <v>1378886358000</v>
      </c>
      <c r="AQ18" s="125" t="s">
        <v>340</v>
      </c>
      <c r="AR18" s="125" t="s">
        <v>340</v>
      </c>
      <c r="AS18" s="125" t="s">
        <v>340</v>
      </c>
      <c r="AT18" s="125" t="s">
        <v>340</v>
      </c>
      <c r="AU18" s="128">
        <v>-1396896252000</v>
      </c>
      <c r="AV18" s="128">
        <v>-1158199758000</v>
      </c>
      <c r="AW18" s="128">
        <v>-895784181000</v>
      </c>
      <c r="AX18" s="128">
        <v>-982756835000</v>
      </c>
      <c r="AY18" s="128">
        <v>-24672718000</v>
      </c>
      <c r="AZ18" s="128">
        <v>-19926764000</v>
      </c>
      <c r="BA18" s="128">
        <v>-18926076000</v>
      </c>
      <c r="BB18" s="128">
        <v>-17207672000</v>
      </c>
      <c r="BC18" s="128">
        <v>-342115899000</v>
      </c>
      <c r="BD18" s="128">
        <v>-298835162000</v>
      </c>
      <c r="BE18" s="128">
        <v>-260899217000</v>
      </c>
      <c r="BF18" s="128">
        <v>-255245637000</v>
      </c>
      <c r="BG18" s="128">
        <v>102046654000</v>
      </c>
      <c r="BH18" s="128">
        <v>109371026000</v>
      </c>
      <c r="BI18" s="128">
        <v>146471844000</v>
      </c>
      <c r="BJ18" s="128">
        <v>123676214000</v>
      </c>
      <c r="BK18" s="128">
        <v>-28766213000</v>
      </c>
      <c r="BL18" s="128">
        <v>-25103473000</v>
      </c>
      <c r="BM18" s="128">
        <v>-24792717000</v>
      </c>
      <c r="BN18" s="128">
        <v>-23843988000</v>
      </c>
      <c r="BO18" s="128">
        <v>-15085896000</v>
      </c>
      <c r="BP18" s="128">
        <v>-13343147000</v>
      </c>
      <c r="BQ18" s="128">
        <v>-12034318000</v>
      </c>
      <c r="BR18" s="128">
        <v>-9424877000</v>
      </c>
      <c r="BS18" s="128">
        <v>-13680317000</v>
      </c>
      <c r="BT18" s="128">
        <v>-11760326000</v>
      </c>
      <c r="BU18" s="128">
        <v>-12758399000</v>
      </c>
      <c r="BV18" s="128">
        <v>-14419111000</v>
      </c>
      <c r="BW18" s="128">
        <v>-21981309000</v>
      </c>
      <c r="BX18" s="128">
        <v>35811331000</v>
      </c>
      <c r="BY18" s="128">
        <v>160269947000</v>
      </c>
      <c r="BZ18" s="128">
        <v>29057852000</v>
      </c>
      <c r="CA18" s="128">
        <v>816296193000</v>
      </c>
      <c r="CB18" s="128">
        <v>882876430000</v>
      </c>
      <c r="CC18" s="128">
        <v>775228937000</v>
      </c>
      <c r="CD18" s="128">
        <v>646020460000</v>
      </c>
      <c r="CE18" s="128">
        <v>239404825000</v>
      </c>
      <c r="CF18" s="128">
        <v>210170703000</v>
      </c>
      <c r="CG18" s="128">
        <v>148592292000</v>
      </c>
      <c r="CH18" s="128">
        <v>160663175000</v>
      </c>
      <c r="CI18" s="128">
        <v>260677794000</v>
      </c>
      <c r="CJ18" s="128">
        <v>230106583000</v>
      </c>
      <c r="CK18" s="128">
        <v>221831717000</v>
      </c>
      <c r="CL18" s="128">
        <v>230421095000</v>
      </c>
      <c r="CM18" s="128">
        <v>77899293000</v>
      </c>
      <c r="CN18" s="128">
        <v>142674611000</v>
      </c>
      <c r="CO18" s="128">
        <v>7545774000</v>
      </c>
      <c r="CP18" s="128">
        <v>17998129000</v>
      </c>
      <c r="CQ18" s="128">
        <v>225692654000</v>
      </c>
      <c r="CR18" s="128">
        <v>282476526000</v>
      </c>
      <c r="CS18" s="128">
        <v>377170647000</v>
      </c>
      <c r="CT18" s="128">
        <v>217711016000</v>
      </c>
      <c r="CU18" s="128">
        <v>5619271000</v>
      </c>
      <c r="CV18" s="128">
        <v>91257162000</v>
      </c>
      <c r="CW18" s="125" t="s">
        <v>340</v>
      </c>
      <c r="CX18" s="128">
        <v>99097101000</v>
      </c>
      <c r="CY18" s="128">
        <v>258949699000</v>
      </c>
      <c r="CZ18" s="128">
        <v>145018320000</v>
      </c>
      <c r="DA18" s="128">
        <v>205826638000</v>
      </c>
      <c r="DB18" s="128">
        <v>159740739000</v>
      </c>
      <c r="DC18" s="128">
        <v>2933309479000</v>
      </c>
      <c r="DD18" s="128">
        <v>2606037352000</v>
      </c>
      <c r="DE18" s="128">
        <v>2489599417000</v>
      </c>
      <c r="DF18" s="128">
        <v>2400309459000</v>
      </c>
      <c r="DG18" s="16">
        <f t="shared" si="2"/>
        <v>1865731523000</v>
      </c>
      <c r="DH18" s="16">
        <f t="shared" si="3"/>
        <v>-1396896252000</v>
      </c>
      <c r="DI18" s="16">
        <f t="shared" si="4"/>
        <v>-366788617000</v>
      </c>
      <c r="DJ18" s="16">
        <f t="shared" si="5"/>
        <v>-28766213000</v>
      </c>
      <c r="DK18" s="16">
        <f t="shared" si="6"/>
        <v>73280441000</v>
      </c>
      <c r="DL18" s="57">
        <f t="shared" si="7"/>
        <v>3.9277055726736523E-2</v>
      </c>
      <c r="DM18" s="57">
        <f t="shared" si="8"/>
        <v>4.0882812220590349E-2</v>
      </c>
      <c r="DN18" s="58">
        <f t="shared" si="9"/>
        <v>-24672718000</v>
      </c>
      <c r="DO18" s="16">
        <f t="shared" si="10"/>
        <v>224787764000</v>
      </c>
      <c r="DP18" s="16">
        <f t="shared" si="11"/>
        <v>201984009500</v>
      </c>
      <c r="DQ18" s="61"/>
      <c r="DR18" s="62">
        <f t="shared" si="12"/>
        <v>1586332710000</v>
      </c>
      <c r="DS18" s="62">
        <f t="shared" si="13"/>
        <v>-1158199758000</v>
      </c>
      <c r="DT18" s="62">
        <f t="shared" si="14"/>
        <v>-318761926000</v>
      </c>
      <c r="DU18" s="62">
        <f t="shared" si="15"/>
        <v>-25103473000</v>
      </c>
      <c r="DV18" s="62">
        <f t="shared" si="16"/>
        <v>84267553000</v>
      </c>
      <c r="DW18" s="63">
        <f t="shared" si="17"/>
        <v>5.3120983050270708E-2</v>
      </c>
      <c r="DX18" s="63">
        <f t="shared" si="18"/>
        <v>5.6101130238786309E-2</v>
      </c>
      <c r="DY18" s="64">
        <f t="shared" si="19"/>
        <v>-19926764000</v>
      </c>
      <c r="DZ18" s="64">
        <f t="shared" si="20"/>
        <v>179381497500</v>
      </c>
      <c r="EA18" s="64">
        <f t="shared" si="21"/>
        <v>175422479000</v>
      </c>
      <c r="EB18" s="61"/>
      <c r="EC18" s="64">
        <f t="shared" si="22"/>
        <v>1322081318000</v>
      </c>
      <c r="ED18" s="64">
        <f t="shared" si="23"/>
        <v>-895784181000</v>
      </c>
      <c r="EE18" s="64">
        <f t="shared" si="24"/>
        <v>-279825293000</v>
      </c>
      <c r="EF18" s="64">
        <f t="shared" si="25"/>
        <v>-24792717000</v>
      </c>
      <c r="EG18" s="64">
        <f t="shared" si="26"/>
        <v>121679127000</v>
      </c>
      <c r="EH18" s="63">
        <f t="shared" si="27"/>
        <v>9.2036038436782444E-2</v>
      </c>
      <c r="EI18" s="57">
        <f t="shared" si="28"/>
        <v>0.1013652989908613</v>
      </c>
      <c r="EJ18" s="64">
        <f t="shared" si="29"/>
        <v>-18926076000</v>
      </c>
      <c r="EK18" s="64">
        <f t="shared" si="30"/>
        <v>154627733500</v>
      </c>
      <c r="EL18" s="64">
        <f t="shared" si="31"/>
        <v>182783688500</v>
      </c>
      <c r="EM18" s="61"/>
      <c r="EN18" s="66">
        <f t="shared" si="32"/>
        <v>1591381850333.3333</v>
      </c>
      <c r="EO18" s="66">
        <f t="shared" si="32"/>
        <v>-1150293397000</v>
      </c>
      <c r="EP18" s="66">
        <f t="shared" si="32"/>
        <v>-321791945333.33331</v>
      </c>
      <c r="EQ18" s="66">
        <f t="shared" si="32"/>
        <v>-26220801000</v>
      </c>
      <c r="ER18" s="66">
        <f t="shared" si="33"/>
        <v>93075706999.999939</v>
      </c>
      <c r="ES18" s="63">
        <f t="shared" si="34"/>
        <v>5.848734983404779E-2</v>
      </c>
      <c r="ET18" s="67">
        <f t="shared" si="35"/>
        <v>6.2120620284537582E-2</v>
      </c>
      <c r="EU18" s="66">
        <f t="shared" si="36"/>
        <v>21175186000</v>
      </c>
      <c r="EV18" s="66">
        <f t="shared" si="37"/>
        <v>186265665000</v>
      </c>
      <c r="EW18" s="66">
        <f t="shared" si="37"/>
        <v>186730059000</v>
      </c>
      <c r="EX18" s="70"/>
      <c r="EY18" s="71" t="str">
        <f t="shared" si="38"/>
        <v>完整</v>
      </c>
      <c r="EZ18" s="71" t="str">
        <f t="shared" si="39"/>
        <v>完整</v>
      </c>
      <c r="FA18" s="71" t="str">
        <f t="shared" si="40"/>
        <v>完整</v>
      </c>
      <c r="FB18" s="71" t="str">
        <f t="shared" si="41"/>
        <v>选择</v>
      </c>
      <c r="FC18" s="71" t="str">
        <f t="shared" si="42"/>
        <v>选择</v>
      </c>
    </row>
    <row r="19" spans="1:217" s="3" customFormat="1" ht="12.75" customHeight="1" x14ac:dyDescent="0.25">
      <c r="A19" s="28" t="s">
        <v>183</v>
      </c>
      <c r="B19" s="134" t="str">
        <f t="shared" si="0"/>
        <v>COSMAX INC.</v>
      </c>
      <c r="C19" s="29" t="s">
        <v>328</v>
      </c>
      <c r="D19" s="136" t="s">
        <v>309</v>
      </c>
      <c r="E19" s="33"/>
      <c r="H19" s="31" t="str">
        <f t="shared" si="1"/>
        <v xml:space="preserve"> </v>
      </c>
      <c r="I19" s="29"/>
      <c r="J19" s="29" t="e">
        <f>VLOOKUP(Z:Z,'[1]AP 2022'!FD18:FF180,2,FALSE)</f>
        <v>#N/A</v>
      </c>
      <c r="K19" s="47" t="e">
        <f>VLOOKUP(Z:Z,'[1]AP 2022'!FD18:FF180,3,0)</f>
        <v>#N/A</v>
      </c>
      <c r="L19" s="48"/>
      <c r="M19" s="125" t="s">
        <v>463</v>
      </c>
      <c r="N19" s="125" t="s">
        <v>464</v>
      </c>
      <c r="O19" s="125" t="s">
        <v>331</v>
      </c>
      <c r="P19" s="125" t="s">
        <v>465</v>
      </c>
      <c r="Q19" s="124"/>
      <c r="R19" s="125" t="s">
        <v>363</v>
      </c>
      <c r="S19" s="125" t="s">
        <v>466</v>
      </c>
      <c r="T19" s="125" t="s">
        <v>365</v>
      </c>
      <c r="U19" s="125" t="s">
        <v>321</v>
      </c>
      <c r="V19" s="125" t="s">
        <v>467</v>
      </c>
      <c r="W19" s="125" t="s">
        <v>468</v>
      </c>
      <c r="X19" s="124"/>
      <c r="Y19" s="124"/>
      <c r="Z19" s="125" t="s">
        <v>469</v>
      </c>
      <c r="AA19" s="128">
        <v>1600125770000</v>
      </c>
      <c r="AB19" s="128">
        <v>1591487622000</v>
      </c>
      <c r="AC19" s="128">
        <v>1382880689000</v>
      </c>
      <c r="AD19" s="128">
        <v>1330652929000</v>
      </c>
      <c r="AE19" s="128">
        <v>1600125770000</v>
      </c>
      <c r="AF19" s="128">
        <v>1591487622000</v>
      </c>
      <c r="AG19" s="128">
        <v>1382880689000</v>
      </c>
      <c r="AH19" s="128">
        <v>1330652929000</v>
      </c>
      <c r="AI19" s="125" t="s">
        <v>340</v>
      </c>
      <c r="AJ19" s="125" t="s">
        <v>340</v>
      </c>
      <c r="AK19" s="125" t="s">
        <v>340</v>
      </c>
      <c r="AL19" s="125" t="s">
        <v>340</v>
      </c>
      <c r="AM19" s="128">
        <v>1600125770000</v>
      </c>
      <c r="AN19" s="128">
        <v>1591487622000</v>
      </c>
      <c r="AO19" s="128">
        <v>1382880689000</v>
      </c>
      <c r="AP19" s="128">
        <v>1330652929000</v>
      </c>
      <c r="AQ19" s="125" t="s">
        <v>340</v>
      </c>
      <c r="AR19" s="125" t="s">
        <v>340</v>
      </c>
      <c r="AS19" s="125" t="s">
        <v>340</v>
      </c>
      <c r="AT19" s="125" t="s">
        <v>340</v>
      </c>
      <c r="AU19" s="128">
        <v>-1394855820000</v>
      </c>
      <c r="AV19" s="128">
        <v>-1313976468000</v>
      </c>
      <c r="AW19" s="128">
        <v>-1172041395000</v>
      </c>
      <c r="AX19" s="128">
        <v>-1147183005000</v>
      </c>
      <c r="AY19" s="125" t="s">
        <v>340</v>
      </c>
      <c r="AZ19" s="125" t="s">
        <v>340</v>
      </c>
      <c r="BA19" s="125" t="s">
        <v>340</v>
      </c>
      <c r="BB19" s="128">
        <v>-910000</v>
      </c>
      <c r="BC19" s="128">
        <v>-141038786000</v>
      </c>
      <c r="BD19" s="128">
        <v>-146654235000</v>
      </c>
      <c r="BE19" s="128">
        <v>-137779389000</v>
      </c>
      <c r="BF19" s="128">
        <v>-123944747000</v>
      </c>
      <c r="BG19" s="128">
        <v>64231164000</v>
      </c>
      <c r="BH19" s="128">
        <v>130856919000</v>
      </c>
      <c r="BI19" s="128">
        <v>73059905000</v>
      </c>
      <c r="BJ19" s="128">
        <v>59524267000.000099</v>
      </c>
      <c r="BK19" s="128">
        <v>-11130310000</v>
      </c>
      <c r="BL19" s="128">
        <v>-8257008000</v>
      </c>
      <c r="BM19" s="128">
        <v>-6418477000</v>
      </c>
      <c r="BN19" s="128">
        <v>-5529130000</v>
      </c>
      <c r="BO19" s="128">
        <v>-7412501000</v>
      </c>
      <c r="BP19" s="128">
        <v>-5296437000</v>
      </c>
      <c r="BQ19" s="128">
        <v>-4434361000</v>
      </c>
      <c r="BR19" s="128">
        <v>-3892070000</v>
      </c>
      <c r="BS19" s="128">
        <v>-3717809000</v>
      </c>
      <c r="BT19" s="128">
        <v>-2960571000</v>
      </c>
      <c r="BU19" s="128">
        <v>-1984116000</v>
      </c>
      <c r="BV19" s="128">
        <v>-1637060000</v>
      </c>
      <c r="BW19" s="128">
        <v>20847691000</v>
      </c>
      <c r="BX19" s="128">
        <v>74435536000</v>
      </c>
      <c r="BY19" s="128">
        <v>21378297000</v>
      </c>
      <c r="BZ19" s="128">
        <v>31823144000</v>
      </c>
      <c r="CA19" s="128">
        <v>737152719000</v>
      </c>
      <c r="CB19" s="128">
        <v>792234583000</v>
      </c>
      <c r="CC19" s="128">
        <v>622616678000</v>
      </c>
      <c r="CD19" s="128">
        <v>618284149000</v>
      </c>
      <c r="CE19" s="128">
        <v>202277825000</v>
      </c>
      <c r="CF19" s="128">
        <v>223572134000</v>
      </c>
      <c r="CG19" s="128">
        <v>193315147000</v>
      </c>
      <c r="CH19" s="128">
        <v>208921488000</v>
      </c>
      <c r="CI19" s="128">
        <v>317360569000</v>
      </c>
      <c r="CJ19" s="128">
        <v>362919412000</v>
      </c>
      <c r="CK19" s="128">
        <v>305832486000</v>
      </c>
      <c r="CL19" s="128">
        <v>317735160000</v>
      </c>
      <c r="CM19" s="128">
        <v>24220875000</v>
      </c>
      <c r="CN19" s="128">
        <v>4507536000</v>
      </c>
      <c r="CO19" s="128">
        <v>4684450000</v>
      </c>
      <c r="CP19" s="128">
        <v>2812115000</v>
      </c>
      <c r="CQ19" s="128">
        <v>175453921000</v>
      </c>
      <c r="CR19" s="128">
        <v>181533520000</v>
      </c>
      <c r="CS19" s="128">
        <v>102513996000</v>
      </c>
      <c r="CT19" s="128">
        <v>76558221000</v>
      </c>
      <c r="CU19" s="128">
        <v>6337954000</v>
      </c>
      <c r="CV19" s="128">
        <v>81699800000</v>
      </c>
      <c r="CW19" s="125" t="s">
        <v>340</v>
      </c>
      <c r="CX19" s="125" t="s">
        <v>340</v>
      </c>
      <c r="CY19" s="128">
        <v>44000142000</v>
      </c>
      <c r="CZ19" s="128">
        <v>18034813000</v>
      </c>
      <c r="DA19" s="128">
        <v>19387335000</v>
      </c>
      <c r="DB19" s="128">
        <v>16041793000</v>
      </c>
      <c r="DC19" s="128">
        <v>1396450505000</v>
      </c>
      <c r="DD19" s="128">
        <v>1411928776000</v>
      </c>
      <c r="DE19" s="128">
        <v>1189042898000</v>
      </c>
      <c r="DF19" s="128">
        <v>1204354193000</v>
      </c>
      <c r="DG19" s="16">
        <f t="shared" si="2"/>
        <v>1600125770000</v>
      </c>
      <c r="DH19" s="16">
        <f t="shared" si="3"/>
        <v>-1394855820000</v>
      </c>
      <c r="DI19" s="16">
        <f t="shared" si="4"/>
        <v>-141038786000</v>
      </c>
      <c r="DJ19" s="16">
        <f t="shared" si="5"/>
        <v>-11130310000</v>
      </c>
      <c r="DK19" s="16">
        <f t="shared" si="6"/>
        <v>53100854000</v>
      </c>
      <c r="DL19" s="57">
        <f t="shared" si="7"/>
        <v>3.3185425168172876E-2</v>
      </c>
      <c r="DM19" s="57">
        <f t="shared" si="8"/>
        <v>3.432449823581251E-2</v>
      </c>
      <c r="DN19" s="58" t="str">
        <f t="shared" si="9"/>
        <v>n.a.</v>
      </c>
      <c r="DO19" s="16">
        <f t="shared" si="10"/>
        <v>212924979500</v>
      </c>
      <c r="DP19" s="16">
        <f t="shared" si="11"/>
        <v>31017477500</v>
      </c>
      <c r="DQ19" s="61"/>
      <c r="DR19" s="62">
        <f t="shared" si="12"/>
        <v>1591487622000</v>
      </c>
      <c r="DS19" s="62">
        <f t="shared" si="13"/>
        <v>-1313976468000</v>
      </c>
      <c r="DT19" s="62">
        <f t="shared" si="14"/>
        <v>-146654235000</v>
      </c>
      <c r="DU19" s="62">
        <f t="shared" si="15"/>
        <v>-8257008000</v>
      </c>
      <c r="DV19" s="62">
        <f t="shared" si="16"/>
        <v>122599911000</v>
      </c>
      <c r="DW19" s="63">
        <f t="shared" si="17"/>
        <v>7.7034787644738589E-2</v>
      </c>
      <c r="DX19" s="63">
        <f t="shared" si="18"/>
        <v>8.3464454145739664E-2</v>
      </c>
      <c r="DY19" s="64" t="str">
        <f t="shared" si="19"/>
        <v>n.a.</v>
      </c>
      <c r="DZ19" s="64">
        <f t="shared" si="20"/>
        <v>208443640500</v>
      </c>
      <c r="EA19" s="64">
        <f t="shared" si="21"/>
        <v>18711074000</v>
      </c>
      <c r="EB19" s="61"/>
      <c r="EC19" s="64">
        <f t="shared" si="22"/>
        <v>1382880689000</v>
      </c>
      <c r="ED19" s="64">
        <f t="shared" si="23"/>
        <v>-1172041395000</v>
      </c>
      <c r="EE19" s="64">
        <f t="shared" si="24"/>
        <v>-137779389000</v>
      </c>
      <c r="EF19" s="64">
        <f t="shared" si="25"/>
        <v>-6418477000</v>
      </c>
      <c r="EG19" s="64">
        <f t="shared" si="26"/>
        <v>66641428000</v>
      </c>
      <c r="EH19" s="63">
        <f t="shared" si="27"/>
        <v>4.8190294744943102E-2</v>
      </c>
      <c r="EI19" s="57">
        <f t="shared" si="28"/>
        <v>5.0630177943005457E-2</v>
      </c>
      <c r="EJ19" s="64" t="str">
        <f t="shared" si="29"/>
        <v>n.a.</v>
      </c>
      <c r="EK19" s="64">
        <f t="shared" si="30"/>
        <v>201118317500</v>
      </c>
      <c r="EL19" s="64">
        <f t="shared" si="31"/>
        <v>17714564000</v>
      </c>
      <c r="EM19" s="61"/>
      <c r="EN19" s="66">
        <f t="shared" si="32"/>
        <v>1524831360333.3333</v>
      </c>
      <c r="EO19" s="66">
        <f t="shared" si="32"/>
        <v>-1293624561000</v>
      </c>
      <c r="EP19" s="66">
        <f t="shared" si="32"/>
        <v>-141824136666.66666</v>
      </c>
      <c r="EQ19" s="66">
        <f t="shared" si="32"/>
        <v>-8601931666.666666</v>
      </c>
      <c r="ER19" s="66">
        <f t="shared" si="33"/>
        <v>80780730999.999924</v>
      </c>
      <c r="ES19" s="63">
        <f t="shared" si="34"/>
        <v>5.2976829504831922E-2</v>
      </c>
      <c r="ET19" s="67">
        <f t="shared" si="35"/>
        <v>5.5940373113713818E-2</v>
      </c>
      <c r="EU19" s="66" t="e">
        <f t="shared" si="36"/>
        <v>#VALUE!</v>
      </c>
      <c r="EV19" s="66">
        <f t="shared" si="37"/>
        <v>207495645833.33334</v>
      </c>
      <c r="EW19" s="66">
        <f t="shared" si="37"/>
        <v>22481038500</v>
      </c>
      <c r="EX19" s="70"/>
      <c r="EY19" s="71" t="str">
        <f t="shared" si="38"/>
        <v>完整</v>
      </c>
      <c r="EZ19" s="71" t="str">
        <f t="shared" si="39"/>
        <v>完整</v>
      </c>
      <c r="FA19" s="71" t="str">
        <f t="shared" si="40"/>
        <v>完整</v>
      </c>
      <c r="FB19" s="71" t="str">
        <f t="shared" si="41"/>
        <v>选择</v>
      </c>
      <c r="FC19" s="71" t="str">
        <f t="shared" si="42"/>
        <v>选择</v>
      </c>
    </row>
    <row r="20" spans="1:217" s="3" customFormat="1" ht="12.75" customHeight="1" x14ac:dyDescent="0.25">
      <c r="A20" s="28" t="s">
        <v>184</v>
      </c>
      <c r="B20" s="134" t="str">
        <f t="shared" si="0"/>
        <v>MARICO LIMITED</v>
      </c>
      <c r="C20" s="29" t="s">
        <v>328</v>
      </c>
      <c r="D20" s="135" t="s">
        <v>312</v>
      </c>
      <c r="E20" s="29"/>
      <c r="F20" s="135"/>
      <c r="H20" s="31" t="str">
        <f t="shared" si="1"/>
        <v xml:space="preserve"> </v>
      </c>
      <c r="I20" s="29"/>
      <c r="J20" s="29" t="str">
        <f>VLOOKUP(Z:Z,'[1]AP 2022'!FD19:FF181,2,FALSE)</f>
        <v>exclude</v>
      </c>
      <c r="K20" s="47" t="str">
        <f>VLOOKUP(Z:Z,'[1]AP 2022'!FD19:FF181,3,0)</f>
        <v>lev SDA/SDP</v>
      </c>
      <c r="L20" s="48"/>
      <c r="M20" s="125" t="s">
        <v>470</v>
      </c>
      <c r="N20" s="125" t="s">
        <v>471</v>
      </c>
      <c r="O20" s="125" t="s">
        <v>381</v>
      </c>
      <c r="P20" s="125" t="s">
        <v>472</v>
      </c>
      <c r="Q20" s="124"/>
      <c r="R20" s="125" t="s">
        <v>353</v>
      </c>
      <c r="S20" s="125" t="s">
        <v>473</v>
      </c>
      <c r="T20" s="125" t="s">
        <v>335</v>
      </c>
      <c r="U20" s="125" t="s">
        <v>321</v>
      </c>
      <c r="V20" s="125" t="s">
        <v>474</v>
      </c>
      <c r="W20" s="125" t="s">
        <v>475</v>
      </c>
      <c r="X20" s="125" t="s">
        <v>476</v>
      </c>
      <c r="Y20" s="125" t="s">
        <v>477</v>
      </c>
      <c r="Z20" s="125" t="s">
        <v>478</v>
      </c>
      <c r="AA20" s="128">
        <v>97770000000</v>
      </c>
      <c r="AB20" s="128">
        <v>95240000000</v>
      </c>
      <c r="AC20" s="128">
        <v>80530000000</v>
      </c>
      <c r="AD20" s="128">
        <v>73210000000</v>
      </c>
      <c r="AE20" s="128">
        <v>109490000000</v>
      </c>
      <c r="AF20" s="128">
        <v>104890000000</v>
      </c>
      <c r="AG20" s="128">
        <v>87920000000</v>
      </c>
      <c r="AH20" s="128">
        <v>79960000000</v>
      </c>
      <c r="AI20" s="128">
        <v>-12600000000</v>
      </c>
      <c r="AJ20" s="128">
        <v>-10370000000</v>
      </c>
      <c r="AK20" s="128">
        <v>-8010000000</v>
      </c>
      <c r="AL20" s="128">
        <v>-7420000000</v>
      </c>
      <c r="AM20" s="128">
        <v>96890000000</v>
      </c>
      <c r="AN20" s="128">
        <v>94520000000</v>
      </c>
      <c r="AO20" s="128">
        <v>79910000000</v>
      </c>
      <c r="AP20" s="128">
        <v>72540000000</v>
      </c>
      <c r="AQ20" s="128">
        <v>880000000</v>
      </c>
      <c r="AR20" s="128">
        <v>720000000</v>
      </c>
      <c r="AS20" s="128">
        <v>620000000</v>
      </c>
      <c r="AT20" s="128">
        <v>670000000</v>
      </c>
      <c r="AU20" s="128">
        <v>-53710000000</v>
      </c>
      <c r="AV20" s="128">
        <v>-54540000000</v>
      </c>
      <c r="AW20" s="128">
        <v>-42880000000</v>
      </c>
      <c r="AX20" s="128">
        <v>-37640000000</v>
      </c>
      <c r="AY20" s="128">
        <v>-32380000000</v>
      </c>
      <c r="AZ20" s="128">
        <v>-295800000</v>
      </c>
      <c r="BA20" s="128">
        <v>-296700000</v>
      </c>
      <c r="BB20" s="128">
        <v>-314700000</v>
      </c>
      <c r="BC20" s="128">
        <v>6550000000</v>
      </c>
      <c r="BD20" s="128">
        <v>-23474200000</v>
      </c>
      <c r="BE20" s="128">
        <v>-21363300000</v>
      </c>
      <c r="BF20" s="128">
        <v>-20535300000</v>
      </c>
      <c r="BG20" s="128">
        <v>18230000000</v>
      </c>
      <c r="BH20" s="128">
        <v>16930000000</v>
      </c>
      <c r="BI20" s="128">
        <v>15990000000</v>
      </c>
      <c r="BJ20" s="128">
        <v>14720000000</v>
      </c>
      <c r="BK20" s="128">
        <v>-1550000000</v>
      </c>
      <c r="BL20" s="128">
        <v>-1390000000</v>
      </c>
      <c r="BM20" s="128">
        <v>-1390000000</v>
      </c>
      <c r="BN20" s="128">
        <v>-1400000000</v>
      </c>
      <c r="BO20" s="128">
        <v>-1470000000</v>
      </c>
      <c r="BP20" s="128">
        <v>-1320000000</v>
      </c>
      <c r="BQ20" s="128">
        <v>-1330000000</v>
      </c>
      <c r="BR20" s="128">
        <v>-1370000000</v>
      </c>
      <c r="BS20" s="128">
        <v>-80000000</v>
      </c>
      <c r="BT20" s="128">
        <v>-70000000</v>
      </c>
      <c r="BU20" s="128">
        <v>-60000000</v>
      </c>
      <c r="BV20" s="128">
        <v>-30000000</v>
      </c>
      <c r="BW20" s="128">
        <v>13020000000</v>
      </c>
      <c r="BX20" s="128">
        <v>12250000000</v>
      </c>
      <c r="BY20" s="128">
        <v>11720000000</v>
      </c>
      <c r="BZ20" s="128">
        <v>10210000000</v>
      </c>
      <c r="CA20" s="128">
        <v>38200000000</v>
      </c>
      <c r="CB20" s="128">
        <v>35050000000</v>
      </c>
      <c r="CC20" s="128">
        <v>33360000000</v>
      </c>
      <c r="CD20" s="128">
        <v>31480000000</v>
      </c>
      <c r="CE20" s="128">
        <v>12250000000</v>
      </c>
      <c r="CF20" s="128">
        <v>14120000000</v>
      </c>
      <c r="CG20" s="128">
        <v>11260000000</v>
      </c>
      <c r="CH20" s="128">
        <v>13800000000</v>
      </c>
      <c r="CI20" s="128">
        <v>10150000000</v>
      </c>
      <c r="CJ20" s="128">
        <v>6520000000</v>
      </c>
      <c r="CK20" s="128">
        <v>3880000000</v>
      </c>
      <c r="CL20" s="128">
        <v>5390000000</v>
      </c>
      <c r="CM20" s="128">
        <v>1380000000</v>
      </c>
      <c r="CN20" s="128">
        <v>1320000000</v>
      </c>
      <c r="CO20" s="128">
        <v>1550000000</v>
      </c>
      <c r="CP20" s="128">
        <v>2300000000</v>
      </c>
      <c r="CQ20" s="128">
        <v>13360000000</v>
      </c>
      <c r="CR20" s="128">
        <v>12200000000</v>
      </c>
      <c r="CS20" s="128">
        <v>15720000000</v>
      </c>
      <c r="CT20" s="128">
        <v>9070000000</v>
      </c>
      <c r="CU20" s="128">
        <v>5800000000</v>
      </c>
      <c r="CV20" s="128">
        <v>6410000000</v>
      </c>
      <c r="CW20" s="128">
        <v>6280000000</v>
      </c>
      <c r="CX20" s="128">
        <v>6280000000</v>
      </c>
      <c r="CY20" s="128">
        <v>1350000000</v>
      </c>
      <c r="CZ20" s="128">
        <v>1010000000</v>
      </c>
      <c r="DA20" s="128">
        <v>790000000</v>
      </c>
      <c r="DB20" s="128">
        <v>1060000000</v>
      </c>
      <c r="DC20" s="128">
        <v>69460000000</v>
      </c>
      <c r="DD20" s="128">
        <v>57860000000</v>
      </c>
      <c r="DE20" s="128">
        <v>55100000000</v>
      </c>
      <c r="DF20" s="128">
        <v>49700000000</v>
      </c>
      <c r="DG20" s="16">
        <f t="shared" si="2"/>
        <v>96890000000</v>
      </c>
      <c r="DH20" s="16">
        <f t="shared" si="3"/>
        <v>-53710000000</v>
      </c>
      <c r="DI20" s="16">
        <f t="shared" si="4"/>
        <v>-25830000000</v>
      </c>
      <c r="DJ20" s="16">
        <f t="shared" si="5"/>
        <v>-1550000000</v>
      </c>
      <c r="DK20" s="16">
        <f t="shared" si="6"/>
        <v>15800000000</v>
      </c>
      <c r="DL20" s="57">
        <f t="shared" si="7"/>
        <v>0.16307152440912376</v>
      </c>
      <c r="DM20" s="57">
        <f t="shared" si="8"/>
        <v>0.19484523369096066</v>
      </c>
      <c r="DN20" s="58">
        <f t="shared" si="9"/>
        <v>-32380000000</v>
      </c>
      <c r="DO20" s="16">
        <f t="shared" si="10"/>
        <v>13185000000</v>
      </c>
      <c r="DP20" s="16">
        <f t="shared" si="11"/>
        <v>1180000000</v>
      </c>
      <c r="DQ20" s="61"/>
      <c r="DR20" s="62">
        <f t="shared" si="12"/>
        <v>94520000000</v>
      </c>
      <c r="DS20" s="62">
        <f t="shared" si="13"/>
        <v>-54540000000</v>
      </c>
      <c r="DT20" s="62">
        <f t="shared" si="14"/>
        <v>-23770000000</v>
      </c>
      <c r="DU20" s="62">
        <f t="shared" si="15"/>
        <v>-1390000000</v>
      </c>
      <c r="DV20" s="62">
        <f t="shared" si="16"/>
        <v>14820000000</v>
      </c>
      <c r="DW20" s="63">
        <f t="shared" si="17"/>
        <v>0.15679221328819298</v>
      </c>
      <c r="DX20" s="63">
        <f t="shared" si="18"/>
        <v>0.18594730238393978</v>
      </c>
      <c r="DY20" s="64">
        <f t="shared" si="19"/>
        <v>-295800000</v>
      </c>
      <c r="DZ20" s="64">
        <f t="shared" si="20"/>
        <v>12690000000</v>
      </c>
      <c r="EA20" s="64">
        <f t="shared" si="21"/>
        <v>900000000</v>
      </c>
      <c r="EB20" s="61"/>
      <c r="EC20" s="64">
        <f t="shared" si="22"/>
        <v>79910000000</v>
      </c>
      <c r="ED20" s="64">
        <f t="shared" si="23"/>
        <v>-42880000000</v>
      </c>
      <c r="EE20" s="64">
        <f t="shared" si="24"/>
        <v>-21660000000</v>
      </c>
      <c r="EF20" s="64">
        <f t="shared" si="25"/>
        <v>-1390000000</v>
      </c>
      <c r="EG20" s="64">
        <f t="shared" si="26"/>
        <v>13980000000</v>
      </c>
      <c r="EH20" s="63">
        <f t="shared" si="27"/>
        <v>0.17494681516706295</v>
      </c>
      <c r="EI20" s="57">
        <f t="shared" si="28"/>
        <v>0.21204307598968603</v>
      </c>
      <c r="EJ20" s="64">
        <f t="shared" si="29"/>
        <v>-296700000</v>
      </c>
      <c r="EK20" s="64">
        <f t="shared" si="30"/>
        <v>12530000000</v>
      </c>
      <c r="EL20" s="64">
        <f t="shared" si="31"/>
        <v>925000000</v>
      </c>
      <c r="EM20" s="61"/>
      <c r="EN20" s="66">
        <f t="shared" si="32"/>
        <v>90440000000</v>
      </c>
      <c r="EO20" s="66">
        <f t="shared" si="32"/>
        <v>-50376666666.666664</v>
      </c>
      <c r="EP20" s="66">
        <f t="shared" si="32"/>
        <v>-23753333333.333332</v>
      </c>
      <c r="EQ20" s="66">
        <f t="shared" si="32"/>
        <v>-1443333333.3333333</v>
      </c>
      <c r="ER20" s="66">
        <f t="shared" si="33"/>
        <v>14866666666.66667</v>
      </c>
      <c r="ES20" s="63">
        <f t="shared" si="34"/>
        <v>0.16438154209052044</v>
      </c>
      <c r="ET20" s="67">
        <f t="shared" si="35"/>
        <v>0.19671841919548347</v>
      </c>
      <c r="EU20" s="66">
        <f t="shared" si="36"/>
        <v>10990833333.333334</v>
      </c>
      <c r="EV20" s="66">
        <f t="shared" si="37"/>
        <v>12801666666.666666</v>
      </c>
      <c r="EW20" s="66">
        <f t="shared" si="37"/>
        <v>1001666666.6666666</v>
      </c>
      <c r="EX20" s="70"/>
      <c r="EY20" s="71" t="str">
        <f t="shared" si="38"/>
        <v>完整</v>
      </c>
      <c r="EZ20" s="71" t="str">
        <f t="shared" si="39"/>
        <v>完整</v>
      </c>
      <c r="FA20" s="71" t="str">
        <f t="shared" si="40"/>
        <v>完整</v>
      </c>
      <c r="FB20" s="71" t="str">
        <f t="shared" si="41"/>
        <v>选择</v>
      </c>
      <c r="FC20" s="71" t="str">
        <f t="shared" si="42"/>
        <v>选择</v>
      </c>
    </row>
    <row r="21" spans="1:217" s="3" customFormat="1" ht="12.75" customHeight="1" x14ac:dyDescent="0.25">
      <c r="A21" s="28" t="s">
        <v>185</v>
      </c>
      <c r="B21" s="134" t="str">
        <f t="shared" si="0"/>
        <v>CHENGDU XINGRONG ENVIRONMENT CO., LTD.</v>
      </c>
      <c r="C21" s="29" t="s">
        <v>328</v>
      </c>
      <c r="D21" s="136" t="s">
        <v>309</v>
      </c>
      <c r="E21" s="33"/>
      <c r="F21" s="34"/>
      <c r="G21" s="32"/>
      <c r="H21" s="31" t="str">
        <f t="shared" si="1"/>
        <v xml:space="preserve"> </v>
      </c>
      <c r="I21" s="29"/>
      <c r="J21" s="29" t="str">
        <f>VLOOKUP(Z:Z,'[1]AP 2022'!FD20:FF181,2,FALSE)</f>
        <v>exclude</v>
      </c>
      <c r="K21" s="47" t="str">
        <f>VLOOKUP(Z:Z,'[1]AP 2022'!FD20:FF181,3,0)</f>
        <v>Independence(A+, A, A-, U)</v>
      </c>
      <c r="L21" s="48"/>
      <c r="M21" s="125" t="s">
        <v>479</v>
      </c>
      <c r="N21" s="125" t="s">
        <v>480</v>
      </c>
      <c r="O21" s="125" t="s">
        <v>331</v>
      </c>
      <c r="P21" s="125" t="s">
        <v>481</v>
      </c>
      <c r="Q21" s="124"/>
      <c r="R21" s="125" t="s">
        <v>423</v>
      </c>
      <c r="S21" s="125" t="s">
        <v>482</v>
      </c>
      <c r="T21" s="125" t="s">
        <v>365</v>
      </c>
      <c r="U21" s="125" t="s">
        <v>315</v>
      </c>
      <c r="V21" s="125" t="s">
        <v>483</v>
      </c>
      <c r="W21" s="125" t="s">
        <v>484</v>
      </c>
      <c r="X21" s="125" t="s">
        <v>485</v>
      </c>
      <c r="Y21" s="124"/>
      <c r="Z21" s="125" t="s">
        <v>486</v>
      </c>
      <c r="AA21" s="128">
        <v>7574426000</v>
      </c>
      <c r="AB21" s="128">
        <v>6694202000</v>
      </c>
      <c r="AC21" s="128">
        <v>5390044000</v>
      </c>
      <c r="AD21" s="128">
        <v>4872601000</v>
      </c>
      <c r="AE21" s="128">
        <v>7472672000</v>
      </c>
      <c r="AF21" s="128">
        <v>6651283000</v>
      </c>
      <c r="AG21" s="128">
        <v>5223883000</v>
      </c>
      <c r="AH21" s="128">
        <v>4742579000</v>
      </c>
      <c r="AI21" s="128">
        <v>-75356000</v>
      </c>
      <c r="AJ21" s="128">
        <v>-64580000</v>
      </c>
      <c r="AK21" s="128">
        <v>-54873000</v>
      </c>
      <c r="AL21" s="128">
        <v>-52964000</v>
      </c>
      <c r="AM21" s="128">
        <v>7397316000</v>
      </c>
      <c r="AN21" s="128">
        <v>6586703000</v>
      </c>
      <c r="AO21" s="128">
        <v>5169010000</v>
      </c>
      <c r="AP21" s="128">
        <v>4689615000</v>
      </c>
      <c r="AQ21" s="128">
        <v>177110000</v>
      </c>
      <c r="AR21" s="128">
        <v>107499000</v>
      </c>
      <c r="AS21" s="128">
        <v>221034000</v>
      </c>
      <c r="AT21" s="128">
        <v>182986000</v>
      </c>
      <c r="AU21" s="128">
        <v>-3401461000</v>
      </c>
      <c r="AV21" s="128">
        <v>-2979598000</v>
      </c>
      <c r="AW21" s="128">
        <v>-2320375000</v>
      </c>
      <c r="AX21" s="128">
        <v>-2187596000</v>
      </c>
      <c r="AY21" s="125" t="s">
        <v>340</v>
      </c>
      <c r="AZ21" s="125" t="s">
        <v>340</v>
      </c>
      <c r="BA21" s="125" t="s">
        <v>340</v>
      </c>
      <c r="BB21" s="125" t="s">
        <v>340</v>
      </c>
      <c r="BC21" s="128">
        <v>-695188000</v>
      </c>
      <c r="BD21" s="128">
        <v>-611840000</v>
      </c>
      <c r="BE21" s="128">
        <v>-564628000</v>
      </c>
      <c r="BF21" s="128">
        <v>-487975000</v>
      </c>
      <c r="BG21" s="128">
        <v>3477777000</v>
      </c>
      <c r="BH21" s="128">
        <v>3102764000</v>
      </c>
      <c r="BI21" s="128">
        <v>2505041000</v>
      </c>
      <c r="BJ21" s="128">
        <v>2197030000</v>
      </c>
      <c r="BK21" s="128">
        <v>-1226574000</v>
      </c>
      <c r="BL21" s="128">
        <v>-1030390000</v>
      </c>
      <c r="BM21" s="128">
        <v>-809678000</v>
      </c>
      <c r="BN21" s="128">
        <v>-721859000</v>
      </c>
      <c r="BO21" s="128">
        <v>-660014000</v>
      </c>
      <c r="BP21" s="128">
        <v>-586525000</v>
      </c>
      <c r="BQ21" s="128">
        <v>-533434000</v>
      </c>
      <c r="BR21" s="128">
        <v>-503337000</v>
      </c>
      <c r="BS21" s="128">
        <v>-566560000</v>
      </c>
      <c r="BT21" s="128">
        <v>-443865000</v>
      </c>
      <c r="BU21" s="128">
        <v>-276244000</v>
      </c>
      <c r="BV21" s="128">
        <v>-218522000</v>
      </c>
      <c r="BW21" s="128">
        <v>1617825000</v>
      </c>
      <c r="BX21" s="128">
        <v>1494428000</v>
      </c>
      <c r="BY21" s="128">
        <v>1298430000</v>
      </c>
      <c r="BZ21" s="128">
        <v>1081299000</v>
      </c>
      <c r="CA21" s="128">
        <v>7416936000</v>
      </c>
      <c r="CB21" s="128">
        <v>6177443000</v>
      </c>
      <c r="CC21" s="128">
        <v>5997945000</v>
      </c>
      <c r="CD21" s="128">
        <v>5226881000</v>
      </c>
      <c r="CE21" s="128">
        <v>229691000</v>
      </c>
      <c r="CF21" s="128">
        <v>202854000</v>
      </c>
      <c r="CG21" s="128">
        <v>398733000</v>
      </c>
      <c r="CH21" s="128">
        <v>809338000</v>
      </c>
      <c r="CI21" s="128">
        <v>2131427000</v>
      </c>
      <c r="CJ21" s="128">
        <v>1782474000</v>
      </c>
      <c r="CK21" s="128">
        <v>1279606000</v>
      </c>
      <c r="CL21" s="128">
        <v>1094931000</v>
      </c>
      <c r="CM21" s="128">
        <v>1278622000</v>
      </c>
      <c r="CN21" s="128">
        <v>953086000</v>
      </c>
      <c r="CO21" s="128">
        <v>878121000</v>
      </c>
      <c r="CP21" s="128">
        <v>345388000</v>
      </c>
      <c r="CQ21" s="128">
        <v>3743678000</v>
      </c>
      <c r="CR21" s="128">
        <v>3207783000</v>
      </c>
      <c r="CS21" s="128">
        <v>3418244000</v>
      </c>
      <c r="CT21" s="128">
        <v>2949120000</v>
      </c>
      <c r="CU21" s="128">
        <v>52895000</v>
      </c>
      <c r="CV21" s="128">
        <v>24588000</v>
      </c>
      <c r="CW21" s="125" t="s">
        <v>340</v>
      </c>
      <c r="CX21" s="125" t="s">
        <v>340</v>
      </c>
      <c r="CY21" s="128">
        <v>13824074000</v>
      </c>
      <c r="CZ21" s="128">
        <v>12482604000</v>
      </c>
      <c r="DA21" s="128">
        <v>13276120000</v>
      </c>
      <c r="DB21" s="128">
        <v>10416312000</v>
      </c>
      <c r="DC21" s="128">
        <v>38338609000</v>
      </c>
      <c r="DD21" s="128">
        <v>34512010000</v>
      </c>
      <c r="DE21" s="128">
        <v>31210502000</v>
      </c>
      <c r="DF21" s="128">
        <v>25337499000</v>
      </c>
      <c r="DG21" s="16">
        <f t="shared" si="2"/>
        <v>7397316000</v>
      </c>
      <c r="DH21" s="16">
        <f t="shared" si="3"/>
        <v>-3401461000</v>
      </c>
      <c r="DI21" s="16">
        <f t="shared" si="4"/>
        <v>-695188000</v>
      </c>
      <c r="DJ21" s="16">
        <f t="shared" si="5"/>
        <v>-1226574000</v>
      </c>
      <c r="DK21" s="16">
        <f t="shared" si="6"/>
        <v>2074093000</v>
      </c>
      <c r="DL21" s="57">
        <f t="shared" si="7"/>
        <v>0.28038453406613967</v>
      </c>
      <c r="DM21" s="57">
        <f t="shared" si="8"/>
        <v>0.38963105622289351</v>
      </c>
      <c r="DN21" s="58" t="str">
        <f t="shared" si="9"/>
        <v>n.a.</v>
      </c>
      <c r="DO21" s="16">
        <f t="shared" si="10"/>
        <v>216272500</v>
      </c>
      <c r="DP21" s="16">
        <f t="shared" si="11"/>
        <v>13153339000</v>
      </c>
      <c r="DQ21" s="61"/>
      <c r="DR21" s="62">
        <f t="shared" si="12"/>
        <v>6586703000</v>
      </c>
      <c r="DS21" s="62">
        <f t="shared" si="13"/>
        <v>-2979598000</v>
      </c>
      <c r="DT21" s="62">
        <f t="shared" si="14"/>
        <v>-611840000</v>
      </c>
      <c r="DU21" s="62">
        <f t="shared" si="15"/>
        <v>-1030390000</v>
      </c>
      <c r="DV21" s="62">
        <f t="shared" si="16"/>
        <v>1964875000</v>
      </c>
      <c r="DW21" s="63">
        <f t="shared" si="17"/>
        <v>0.29830933624910672</v>
      </c>
      <c r="DX21" s="63">
        <f t="shared" si="18"/>
        <v>0.42512940767159663</v>
      </c>
      <c r="DY21" s="64" t="str">
        <f t="shared" si="19"/>
        <v>n.a.</v>
      </c>
      <c r="DZ21" s="64">
        <f t="shared" si="20"/>
        <v>300793500</v>
      </c>
      <c r="EA21" s="64">
        <f t="shared" si="21"/>
        <v>12879362000</v>
      </c>
      <c r="EB21" s="61"/>
      <c r="EC21" s="64">
        <f t="shared" si="22"/>
        <v>5169010000</v>
      </c>
      <c r="ED21" s="64">
        <f t="shared" si="23"/>
        <v>-2320375000</v>
      </c>
      <c r="EE21" s="64">
        <f t="shared" si="24"/>
        <v>-564628000</v>
      </c>
      <c r="EF21" s="64">
        <f t="shared" si="25"/>
        <v>-809678000</v>
      </c>
      <c r="EG21" s="64">
        <f t="shared" si="26"/>
        <v>1474329000</v>
      </c>
      <c r="EH21" s="63">
        <f t="shared" si="27"/>
        <v>0.28522463682600729</v>
      </c>
      <c r="EI21" s="57">
        <f t="shared" si="28"/>
        <v>0.39904094561885045</v>
      </c>
      <c r="EJ21" s="64" t="str">
        <f t="shared" si="29"/>
        <v>n.a.</v>
      </c>
      <c r="EK21" s="64">
        <f t="shared" si="30"/>
        <v>604035500</v>
      </c>
      <c r="EL21" s="64">
        <f t="shared" si="31"/>
        <v>11846216000</v>
      </c>
      <c r="EM21" s="61"/>
      <c r="EN21" s="66">
        <f t="shared" si="32"/>
        <v>6384343000</v>
      </c>
      <c r="EO21" s="66">
        <f t="shared" si="32"/>
        <v>-2900478000</v>
      </c>
      <c r="EP21" s="66">
        <f t="shared" si="32"/>
        <v>-623885333.33333337</v>
      </c>
      <c r="EQ21" s="66">
        <f t="shared" si="32"/>
        <v>-1022214000</v>
      </c>
      <c r="ER21" s="66">
        <f t="shared" si="33"/>
        <v>1837765666.6666665</v>
      </c>
      <c r="ES21" s="63">
        <f t="shared" si="34"/>
        <v>0.28785509592242559</v>
      </c>
      <c r="ET21" s="67">
        <f t="shared" si="35"/>
        <v>0.40420860175258566</v>
      </c>
      <c r="EU21" s="66" t="e">
        <f t="shared" si="36"/>
        <v>#VALUE!</v>
      </c>
      <c r="EV21" s="66">
        <f t="shared" si="37"/>
        <v>373700500</v>
      </c>
      <c r="EW21" s="66">
        <f t="shared" si="37"/>
        <v>12626305666.666666</v>
      </c>
      <c r="EX21" s="70"/>
      <c r="EY21" s="71" t="str">
        <f t="shared" si="38"/>
        <v>完整</v>
      </c>
      <c r="EZ21" s="71" t="str">
        <f t="shared" si="39"/>
        <v>完整</v>
      </c>
      <c r="FA21" s="71" t="str">
        <f t="shared" si="40"/>
        <v>完整</v>
      </c>
      <c r="FB21" s="71" t="str">
        <f t="shared" si="41"/>
        <v>选择</v>
      </c>
      <c r="FC21" s="71" t="str">
        <f t="shared" si="42"/>
        <v>选择</v>
      </c>
      <c r="FD21" s="72"/>
      <c r="FE21" s="72"/>
      <c r="FF21" s="72"/>
      <c r="FG21" s="72"/>
      <c r="FH21" s="72"/>
      <c r="FI21" s="72"/>
      <c r="FJ21" s="72"/>
      <c r="FK21" s="72"/>
      <c r="FL21" s="72"/>
      <c r="FM21" s="72"/>
      <c r="FN21" s="72"/>
      <c r="FO21" s="72"/>
      <c r="FP21" s="72"/>
      <c r="FQ21" s="72"/>
      <c r="FR21" s="72"/>
      <c r="FS21" s="72"/>
      <c r="FT21" s="72"/>
      <c r="FU21" s="72"/>
      <c r="FV21" s="72"/>
      <c r="FW21" s="72"/>
      <c r="FX21" s="72"/>
      <c r="FY21" s="72"/>
      <c r="FZ21" s="72"/>
      <c r="GA21" s="72"/>
      <c r="GB21" s="72"/>
      <c r="GC21" s="72"/>
      <c r="GD21" s="72"/>
      <c r="GE21" s="72"/>
      <c r="GF21" s="72"/>
      <c r="GG21" s="72"/>
      <c r="GH21" s="72"/>
      <c r="GI21" s="72"/>
      <c r="GJ21" s="72"/>
      <c r="GK21" s="72"/>
      <c r="GL21" s="72"/>
      <c r="GM21" s="72"/>
      <c r="GN21" s="72"/>
      <c r="GO21" s="72"/>
      <c r="GP21" s="72"/>
      <c r="GQ21" s="72"/>
      <c r="GR21" s="72"/>
      <c r="GS21" s="72"/>
      <c r="GT21" s="72"/>
      <c r="GU21" s="72"/>
      <c r="GV21" s="72"/>
      <c r="GW21" s="72"/>
      <c r="GX21" s="72"/>
      <c r="GY21" s="72"/>
      <c r="GZ21" s="72"/>
      <c r="HA21" s="72"/>
      <c r="HB21" s="72"/>
      <c r="HC21" s="72"/>
      <c r="HD21" s="72"/>
      <c r="HE21" s="72"/>
      <c r="HF21" s="72"/>
      <c r="HG21" s="72"/>
      <c r="HH21" s="72"/>
      <c r="HI21" s="72"/>
    </row>
    <row r="22" spans="1:217" s="3" customFormat="1" ht="12.75" customHeight="1" x14ac:dyDescent="0.25">
      <c r="A22" s="28" t="s">
        <v>186</v>
      </c>
      <c r="B22" s="134" t="str">
        <f t="shared" si="0"/>
        <v>SHANGHAI JAHWA UNITED CO., LTD.</v>
      </c>
      <c r="C22" s="29" t="s">
        <v>328</v>
      </c>
      <c r="D22" s="136" t="s">
        <v>309</v>
      </c>
      <c r="E22" s="33"/>
      <c r="H22" s="31" t="str">
        <f t="shared" si="1"/>
        <v xml:space="preserve"> </v>
      </c>
      <c r="I22" s="29"/>
      <c r="J22" s="29" t="e">
        <f>VLOOKUP(Z:Z,'[1]AP 2022'!FD21:FF181,2,FALSE)</f>
        <v>#N/A</v>
      </c>
      <c r="K22" s="47" t="e">
        <f>VLOOKUP(Z:Z,'[1]AP 2022'!FD21:FF181,3,0)</f>
        <v>#N/A</v>
      </c>
      <c r="L22" s="48"/>
      <c r="M22" s="125" t="s">
        <v>487</v>
      </c>
      <c r="N22" s="125" t="s">
        <v>488</v>
      </c>
      <c r="O22" s="125" t="s">
        <v>331</v>
      </c>
      <c r="P22" s="125" t="s">
        <v>489</v>
      </c>
      <c r="Q22" s="124"/>
      <c r="R22" s="125" t="s">
        <v>423</v>
      </c>
      <c r="S22" s="125" t="s">
        <v>490</v>
      </c>
      <c r="T22" s="125" t="s">
        <v>374</v>
      </c>
      <c r="U22" s="125" t="s">
        <v>321</v>
      </c>
      <c r="V22" s="125" t="s">
        <v>491</v>
      </c>
      <c r="W22" s="125" t="s">
        <v>492</v>
      </c>
      <c r="X22" s="124"/>
      <c r="Y22" s="124"/>
      <c r="Z22" s="125" t="s">
        <v>493</v>
      </c>
      <c r="AA22" s="128">
        <v>7127345000</v>
      </c>
      <c r="AB22" s="128">
        <v>7675115000</v>
      </c>
      <c r="AC22" s="128">
        <v>7069682000</v>
      </c>
      <c r="AD22" s="128">
        <v>7781624000</v>
      </c>
      <c r="AE22" s="128">
        <v>7099236000</v>
      </c>
      <c r="AF22" s="128">
        <v>7637877000</v>
      </c>
      <c r="AG22" s="128">
        <v>7028243000</v>
      </c>
      <c r="AH22" s="128">
        <v>7590860000</v>
      </c>
      <c r="AI22" s="128">
        <v>-48196000</v>
      </c>
      <c r="AJ22" s="128">
        <v>-59104000</v>
      </c>
      <c r="AK22" s="128">
        <v>-56898000</v>
      </c>
      <c r="AL22" s="128">
        <v>-53582000</v>
      </c>
      <c r="AM22" s="128">
        <v>7051040000</v>
      </c>
      <c r="AN22" s="128">
        <v>7578773000</v>
      </c>
      <c r="AO22" s="128">
        <v>6971345000</v>
      </c>
      <c r="AP22" s="128">
        <v>7537278000</v>
      </c>
      <c r="AQ22" s="128">
        <v>76305000</v>
      </c>
      <c r="AR22" s="128">
        <v>96342000</v>
      </c>
      <c r="AS22" s="128">
        <v>98337000</v>
      </c>
      <c r="AT22" s="128">
        <v>244346000</v>
      </c>
      <c r="AU22" s="128">
        <v>-2790926000</v>
      </c>
      <c r="AV22" s="128">
        <v>-2974984000</v>
      </c>
      <c r="AW22" s="128">
        <v>-2633403000</v>
      </c>
      <c r="AX22" s="128">
        <v>-2710987000</v>
      </c>
      <c r="AY22" s="125" t="s">
        <v>340</v>
      </c>
      <c r="AZ22" s="125" t="s">
        <v>340</v>
      </c>
      <c r="BA22" s="125" t="s">
        <v>340</v>
      </c>
      <c r="BB22" s="125" t="s">
        <v>340</v>
      </c>
      <c r="BC22" s="128">
        <v>-3445153000</v>
      </c>
      <c r="BD22" s="128">
        <v>-3906801000</v>
      </c>
      <c r="BE22" s="128">
        <v>-3791842000</v>
      </c>
      <c r="BF22" s="128">
        <v>-4320093000</v>
      </c>
      <c r="BG22" s="128">
        <v>891266000</v>
      </c>
      <c r="BH22" s="128">
        <v>793330000</v>
      </c>
      <c r="BI22" s="128">
        <v>644437000</v>
      </c>
      <c r="BJ22" s="128">
        <v>750544000</v>
      </c>
      <c r="BK22" s="128">
        <v>-251976000</v>
      </c>
      <c r="BL22" s="128">
        <v>-176530000</v>
      </c>
      <c r="BM22" s="128">
        <v>-191929000</v>
      </c>
      <c r="BN22" s="128">
        <v>-183664000</v>
      </c>
      <c r="BO22" s="128">
        <v>-192734000</v>
      </c>
      <c r="BP22" s="128">
        <v>-117998000</v>
      </c>
      <c r="BQ22" s="128">
        <v>-133748000</v>
      </c>
      <c r="BR22" s="128">
        <v>-128836000</v>
      </c>
      <c r="BS22" s="128">
        <v>-59242000</v>
      </c>
      <c r="BT22" s="128">
        <v>-58532000</v>
      </c>
      <c r="BU22" s="128">
        <v>-58181000</v>
      </c>
      <c r="BV22" s="128">
        <v>-54828000</v>
      </c>
      <c r="BW22" s="128">
        <v>472039000</v>
      </c>
      <c r="BX22" s="128">
        <v>649252000</v>
      </c>
      <c r="BY22" s="128">
        <v>430202000</v>
      </c>
      <c r="BZ22" s="128">
        <v>557091000</v>
      </c>
      <c r="CA22" s="128">
        <v>6554627000</v>
      </c>
      <c r="CB22" s="128">
        <v>6780434000</v>
      </c>
      <c r="CC22" s="128">
        <v>6154909000</v>
      </c>
      <c r="CD22" s="128">
        <v>5877516000</v>
      </c>
      <c r="CE22" s="128">
        <v>928956000</v>
      </c>
      <c r="CF22" s="128">
        <v>872052000</v>
      </c>
      <c r="CG22" s="128">
        <v>866505000</v>
      </c>
      <c r="CH22" s="128">
        <v>925168000</v>
      </c>
      <c r="CI22" s="128">
        <v>1323953000</v>
      </c>
      <c r="CJ22" s="128">
        <v>1108951000</v>
      </c>
      <c r="CK22" s="128">
        <v>1089566000</v>
      </c>
      <c r="CL22" s="128">
        <v>1228906000</v>
      </c>
      <c r="CM22" s="128">
        <v>405929000</v>
      </c>
      <c r="CN22" s="128">
        <v>395692000</v>
      </c>
      <c r="CO22" s="128">
        <v>131715000</v>
      </c>
      <c r="CP22" s="128">
        <v>116283000</v>
      </c>
      <c r="CQ22" s="128">
        <v>3806691000</v>
      </c>
      <c r="CR22" s="128">
        <v>4296743000</v>
      </c>
      <c r="CS22" s="128">
        <v>4019033000</v>
      </c>
      <c r="CT22" s="128">
        <v>3543228000</v>
      </c>
      <c r="CU22" s="128">
        <v>2121522000</v>
      </c>
      <c r="CV22" s="128">
        <v>2699489000</v>
      </c>
      <c r="CW22" s="128">
        <v>2732322000</v>
      </c>
      <c r="CX22" s="128">
        <v>1934093000</v>
      </c>
      <c r="CY22" s="128">
        <v>27532000</v>
      </c>
      <c r="CZ22" s="128">
        <v>24554000</v>
      </c>
      <c r="DA22" s="128">
        <v>24363000</v>
      </c>
      <c r="DB22" s="128">
        <v>23879000</v>
      </c>
      <c r="DC22" s="128">
        <v>12269486000</v>
      </c>
      <c r="DD22" s="128">
        <v>12145512000</v>
      </c>
      <c r="DE22" s="128">
        <v>11295321000</v>
      </c>
      <c r="DF22" s="128">
        <v>11147493000</v>
      </c>
      <c r="DG22" s="16">
        <f t="shared" si="2"/>
        <v>7051040000</v>
      </c>
      <c r="DH22" s="16">
        <f t="shared" si="3"/>
        <v>-2790926000</v>
      </c>
      <c r="DI22" s="16">
        <f t="shared" si="4"/>
        <v>-3445153000</v>
      </c>
      <c r="DJ22" s="16">
        <f t="shared" si="5"/>
        <v>-251976000</v>
      </c>
      <c r="DK22" s="16">
        <f t="shared" si="6"/>
        <v>562985000</v>
      </c>
      <c r="DL22" s="57">
        <f t="shared" si="7"/>
        <v>7.9844249926252012E-2</v>
      </c>
      <c r="DM22" s="57">
        <f t="shared" si="8"/>
        <v>8.6772538148952194E-2</v>
      </c>
      <c r="DN22" s="58" t="str">
        <f t="shared" si="9"/>
        <v>n.a.</v>
      </c>
      <c r="DO22" s="16">
        <f t="shared" si="10"/>
        <v>900504000</v>
      </c>
      <c r="DP22" s="16">
        <f t="shared" si="11"/>
        <v>26043000</v>
      </c>
      <c r="DQ22" s="61"/>
      <c r="DR22" s="62">
        <f t="shared" si="12"/>
        <v>7578773000</v>
      </c>
      <c r="DS22" s="62">
        <f t="shared" si="13"/>
        <v>-2974984000</v>
      </c>
      <c r="DT22" s="62">
        <f t="shared" si="14"/>
        <v>-3906801000</v>
      </c>
      <c r="DU22" s="62">
        <f t="shared" si="15"/>
        <v>-176530000</v>
      </c>
      <c r="DV22" s="62">
        <f t="shared" si="16"/>
        <v>520458000</v>
      </c>
      <c r="DW22" s="63">
        <f t="shared" si="17"/>
        <v>6.8673121625360725E-2</v>
      </c>
      <c r="DX22" s="63">
        <f t="shared" si="18"/>
        <v>7.3736862126442357E-2</v>
      </c>
      <c r="DY22" s="64" t="str">
        <f t="shared" si="19"/>
        <v>n.a.</v>
      </c>
      <c r="DZ22" s="64">
        <f t="shared" si="20"/>
        <v>869278500</v>
      </c>
      <c r="EA22" s="64">
        <f t="shared" si="21"/>
        <v>24458500</v>
      </c>
      <c r="EB22" s="61"/>
      <c r="EC22" s="64">
        <f t="shared" si="22"/>
        <v>6971345000</v>
      </c>
      <c r="ED22" s="64">
        <f t="shared" si="23"/>
        <v>-2633403000</v>
      </c>
      <c r="EE22" s="64">
        <f t="shared" si="24"/>
        <v>-3791842000</v>
      </c>
      <c r="EF22" s="64">
        <f t="shared" si="25"/>
        <v>-191929000</v>
      </c>
      <c r="EG22" s="64">
        <f t="shared" si="26"/>
        <v>354171000</v>
      </c>
      <c r="EH22" s="63">
        <f t="shared" si="27"/>
        <v>5.0803826234392356E-2</v>
      </c>
      <c r="EI22" s="57">
        <f t="shared" si="28"/>
        <v>5.3522999395210102E-2</v>
      </c>
      <c r="EJ22" s="64" t="str">
        <f t="shared" si="29"/>
        <v>n.a.</v>
      </c>
      <c r="EK22" s="64">
        <f t="shared" si="30"/>
        <v>895836500</v>
      </c>
      <c r="EL22" s="64">
        <f t="shared" si="31"/>
        <v>24121000</v>
      </c>
      <c r="EM22" s="61"/>
      <c r="EN22" s="66">
        <f t="shared" si="32"/>
        <v>7200386000</v>
      </c>
      <c r="EO22" s="66">
        <f t="shared" si="32"/>
        <v>-2799771000</v>
      </c>
      <c r="EP22" s="66">
        <f t="shared" si="32"/>
        <v>-3714598666.6666665</v>
      </c>
      <c r="EQ22" s="66">
        <f t="shared" si="32"/>
        <v>-206811666.66666666</v>
      </c>
      <c r="ER22" s="66">
        <f t="shared" si="33"/>
        <v>479204666.66666687</v>
      </c>
      <c r="ES22" s="63">
        <f t="shared" si="34"/>
        <v>6.6552635742954183E-2</v>
      </c>
      <c r="ET22" s="67">
        <f t="shared" si="35"/>
        <v>7.1297684573703946E-2</v>
      </c>
      <c r="EU22" s="66" t="e">
        <f t="shared" si="36"/>
        <v>#VALUE!</v>
      </c>
      <c r="EV22" s="66">
        <f t="shared" si="37"/>
        <v>888539666.66666663</v>
      </c>
      <c r="EW22" s="66">
        <f t="shared" si="37"/>
        <v>24874166.666666668</v>
      </c>
      <c r="EX22" s="70"/>
      <c r="EY22" s="71" t="str">
        <f t="shared" si="38"/>
        <v>完整</v>
      </c>
      <c r="EZ22" s="71" t="str">
        <f t="shared" si="39"/>
        <v>完整</v>
      </c>
      <c r="FA22" s="71" t="str">
        <f t="shared" si="40"/>
        <v>完整</v>
      </c>
      <c r="FB22" s="71" t="str">
        <f t="shared" si="41"/>
        <v>选择</v>
      </c>
      <c r="FC22" s="71" t="str">
        <f t="shared" si="42"/>
        <v>选择</v>
      </c>
    </row>
    <row r="23" spans="1:217" s="3" customFormat="1" ht="12.75" customHeight="1" x14ac:dyDescent="0.25">
      <c r="A23" s="28" t="s">
        <v>187</v>
      </c>
      <c r="B23" s="134" t="str">
        <f t="shared" si="0"/>
        <v>SAHA PATHANAPIBUL PCL</v>
      </c>
      <c r="C23" s="29" t="s">
        <v>328</v>
      </c>
      <c r="D23" s="135" t="s">
        <v>312</v>
      </c>
      <c r="E23" s="29"/>
      <c r="F23" s="135"/>
      <c r="G23" s="32"/>
      <c r="H23" s="31" t="str">
        <f t="shared" si="1"/>
        <v xml:space="preserve"> </v>
      </c>
      <c r="I23" s="29"/>
      <c r="J23" s="29" t="str">
        <f>VLOOKUP(Z:Z,'[1]AP 2022'!FD22:FF181,2,FALSE)</f>
        <v>exclude</v>
      </c>
      <c r="K23" s="47" t="str">
        <f>VLOOKUP(Z:Z,'[1]AP 2022'!FD22:FF181,3,0)</f>
        <v>Significantly different products/services</v>
      </c>
      <c r="L23" s="48"/>
      <c r="M23" s="125" t="s">
        <v>494</v>
      </c>
      <c r="N23" s="125" t="s">
        <v>495</v>
      </c>
      <c r="O23" s="125" t="s">
        <v>496</v>
      </c>
      <c r="P23" s="142" t="s">
        <v>497</v>
      </c>
      <c r="Q23" s="124"/>
      <c r="R23" s="125" t="s">
        <v>498</v>
      </c>
      <c r="S23" s="125" t="s">
        <v>499</v>
      </c>
      <c r="T23" s="125" t="s">
        <v>335</v>
      </c>
      <c r="U23" s="125" t="s">
        <v>315</v>
      </c>
      <c r="V23" s="125" t="s">
        <v>500</v>
      </c>
      <c r="W23" s="125" t="s">
        <v>501</v>
      </c>
      <c r="X23" s="124"/>
      <c r="Y23" s="124"/>
      <c r="Z23" s="125" t="s">
        <v>502</v>
      </c>
      <c r="AA23" s="128">
        <v>35259937000</v>
      </c>
      <c r="AB23" s="128">
        <v>33762019000</v>
      </c>
      <c r="AC23" s="128">
        <v>32460905000</v>
      </c>
      <c r="AD23" s="128">
        <v>33107876000</v>
      </c>
      <c r="AE23" s="128">
        <v>35177561000</v>
      </c>
      <c r="AF23" s="128">
        <v>33681454000</v>
      </c>
      <c r="AG23" s="128">
        <v>32398789000</v>
      </c>
      <c r="AH23" s="128">
        <v>32978453000</v>
      </c>
      <c r="AI23" s="125" t="s">
        <v>340</v>
      </c>
      <c r="AJ23" s="125" t="s">
        <v>340</v>
      </c>
      <c r="AK23" s="125" t="s">
        <v>340</v>
      </c>
      <c r="AL23" s="125" t="s">
        <v>340</v>
      </c>
      <c r="AM23" s="128">
        <v>35177561000</v>
      </c>
      <c r="AN23" s="128">
        <v>33681454000</v>
      </c>
      <c r="AO23" s="128">
        <v>32398789000</v>
      </c>
      <c r="AP23" s="128">
        <v>32978453000</v>
      </c>
      <c r="AQ23" s="128">
        <v>82376000</v>
      </c>
      <c r="AR23" s="128">
        <v>80565000</v>
      </c>
      <c r="AS23" s="128">
        <v>62116000</v>
      </c>
      <c r="AT23" s="128">
        <v>129423000</v>
      </c>
      <c r="AU23" s="128">
        <v>-29724910000</v>
      </c>
      <c r="AV23" s="128">
        <v>-28232294000</v>
      </c>
      <c r="AW23" s="128">
        <v>-27000908000</v>
      </c>
      <c r="AX23" s="128">
        <v>-27569407000</v>
      </c>
      <c r="AY23" s="128">
        <v>0</v>
      </c>
      <c r="AZ23" s="128">
        <v>0</v>
      </c>
      <c r="BA23" s="128">
        <v>0</v>
      </c>
      <c r="BB23" s="128">
        <v>0</v>
      </c>
      <c r="BC23" s="128">
        <v>-3708441000</v>
      </c>
      <c r="BD23" s="128">
        <v>-3457554000</v>
      </c>
      <c r="BE23" s="128">
        <v>-3455897000</v>
      </c>
      <c r="BF23" s="128">
        <v>-3531468000</v>
      </c>
      <c r="BG23" s="128">
        <v>1826586000</v>
      </c>
      <c r="BH23" s="128">
        <v>2072171000</v>
      </c>
      <c r="BI23" s="128">
        <v>2004100000</v>
      </c>
      <c r="BJ23" s="128">
        <v>2007001000</v>
      </c>
      <c r="BK23" s="128">
        <v>-158669000</v>
      </c>
      <c r="BL23" s="128">
        <v>-174137000</v>
      </c>
      <c r="BM23" s="128">
        <v>-169250000</v>
      </c>
      <c r="BN23" s="128">
        <v>-159399000</v>
      </c>
      <c r="BO23" s="128">
        <v>-158669000</v>
      </c>
      <c r="BP23" s="128">
        <v>-171495000</v>
      </c>
      <c r="BQ23" s="128">
        <v>-166096000</v>
      </c>
      <c r="BR23" s="128">
        <v>-156048000</v>
      </c>
      <c r="BS23" s="128">
        <v>0</v>
      </c>
      <c r="BT23" s="128">
        <v>-2642000</v>
      </c>
      <c r="BU23" s="128">
        <v>-3154000</v>
      </c>
      <c r="BV23" s="128">
        <v>-3351000</v>
      </c>
      <c r="BW23" s="128">
        <v>1626669000</v>
      </c>
      <c r="BX23" s="128">
        <v>1745049000</v>
      </c>
      <c r="BY23" s="128">
        <v>1705449000</v>
      </c>
      <c r="BZ23" s="128">
        <v>1709776000</v>
      </c>
      <c r="CA23" s="128">
        <v>12557465000</v>
      </c>
      <c r="CB23" s="128">
        <v>12474883000</v>
      </c>
      <c r="CC23" s="128">
        <v>12315152000</v>
      </c>
      <c r="CD23" s="128">
        <v>10959516000</v>
      </c>
      <c r="CE23" s="128">
        <v>1083831000</v>
      </c>
      <c r="CF23" s="128">
        <v>1076681000</v>
      </c>
      <c r="CG23" s="128">
        <v>883086000</v>
      </c>
      <c r="CH23" s="128">
        <v>845541000</v>
      </c>
      <c r="CI23" s="128">
        <v>4489803000</v>
      </c>
      <c r="CJ23" s="128">
        <v>4298570000</v>
      </c>
      <c r="CK23" s="128">
        <v>4045306000</v>
      </c>
      <c r="CL23" s="128">
        <v>4156183000</v>
      </c>
      <c r="CM23" s="128">
        <v>1187426000</v>
      </c>
      <c r="CN23" s="128">
        <v>656675000</v>
      </c>
      <c r="CO23" s="128">
        <v>638001000</v>
      </c>
      <c r="CP23" s="128">
        <v>786784000</v>
      </c>
      <c r="CQ23" s="128">
        <v>3567892000</v>
      </c>
      <c r="CR23" s="128">
        <v>3795964000</v>
      </c>
      <c r="CS23" s="128">
        <v>4014848000</v>
      </c>
      <c r="CT23" s="128">
        <v>2838506000</v>
      </c>
      <c r="CU23" s="128">
        <v>1734010000</v>
      </c>
      <c r="CV23" s="128">
        <v>1708652000</v>
      </c>
      <c r="CW23" s="128">
        <v>1463274000</v>
      </c>
      <c r="CX23" s="128">
        <v>1450704000</v>
      </c>
      <c r="CY23" s="128">
        <v>956211000</v>
      </c>
      <c r="CZ23" s="128">
        <v>1159912000</v>
      </c>
      <c r="DA23" s="128">
        <v>801161000</v>
      </c>
      <c r="DB23" s="128">
        <v>710986000</v>
      </c>
      <c r="DC23" s="128">
        <v>35312077000</v>
      </c>
      <c r="DD23" s="128">
        <v>34754151000</v>
      </c>
      <c r="DE23" s="128">
        <v>34074101000</v>
      </c>
      <c r="DF23" s="128">
        <v>27096151000</v>
      </c>
      <c r="DG23" s="16">
        <f t="shared" si="2"/>
        <v>35177561000</v>
      </c>
      <c r="DH23" s="16">
        <f t="shared" si="3"/>
        <v>-29724910000</v>
      </c>
      <c r="DI23" s="16">
        <f t="shared" si="4"/>
        <v>-3708441000</v>
      </c>
      <c r="DJ23" s="16">
        <f t="shared" si="5"/>
        <v>-158669000</v>
      </c>
      <c r="DK23" s="16">
        <f t="shared" si="6"/>
        <v>1585541000</v>
      </c>
      <c r="DL23" s="57">
        <f t="shared" si="7"/>
        <v>4.507251085429146E-2</v>
      </c>
      <c r="DM23" s="57">
        <f t="shared" si="8"/>
        <v>4.719993022152285E-2</v>
      </c>
      <c r="DN23" s="58">
        <f t="shared" si="9"/>
        <v>0</v>
      </c>
      <c r="DO23" s="16">
        <f t="shared" si="10"/>
        <v>1080256000</v>
      </c>
      <c r="DP23" s="16">
        <f t="shared" si="11"/>
        <v>1058061500</v>
      </c>
      <c r="DQ23" s="61"/>
      <c r="DR23" s="62">
        <f t="shared" si="12"/>
        <v>33681454000</v>
      </c>
      <c r="DS23" s="62">
        <f t="shared" si="13"/>
        <v>-28232294000</v>
      </c>
      <c r="DT23" s="62">
        <f t="shared" si="14"/>
        <v>-3457554000</v>
      </c>
      <c r="DU23" s="62">
        <f t="shared" si="15"/>
        <v>-174137000</v>
      </c>
      <c r="DV23" s="62">
        <f t="shared" si="16"/>
        <v>1817469000</v>
      </c>
      <c r="DW23" s="63">
        <f t="shared" si="17"/>
        <v>5.3960526763482362E-2</v>
      </c>
      <c r="DX23" s="63">
        <f t="shared" si="18"/>
        <v>5.7038345957042096E-2</v>
      </c>
      <c r="DY23" s="64">
        <f t="shared" si="19"/>
        <v>0</v>
      </c>
      <c r="DZ23" s="64">
        <f t="shared" si="20"/>
        <v>979883500</v>
      </c>
      <c r="EA23" s="64">
        <f t="shared" si="21"/>
        <v>980536500</v>
      </c>
      <c r="EB23" s="61"/>
      <c r="EC23" s="64">
        <f t="shared" si="22"/>
        <v>32398789000</v>
      </c>
      <c r="ED23" s="64">
        <f t="shared" si="23"/>
        <v>-27000908000</v>
      </c>
      <c r="EE23" s="64">
        <f t="shared" si="24"/>
        <v>-3455897000</v>
      </c>
      <c r="EF23" s="64">
        <f t="shared" si="25"/>
        <v>-169250000</v>
      </c>
      <c r="EG23" s="64">
        <f t="shared" si="26"/>
        <v>1772734000</v>
      </c>
      <c r="EH23" s="63">
        <f t="shared" si="27"/>
        <v>5.4716057442764296E-2</v>
      </c>
      <c r="EI23" s="57">
        <f t="shared" si="28"/>
        <v>5.7883197819634295E-2</v>
      </c>
      <c r="EJ23" s="64">
        <f t="shared" si="29"/>
        <v>0</v>
      </c>
      <c r="EK23" s="64">
        <f t="shared" si="30"/>
        <v>864313500</v>
      </c>
      <c r="EL23" s="64">
        <f t="shared" si="31"/>
        <v>756073500</v>
      </c>
      <c r="EM23" s="61"/>
      <c r="EN23" s="66">
        <f t="shared" si="32"/>
        <v>33752601333.333332</v>
      </c>
      <c r="EO23" s="66">
        <f t="shared" si="32"/>
        <v>-28319370666.666668</v>
      </c>
      <c r="EP23" s="66">
        <f t="shared" si="32"/>
        <v>-3540630666.6666665</v>
      </c>
      <c r="EQ23" s="66">
        <f t="shared" si="32"/>
        <v>-167352000</v>
      </c>
      <c r="ER23" s="66">
        <f t="shared" si="33"/>
        <v>1725247999.9999976</v>
      </c>
      <c r="ES23" s="63">
        <f t="shared" si="34"/>
        <v>5.1114519528786075E-2</v>
      </c>
      <c r="ET23" s="67">
        <f t="shared" si="35"/>
        <v>5.3867954121716292E-2</v>
      </c>
      <c r="EU23" s="66">
        <f t="shared" si="36"/>
        <v>0</v>
      </c>
      <c r="EV23" s="66">
        <f t="shared" si="37"/>
        <v>974817666.66666663</v>
      </c>
      <c r="EW23" s="66">
        <f t="shared" si="37"/>
        <v>931557166.66666663</v>
      </c>
      <c r="EX23" s="70"/>
      <c r="EY23" s="71" t="str">
        <f t="shared" si="38"/>
        <v>完整</v>
      </c>
      <c r="EZ23" s="71" t="str">
        <f t="shared" si="39"/>
        <v>完整</v>
      </c>
      <c r="FA23" s="71" t="str">
        <f t="shared" si="40"/>
        <v>完整</v>
      </c>
      <c r="FB23" s="71" t="str">
        <f t="shared" si="41"/>
        <v>选择</v>
      </c>
      <c r="FC23" s="71" t="str">
        <f t="shared" si="42"/>
        <v>选择</v>
      </c>
      <c r="FD23" s="72"/>
      <c r="FE23" s="72"/>
      <c r="FF23" s="72"/>
      <c r="FG23" s="72"/>
      <c r="FH23" s="72"/>
      <c r="FI23" s="72"/>
      <c r="FJ23" s="72"/>
      <c r="FK23" s="72"/>
      <c r="FL23" s="72"/>
      <c r="FM23" s="72"/>
      <c r="FN23" s="72"/>
      <c r="FO23" s="72"/>
      <c r="FP23" s="72"/>
      <c r="FQ23" s="72"/>
      <c r="FR23" s="72"/>
      <c r="FS23" s="72"/>
      <c r="FT23" s="72"/>
      <c r="FU23" s="72"/>
      <c r="FV23" s="72"/>
      <c r="FW23" s="72"/>
      <c r="FX23" s="72"/>
      <c r="FY23" s="72"/>
      <c r="FZ23" s="72"/>
      <c r="GA23" s="72"/>
      <c r="GB23" s="72"/>
      <c r="GC23" s="72"/>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row>
    <row r="24" spans="1:217" s="3" customFormat="1" ht="12.75" customHeight="1" x14ac:dyDescent="0.25">
      <c r="A24" s="28" t="s">
        <v>188</v>
      </c>
      <c r="B24" s="134" t="str">
        <f t="shared" si="0"/>
        <v>PROYA COSMETICS CO.,LTD.</v>
      </c>
      <c r="C24" s="29" t="s">
        <v>328</v>
      </c>
      <c r="D24" s="136" t="s">
        <v>309</v>
      </c>
      <c r="E24" s="29"/>
      <c r="H24" s="31" t="str">
        <f t="shared" si="1"/>
        <v xml:space="preserve"> </v>
      </c>
      <c r="I24" s="29"/>
      <c r="J24" s="29" t="str">
        <f>VLOOKUP(Z:Z,'[1]AP 2022'!FD23:FF181,2,FALSE)</f>
        <v>exclude</v>
      </c>
      <c r="K24" s="47" t="str">
        <f>VLOOKUP(Z:Z,'[1]AP 2022'!FD23:FF181,3,0)</f>
        <v>Independence(A+, A, A-, U)</v>
      </c>
      <c r="L24" s="48"/>
      <c r="M24" s="125" t="s">
        <v>503</v>
      </c>
      <c r="N24" s="125" t="s">
        <v>504</v>
      </c>
      <c r="O24" s="125" t="s">
        <v>331</v>
      </c>
      <c r="P24" s="125" t="s">
        <v>505</v>
      </c>
      <c r="Q24" s="124"/>
      <c r="R24" s="125" t="s">
        <v>423</v>
      </c>
      <c r="S24" s="125" t="s">
        <v>506</v>
      </c>
      <c r="T24" s="125" t="s">
        <v>365</v>
      </c>
      <c r="U24" s="125" t="s">
        <v>321</v>
      </c>
      <c r="V24" s="125" t="s">
        <v>507</v>
      </c>
      <c r="W24" s="125" t="s">
        <v>508</v>
      </c>
      <c r="X24" s="124"/>
      <c r="Y24" s="124"/>
      <c r="Z24" s="125" t="s">
        <v>509</v>
      </c>
      <c r="AA24" s="128">
        <v>6368122000</v>
      </c>
      <c r="AB24" s="128">
        <v>4608930000</v>
      </c>
      <c r="AC24" s="128">
        <v>3732934000</v>
      </c>
      <c r="AD24" s="128">
        <v>3104096000</v>
      </c>
      <c r="AE24" s="128">
        <v>6361764000</v>
      </c>
      <c r="AF24" s="128">
        <v>4620432000</v>
      </c>
      <c r="AG24" s="128">
        <v>3747925000</v>
      </c>
      <c r="AH24" s="128">
        <v>3116454000</v>
      </c>
      <c r="AI24" s="128">
        <v>-56394000</v>
      </c>
      <c r="AJ24" s="128">
        <v>-40680000</v>
      </c>
      <c r="AK24" s="128">
        <v>-32945000</v>
      </c>
      <c r="AL24" s="128">
        <v>-27839000</v>
      </c>
      <c r="AM24" s="128">
        <v>6305370000</v>
      </c>
      <c r="AN24" s="128">
        <v>4579752000</v>
      </c>
      <c r="AO24" s="128">
        <v>3714980000</v>
      </c>
      <c r="AP24" s="128">
        <v>3088615000</v>
      </c>
      <c r="AQ24" s="128">
        <v>62752000</v>
      </c>
      <c r="AR24" s="128">
        <v>29178000</v>
      </c>
      <c r="AS24" s="128">
        <v>17954000</v>
      </c>
      <c r="AT24" s="128">
        <v>15481000</v>
      </c>
      <c r="AU24" s="128">
        <v>-1848963000</v>
      </c>
      <c r="AV24" s="128">
        <v>-1482702000</v>
      </c>
      <c r="AW24" s="128">
        <v>-1307438000</v>
      </c>
      <c r="AX24" s="128">
        <v>-1073043000</v>
      </c>
      <c r="AY24" s="125" t="s">
        <v>340</v>
      </c>
      <c r="AZ24" s="125" t="s">
        <v>340</v>
      </c>
      <c r="BA24" s="125" t="s">
        <v>340</v>
      </c>
      <c r="BB24" s="125" t="s">
        <v>340</v>
      </c>
      <c r="BC24" s="128">
        <v>-3259640000</v>
      </c>
      <c r="BD24" s="128">
        <v>-2314163000</v>
      </c>
      <c r="BE24" s="128">
        <v>-1777613000</v>
      </c>
      <c r="BF24" s="128">
        <v>-1498159000</v>
      </c>
      <c r="BG24" s="128">
        <v>1259519000</v>
      </c>
      <c r="BH24" s="128">
        <v>812065000</v>
      </c>
      <c r="BI24" s="128">
        <v>647883000</v>
      </c>
      <c r="BJ24" s="128">
        <v>532894000</v>
      </c>
      <c r="BK24" s="128">
        <v>-137634000</v>
      </c>
      <c r="BL24" s="128">
        <v>-77068000</v>
      </c>
      <c r="BM24" s="128">
        <v>-56049000</v>
      </c>
      <c r="BN24" s="128">
        <v>-51343000</v>
      </c>
      <c r="BO24" s="128">
        <v>-49944000</v>
      </c>
      <c r="BP24" s="128">
        <v>-44506000</v>
      </c>
      <c r="BQ24" s="128">
        <v>-40816000</v>
      </c>
      <c r="BR24" s="128">
        <v>-33251000</v>
      </c>
      <c r="BS24" s="128">
        <v>-87690000</v>
      </c>
      <c r="BT24" s="128">
        <v>-32562000</v>
      </c>
      <c r="BU24" s="128">
        <v>-15233000</v>
      </c>
      <c r="BV24" s="128">
        <v>-18092000</v>
      </c>
      <c r="BW24" s="128">
        <v>817400000</v>
      </c>
      <c r="BX24" s="128">
        <v>576119000</v>
      </c>
      <c r="BY24" s="128">
        <v>476010000</v>
      </c>
      <c r="BZ24" s="128">
        <v>392682000</v>
      </c>
      <c r="CA24" s="128">
        <v>4146996000</v>
      </c>
      <c r="CB24" s="128">
        <v>3158841000</v>
      </c>
      <c r="CC24" s="128">
        <v>2342418000</v>
      </c>
      <c r="CD24" s="128">
        <v>1912867000</v>
      </c>
      <c r="CE24" s="128">
        <v>669051000</v>
      </c>
      <c r="CF24" s="128">
        <v>447939000</v>
      </c>
      <c r="CG24" s="128">
        <v>468641000</v>
      </c>
      <c r="CH24" s="128">
        <v>313649000</v>
      </c>
      <c r="CI24" s="128">
        <v>102158000</v>
      </c>
      <c r="CJ24" s="128">
        <v>138627000</v>
      </c>
      <c r="CK24" s="128">
        <v>284878000</v>
      </c>
      <c r="CL24" s="128">
        <v>198409000</v>
      </c>
      <c r="CM24" s="128">
        <v>119290000</v>
      </c>
      <c r="CN24" s="128">
        <v>111725000</v>
      </c>
      <c r="CO24" s="128">
        <v>82862000</v>
      </c>
      <c r="CP24" s="128">
        <v>24547000</v>
      </c>
      <c r="CQ24" s="128">
        <v>3161003000</v>
      </c>
      <c r="CR24" s="128">
        <v>2391048000</v>
      </c>
      <c r="CS24" s="128">
        <v>1416655000</v>
      </c>
      <c r="CT24" s="128">
        <v>1318351000</v>
      </c>
      <c r="CU24" s="128">
        <v>35670000</v>
      </c>
      <c r="CV24" s="128">
        <v>12713000</v>
      </c>
      <c r="CW24" s="128">
        <v>0</v>
      </c>
      <c r="CX24" s="128">
        <v>71450000</v>
      </c>
      <c r="CY24" s="128">
        <v>207379000</v>
      </c>
      <c r="CZ24" s="128">
        <v>108679000</v>
      </c>
      <c r="DA24" s="128">
        <v>47325000</v>
      </c>
      <c r="DB24" s="128">
        <v>31895000</v>
      </c>
      <c r="DC24" s="128">
        <v>5778072000</v>
      </c>
      <c r="DD24" s="128">
        <v>4633050000</v>
      </c>
      <c r="DE24" s="128">
        <v>3636882000</v>
      </c>
      <c r="DF24" s="128">
        <v>2979365000</v>
      </c>
      <c r="DG24" s="16">
        <f t="shared" si="2"/>
        <v>6305370000</v>
      </c>
      <c r="DH24" s="16">
        <f t="shared" si="3"/>
        <v>-1848963000</v>
      </c>
      <c r="DI24" s="16">
        <f t="shared" si="4"/>
        <v>-3259640000</v>
      </c>
      <c r="DJ24" s="16">
        <f t="shared" si="5"/>
        <v>-137634000</v>
      </c>
      <c r="DK24" s="16">
        <f t="shared" si="6"/>
        <v>1059133000</v>
      </c>
      <c r="DL24" s="57">
        <f t="shared" si="7"/>
        <v>0.16797317207396234</v>
      </c>
      <c r="DM24" s="57">
        <f t="shared" si="8"/>
        <v>0.20188432203882517</v>
      </c>
      <c r="DN24" s="58" t="str">
        <f t="shared" si="9"/>
        <v>n.a.</v>
      </c>
      <c r="DO24" s="16">
        <f t="shared" si="10"/>
        <v>558495000</v>
      </c>
      <c r="DP24" s="16">
        <f t="shared" si="11"/>
        <v>158029000</v>
      </c>
      <c r="DQ24" s="61"/>
      <c r="DR24" s="62">
        <f t="shared" si="12"/>
        <v>4579752000</v>
      </c>
      <c r="DS24" s="62">
        <f t="shared" si="13"/>
        <v>-1482702000</v>
      </c>
      <c r="DT24" s="62">
        <f t="shared" si="14"/>
        <v>-2314163000</v>
      </c>
      <c r="DU24" s="62">
        <f t="shared" si="15"/>
        <v>-77068000</v>
      </c>
      <c r="DV24" s="62">
        <f t="shared" si="16"/>
        <v>705819000</v>
      </c>
      <c r="DW24" s="63">
        <f t="shared" si="17"/>
        <v>0.15411729718115741</v>
      </c>
      <c r="DX24" s="63">
        <f t="shared" si="18"/>
        <v>0.18219700753730123</v>
      </c>
      <c r="DY24" s="64" t="str">
        <f t="shared" si="19"/>
        <v>n.a.</v>
      </c>
      <c r="DZ24" s="64">
        <f t="shared" si="20"/>
        <v>458290000</v>
      </c>
      <c r="EA24" s="64">
        <f t="shared" si="21"/>
        <v>78002000</v>
      </c>
      <c r="EB24" s="61"/>
      <c r="EC24" s="64">
        <f t="shared" si="22"/>
        <v>3714980000</v>
      </c>
      <c r="ED24" s="64">
        <f t="shared" si="23"/>
        <v>-1307438000</v>
      </c>
      <c r="EE24" s="64">
        <f t="shared" si="24"/>
        <v>-1777613000</v>
      </c>
      <c r="EF24" s="64">
        <f t="shared" si="25"/>
        <v>-56049000</v>
      </c>
      <c r="EG24" s="64">
        <f t="shared" si="26"/>
        <v>573880000</v>
      </c>
      <c r="EH24" s="63">
        <f t="shared" si="27"/>
        <v>0.15447727847794604</v>
      </c>
      <c r="EI24" s="57">
        <f t="shared" si="28"/>
        <v>0.18270032791060456</v>
      </c>
      <c r="EJ24" s="64" t="str">
        <f t="shared" si="29"/>
        <v>n.a.</v>
      </c>
      <c r="EK24" s="64">
        <f t="shared" si="30"/>
        <v>391145000</v>
      </c>
      <c r="EL24" s="64">
        <f t="shared" si="31"/>
        <v>39610000</v>
      </c>
      <c r="EM24" s="61"/>
      <c r="EN24" s="66">
        <f t="shared" si="32"/>
        <v>4866700666.666667</v>
      </c>
      <c r="EO24" s="66">
        <f t="shared" si="32"/>
        <v>-1546367666.6666667</v>
      </c>
      <c r="EP24" s="66">
        <f t="shared" si="32"/>
        <v>-2450472000</v>
      </c>
      <c r="EQ24" s="66">
        <f t="shared" si="32"/>
        <v>-90250333.333333328</v>
      </c>
      <c r="ER24" s="66">
        <f t="shared" si="33"/>
        <v>779610666.66666663</v>
      </c>
      <c r="ES24" s="63">
        <f t="shared" si="34"/>
        <v>0.16019285344718823</v>
      </c>
      <c r="ET24" s="67">
        <f t="shared" si="35"/>
        <v>0.19074957161860065</v>
      </c>
      <c r="EU24" s="66" t="e">
        <f t="shared" si="36"/>
        <v>#VALUE!</v>
      </c>
      <c r="EV24" s="66">
        <f t="shared" si="37"/>
        <v>469310000</v>
      </c>
      <c r="EW24" s="66">
        <f t="shared" si="37"/>
        <v>91880333.333333328</v>
      </c>
      <c r="EX24" s="70"/>
      <c r="EY24" s="71" t="str">
        <f t="shared" si="38"/>
        <v>完整</v>
      </c>
      <c r="EZ24" s="71" t="str">
        <f t="shared" si="39"/>
        <v>完整</v>
      </c>
      <c r="FA24" s="71" t="str">
        <f t="shared" si="40"/>
        <v>完整</v>
      </c>
      <c r="FB24" s="71" t="str">
        <f t="shared" si="41"/>
        <v>选择</v>
      </c>
      <c r="FC24" s="71" t="str">
        <f t="shared" si="42"/>
        <v>选择</v>
      </c>
    </row>
    <row r="25" spans="1:217" s="3" customFormat="1" ht="12.75" customHeight="1" x14ac:dyDescent="0.25">
      <c r="A25" s="28" t="s">
        <v>189</v>
      </c>
      <c r="B25" s="134" t="str">
        <f t="shared" si="0"/>
        <v>FANCL CORPORATION</v>
      </c>
      <c r="C25" s="29" t="s">
        <v>328</v>
      </c>
      <c r="D25" s="136" t="s">
        <v>309</v>
      </c>
      <c r="E25" s="33"/>
      <c r="H25" s="31" t="str">
        <f t="shared" si="1"/>
        <v xml:space="preserve"> </v>
      </c>
      <c r="I25" s="29"/>
      <c r="J25" s="29" t="e">
        <f>VLOOKUP(Z:Z,'[1]AP 2022'!FD24:FF181,2,FALSE)</f>
        <v>#N/A</v>
      </c>
      <c r="K25" s="47" t="e">
        <f>VLOOKUP(Z:Z,'[1]AP 2022'!FD24:FF181,3,0)</f>
        <v>#N/A</v>
      </c>
      <c r="L25" s="48"/>
      <c r="M25" s="125" t="s">
        <v>510</v>
      </c>
      <c r="N25" s="125" t="s">
        <v>511</v>
      </c>
      <c r="O25" s="125" t="s">
        <v>512</v>
      </c>
      <c r="P25" s="125" t="s">
        <v>513</v>
      </c>
      <c r="Q25" s="124"/>
      <c r="R25" s="125" t="s">
        <v>333</v>
      </c>
      <c r="S25" s="125" t="s">
        <v>514</v>
      </c>
      <c r="T25" s="125" t="s">
        <v>365</v>
      </c>
      <c r="U25" s="125" t="s">
        <v>321</v>
      </c>
      <c r="V25" s="125" t="s">
        <v>515</v>
      </c>
      <c r="W25" s="125" t="s">
        <v>516</v>
      </c>
      <c r="X25" s="124"/>
      <c r="Y25" s="124"/>
      <c r="Z25" s="125" t="s">
        <v>517</v>
      </c>
      <c r="AA25" s="128">
        <v>103595000000</v>
      </c>
      <c r="AB25" s="128">
        <v>103992000000</v>
      </c>
      <c r="AC25" s="128">
        <v>114909000000</v>
      </c>
      <c r="AD25" s="128">
        <v>126810000000</v>
      </c>
      <c r="AE25" s="128">
        <v>103595000000</v>
      </c>
      <c r="AF25" s="128">
        <v>103992000000</v>
      </c>
      <c r="AG25" s="128">
        <v>114909000000</v>
      </c>
      <c r="AH25" s="128">
        <v>126810000000</v>
      </c>
      <c r="AI25" s="125" t="s">
        <v>340</v>
      </c>
      <c r="AJ25" s="125" t="s">
        <v>340</v>
      </c>
      <c r="AK25" s="125" t="s">
        <v>340</v>
      </c>
      <c r="AL25" s="125" t="s">
        <v>340</v>
      </c>
      <c r="AM25" s="128">
        <v>103595000000</v>
      </c>
      <c r="AN25" s="128">
        <v>103992000000</v>
      </c>
      <c r="AO25" s="128">
        <v>114909000000</v>
      </c>
      <c r="AP25" s="128">
        <v>126810000000</v>
      </c>
      <c r="AQ25" s="125" t="s">
        <v>340</v>
      </c>
      <c r="AR25" s="125" t="s">
        <v>340</v>
      </c>
      <c r="AS25" s="125" t="s">
        <v>340</v>
      </c>
      <c r="AT25" s="125" t="s">
        <v>340</v>
      </c>
      <c r="AU25" s="128">
        <v>-29434000000</v>
      </c>
      <c r="AV25" s="128">
        <v>-30689000000</v>
      </c>
      <c r="AW25" s="128">
        <v>-32293000000</v>
      </c>
      <c r="AX25" s="128">
        <v>-32810000000</v>
      </c>
      <c r="AY25" s="128">
        <v>-4408000000</v>
      </c>
      <c r="AZ25" s="128">
        <v>-3492000000</v>
      </c>
      <c r="BA25" s="128">
        <v>-3145000000</v>
      </c>
      <c r="BB25" s="128">
        <v>-3440000000</v>
      </c>
      <c r="BC25" s="128">
        <v>-57533000000</v>
      </c>
      <c r="BD25" s="128">
        <v>-55477000000</v>
      </c>
      <c r="BE25" s="128">
        <v>-64229000000</v>
      </c>
      <c r="BF25" s="128">
        <v>-73126000000</v>
      </c>
      <c r="BG25" s="128">
        <v>12220000000</v>
      </c>
      <c r="BH25" s="128">
        <v>14334000000</v>
      </c>
      <c r="BI25" s="128">
        <v>15242000000</v>
      </c>
      <c r="BJ25" s="128">
        <v>17434000000</v>
      </c>
      <c r="BK25" s="128">
        <v>-4581000000</v>
      </c>
      <c r="BL25" s="128">
        <v>-5243000000</v>
      </c>
      <c r="BM25" s="128">
        <v>-3911000000</v>
      </c>
      <c r="BN25" s="128">
        <v>-3347000000</v>
      </c>
      <c r="BO25" s="128">
        <v>-4581000000</v>
      </c>
      <c r="BP25" s="128">
        <v>-5243000000</v>
      </c>
      <c r="BQ25" s="128">
        <v>-3911000000</v>
      </c>
      <c r="BR25" s="128">
        <v>-3347000000</v>
      </c>
      <c r="BS25" s="128">
        <v>0</v>
      </c>
      <c r="BT25" s="128">
        <v>0</v>
      </c>
      <c r="BU25" s="128">
        <v>0</v>
      </c>
      <c r="BV25" s="128">
        <v>0</v>
      </c>
      <c r="BW25" s="128">
        <v>4970000000</v>
      </c>
      <c r="BX25" s="128">
        <v>7421000000</v>
      </c>
      <c r="BY25" s="128">
        <v>8016000000</v>
      </c>
      <c r="BZ25" s="128">
        <v>9985000000</v>
      </c>
      <c r="CA25" s="128">
        <v>61962000000</v>
      </c>
      <c r="CB25" s="128">
        <v>55605000000</v>
      </c>
      <c r="CC25" s="128">
        <v>52022000000</v>
      </c>
      <c r="CD25" s="128">
        <v>53296000000</v>
      </c>
      <c r="CE25" s="128">
        <v>11531000000</v>
      </c>
      <c r="CF25" s="128">
        <v>11128000000</v>
      </c>
      <c r="CG25" s="128">
        <v>11653000000</v>
      </c>
      <c r="CH25" s="128">
        <v>12181000000</v>
      </c>
      <c r="CI25" s="128">
        <v>11582000000</v>
      </c>
      <c r="CJ25" s="128">
        <v>11809000000</v>
      </c>
      <c r="CK25" s="128">
        <v>13374000000</v>
      </c>
      <c r="CL25" s="128">
        <v>11850000000</v>
      </c>
      <c r="CM25" s="128">
        <v>1810000000</v>
      </c>
      <c r="CN25" s="128">
        <v>2560000000</v>
      </c>
      <c r="CO25" s="128">
        <v>1508000000</v>
      </c>
      <c r="CP25" s="128">
        <v>1274000000</v>
      </c>
      <c r="CQ25" s="128">
        <v>37039000000</v>
      </c>
      <c r="CR25" s="128">
        <v>30108000000</v>
      </c>
      <c r="CS25" s="128">
        <v>25487000000</v>
      </c>
      <c r="CT25" s="128">
        <v>27991000000</v>
      </c>
      <c r="CU25" s="125" t="s">
        <v>340</v>
      </c>
      <c r="CV25" s="125" t="s">
        <v>340</v>
      </c>
      <c r="CW25" s="125" t="s">
        <v>340</v>
      </c>
      <c r="CX25" s="125" t="s">
        <v>340</v>
      </c>
      <c r="CY25" s="128">
        <v>10232000000</v>
      </c>
      <c r="CZ25" s="128">
        <v>10015000000</v>
      </c>
      <c r="DA25" s="128">
        <v>16479000000</v>
      </c>
      <c r="DB25" s="128">
        <v>11502000000</v>
      </c>
      <c r="DC25" s="128">
        <v>103944000000</v>
      </c>
      <c r="DD25" s="128">
        <v>100121000000</v>
      </c>
      <c r="DE25" s="128">
        <v>97533000000</v>
      </c>
      <c r="DF25" s="128">
        <v>94478000000</v>
      </c>
      <c r="DG25" s="16">
        <f t="shared" si="2"/>
        <v>103595000000</v>
      </c>
      <c r="DH25" s="16">
        <f t="shared" si="3"/>
        <v>-29434000000</v>
      </c>
      <c r="DI25" s="16">
        <f t="shared" si="4"/>
        <v>-61941000000</v>
      </c>
      <c r="DJ25" s="16">
        <f t="shared" si="5"/>
        <v>-4581000000</v>
      </c>
      <c r="DK25" s="16">
        <f t="shared" si="6"/>
        <v>7639000000</v>
      </c>
      <c r="DL25" s="57">
        <f t="shared" si="7"/>
        <v>7.3739080071432025E-2</v>
      </c>
      <c r="DM25" s="57">
        <f t="shared" si="8"/>
        <v>7.9609404310308898E-2</v>
      </c>
      <c r="DN25" s="58">
        <f t="shared" si="9"/>
        <v>-4408000000</v>
      </c>
      <c r="DO25" s="16">
        <f t="shared" si="10"/>
        <v>11329500000</v>
      </c>
      <c r="DP25" s="16">
        <f t="shared" si="11"/>
        <v>10123500000</v>
      </c>
      <c r="DQ25" s="61"/>
      <c r="DR25" s="62">
        <f t="shared" si="12"/>
        <v>103992000000</v>
      </c>
      <c r="DS25" s="62">
        <f t="shared" si="13"/>
        <v>-30689000000</v>
      </c>
      <c r="DT25" s="62">
        <f t="shared" si="14"/>
        <v>-58969000000</v>
      </c>
      <c r="DU25" s="62">
        <f t="shared" si="15"/>
        <v>-5243000000</v>
      </c>
      <c r="DV25" s="62">
        <f t="shared" si="16"/>
        <v>9091000000</v>
      </c>
      <c r="DW25" s="63">
        <f t="shared" si="17"/>
        <v>8.7420186168166783E-2</v>
      </c>
      <c r="DX25" s="63">
        <f t="shared" si="18"/>
        <v>9.579456486233022E-2</v>
      </c>
      <c r="DY25" s="64">
        <f t="shared" si="19"/>
        <v>-3492000000</v>
      </c>
      <c r="DZ25" s="64">
        <f t="shared" si="20"/>
        <v>11390500000</v>
      </c>
      <c r="EA25" s="64">
        <f t="shared" si="21"/>
        <v>13247000000</v>
      </c>
      <c r="EB25" s="61"/>
      <c r="EC25" s="64">
        <f t="shared" si="22"/>
        <v>114909000000</v>
      </c>
      <c r="ED25" s="64">
        <f t="shared" si="23"/>
        <v>-32293000000</v>
      </c>
      <c r="EE25" s="64">
        <f t="shared" si="24"/>
        <v>-67374000000</v>
      </c>
      <c r="EF25" s="64">
        <f t="shared" si="25"/>
        <v>-3911000000</v>
      </c>
      <c r="EG25" s="64">
        <f t="shared" si="26"/>
        <v>11331000000</v>
      </c>
      <c r="EH25" s="63">
        <f t="shared" si="27"/>
        <v>9.8608464088974751E-2</v>
      </c>
      <c r="EI25" s="57">
        <f t="shared" si="28"/>
        <v>0.10939581764467358</v>
      </c>
      <c r="EJ25" s="64">
        <f t="shared" si="29"/>
        <v>-3145000000</v>
      </c>
      <c r="EK25" s="64">
        <f t="shared" si="30"/>
        <v>11917000000</v>
      </c>
      <c r="EL25" s="64">
        <f t="shared" si="31"/>
        <v>13990500000</v>
      </c>
      <c r="EM25" s="61"/>
      <c r="EN25" s="66">
        <f t="shared" si="32"/>
        <v>107498666666.66667</v>
      </c>
      <c r="EO25" s="66">
        <f t="shared" si="32"/>
        <v>-30805333333.333332</v>
      </c>
      <c r="EP25" s="66">
        <f t="shared" si="32"/>
        <v>-62761333333.333336</v>
      </c>
      <c r="EQ25" s="66">
        <f t="shared" si="32"/>
        <v>-4578333333.333333</v>
      </c>
      <c r="ER25" s="66">
        <f t="shared" si="33"/>
        <v>9353666666.6666756</v>
      </c>
      <c r="ES25" s="63">
        <f t="shared" si="34"/>
        <v>8.7011931930938757E-2</v>
      </c>
      <c r="ET25" s="67">
        <f t="shared" si="35"/>
        <v>9.5304566372883745E-2</v>
      </c>
      <c r="EU25" s="66">
        <f t="shared" si="36"/>
        <v>3681666666.6666665</v>
      </c>
      <c r="EV25" s="66">
        <f t="shared" si="37"/>
        <v>11545666666.666666</v>
      </c>
      <c r="EW25" s="66">
        <f t="shared" si="37"/>
        <v>12453666666.666666</v>
      </c>
      <c r="EX25" s="70"/>
      <c r="EY25" s="71" t="str">
        <f t="shared" si="38"/>
        <v>完整</v>
      </c>
      <c r="EZ25" s="71" t="str">
        <f t="shared" si="39"/>
        <v>完整</v>
      </c>
      <c r="FA25" s="71" t="str">
        <f t="shared" si="40"/>
        <v>完整</v>
      </c>
      <c r="FB25" s="71" t="str">
        <f t="shared" si="41"/>
        <v>选择</v>
      </c>
      <c r="FC25" s="71" t="str">
        <f t="shared" si="42"/>
        <v>选择</v>
      </c>
    </row>
    <row r="26" spans="1:217" s="3" customFormat="1" ht="12.75" customHeight="1" x14ac:dyDescent="0.25">
      <c r="A26" s="28" t="s">
        <v>190</v>
      </c>
      <c r="B26" s="134" t="str">
        <f t="shared" si="0"/>
        <v>ZHEJIANG DAILY DIGITAL CULTURE GROUP CO.,LTD.</v>
      </c>
      <c r="C26" s="29" t="s">
        <v>328</v>
      </c>
      <c r="D26" s="136" t="s">
        <v>309</v>
      </c>
      <c r="E26" s="33"/>
      <c r="F26" s="34"/>
      <c r="H26" s="31" t="str">
        <f t="shared" si="1"/>
        <v xml:space="preserve"> </v>
      </c>
      <c r="I26" s="29"/>
      <c r="J26" s="29" t="str">
        <f>VLOOKUP(Z:Z,'[1]AP 2022'!FD25:FF181,2,FALSE)</f>
        <v>exclude</v>
      </c>
      <c r="K26" s="47" t="str">
        <f>VLOOKUP(Z:Z,'[1]AP 2022'!FD25:FF181,3,0)</f>
        <v>Independence(A+, A, A-, U)</v>
      </c>
      <c r="L26" s="48"/>
      <c r="M26" s="125" t="s">
        <v>518</v>
      </c>
      <c r="N26" s="125" t="s">
        <v>519</v>
      </c>
      <c r="O26" s="125" t="s">
        <v>413</v>
      </c>
      <c r="P26" s="125" t="s">
        <v>520</v>
      </c>
      <c r="Q26" s="124"/>
      <c r="R26" s="125" t="s">
        <v>423</v>
      </c>
      <c r="S26" s="125" t="s">
        <v>521</v>
      </c>
      <c r="T26" s="125" t="s">
        <v>365</v>
      </c>
      <c r="U26" s="125" t="s">
        <v>321</v>
      </c>
      <c r="V26" s="125" t="s">
        <v>522</v>
      </c>
      <c r="W26" s="125" t="s">
        <v>523</v>
      </c>
      <c r="X26" s="125" t="s">
        <v>524</v>
      </c>
      <c r="Y26" s="124"/>
      <c r="Z26" s="125" t="s">
        <v>525</v>
      </c>
      <c r="AA26" s="128">
        <v>5220069000</v>
      </c>
      <c r="AB26" s="128">
        <v>3086142000</v>
      </c>
      <c r="AC26" s="128">
        <v>3559280000</v>
      </c>
      <c r="AD26" s="128">
        <v>2856572000</v>
      </c>
      <c r="AE26" s="128">
        <v>5183242000</v>
      </c>
      <c r="AF26" s="128">
        <v>3060660000</v>
      </c>
      <c r="AG26" s="128">
        <v>3530420000</v>
      </c>
      <c r="AH26" s="128">
        <v>2828772000</v>
      </c>
      <c r="AI26" s="128">
        <v>-21563000</v>
      </c>
      <c r="AJ26" s="128">
        <v>-14781000</v>
      </c>
      <c r="AK26" s="128">
        <v>-21636000</v>
      </c>
      <c r="AL26" s="128">
        <v>-17256000</v>
      </c>
      <c r="AM26" s="128">
        <v>5161679000</v>
      </c>
      <c r="AN26" s="128">
        <v>3045879000</v>
      </c>
      <c r="AO26" s="128">
        <v>3508784000</v>
      </c>
      <c r="AP26" s="128">
        <v>2811516000</v>
      </c>
      <c r="AQ26" s="128">
        <v>58390000</v>
      </c>
      <c r="AR26" s="128">
        <v>40263000</v>
      </c>
      <c r="AS26" s="128">
        <v>50496000</v>
      </c>
      <c r="AT26" s="128">
        <v>45056000</v>
      </c>
      <c r="AU26" s="128">
        <v>-1766667000</v>
      </c>
      <c r="AV26" s="128">
        <v>-622163000</v>
      </c>
      <c r="AW26" s="128">
        <v>-890756000</v>
      </c>
      <c r="AX26" s="128">
        <v>-726419000</v>
      </c>
      <c r="AY26" s="125" t="s">
        <v>340</v>
      </c>
      <c r="AZ26" s="125" t="s">
        <v>340</v>
      </c>
      <c r="BA26" s="125" t="s">
        <v>340</v>
      </c>
      <c r="BB26" s="125" t="s">
        <v>340</v>
      </c>
      <c r="BC26" s="128">
        <v>-2302235000</v>
      </c>
      <c r="BD26" s="128">
        <v>-1440418000</v>
      </c>
      <c r="BE26" s="128">
        <v>-1547666000</v>
      </c>
      <c r="BF26" s="128">
        <v>-1457815000</v>
      </c>
      <c r="BG26" s="128">
        <v>1151167000</v>
      </c>
      <c r="BH26" s="128">
        <v>1023561000</v>
      </c>
      <c r="BI26" s="128">
        <v>1120858000</v>
      </c>
      <c r="BJ26" s="128">
        <v>672338000</v>
      </c>
      <c r="BK26" s="128">
        <v>-312127000</v>
      </c>
      <c r="BL26" s="128">
        <v>-504056000</v>
      </c>
      <c r="BM26" s="128">
        <v>-188446000</v>
      </c>
      <c r="BN26" s="128">
        <v>-157620000</v>
      </c>
      <c r="BO26" s="128">
        <v>-111529000</v>
      </c>
      <c r="BP26" s="128">
        <v>-104261000</v>
      </c>
      <c r="BQ26" s="128">
        <v>-54891000</v>
      </c>
      <c r="BR26" s="128">
        <v>-40115000</v>
      </c>
      <c r="BS26" s="128">
        <v>-200598000</v>
      </c>
      <c r="BT26" s="128">
        <v>-399795000</v>
      </c>
      <c r="BU26" s="128">
        <v>-133555000</v>
      </c>
      <c r="BV26" s="128">
        <v>-117505000</v>
      </c>
      <c r="BW26" s="128">
        <v>489693000</v>
      </c>
      <c r="BX26" s="128">
        <v>516626000</v>
      </c>
      <c r="BY26" s="128">
        <v>511588000</v>
      </c>
      <c r="BZ26" s="128">
        <v>500183000</v>
      </c>
      <c r="CA26" s="128">
        <v>2448006000</v>
      </c>
      <c r="CB26" s="128">
        <v>2263951000</v>
      </c>
      <c r="CC26" s="128">
        <v>2569492000</v>
      </c>
      <c r="CD26" s="128">
        <v>3180626000</v>
      </c>
      <c r="CE26" s="128">
        <v>18857000</v>
      </c>
      <c r="CF26" s="128">
        <v>27168000</v>
      </c>
      <c r="CG26" s="128">
        <v>13804000</v>
      </c>
      <c r="CH26" s="128">
        <v>8195000</v>
      </c>
      <c r="CI26" s="128">
        <v>320669000</v>
      </c>
      <c r="CJ26" s="128">
        <v>230867000</v>
      </c>
      <c r="CK26" s="128">
        <v>209976000</v>
      </c>
      <c r="CL26" s="128">
        <v>190075000</v>
      </c>
      <c r="CM26" s="128">
        <v>296672000</v>
      </c>
      <c r="CN26" s="128">
        <v>217286000</v>
      </c>
      <c r="CO26" s="128">
        <v>455820000</v>
      </c>
      <c r="CP26" s="128">
        <v>668713000</v>
      </c>
      <c r="CQ26" s="128">
        <v>1669645000</v>
      </c>
      <c r="CR26" s="128">
        <v>1725393000</v>
      </c>
      <c r="CS26" s="128">
        <v>1811594000</v>
      </c>
      <c r="CT26" s="128">
        <v>2241283000</v>
      </c>
      <c r="CU26" s="128">
        <v>531106000</v>
      </c>
      <c r="CV26" s="128">
        <v>883729000</v>
      </c>
      <c r="CW26" s="128">
        <v>1003131000</v>
      </c>
      <c r="CX26" s="128">
        <v>595269000</v>
      </c>
      <c r="CY26" s="128">
        <v>755367000</v>
      </c>
      <c r="CZ26" s="128">
        <v>401533000</v>
      </c>
      <c r="DA26" s="128">
        <v>571586000</v>
      </c>
      <c r="DB26" s="128">
        <v>361224000</v>
      </c>
      <c r="DC26" s="128">
        <v>12199555000</v>
      </c>
      <c r="DD26" s="128">
        <v>11905752000</v>
      </c>
      <c r="DE26" s="128">
        <v>11187230000</v>
      </c>
      <c r="DF26" s="128">
        <v>11204741000</v>
      </c>
      <c r="DG26" s="16">
        <f t="shared" si="2"/>
        <v>5161679000</v>
      </c>
      <c r="DH26" s="16">
        <f t="shared" si="3"/>
        <v>-1766667000</v>
      </c>
      <c r="DI26" s="16">
        <f t="shared" si="4"/>
        <v>-2302235000</v>
      </c>
      <c r="DJ26" s="16">
        <f t="shared" si="5"/>
        <v>-312127000</v>
      </c>
      <c r="DK26" s="16">
        <f t="shared" si="6"/>
        <v>780650000</v>
      </c>
      <c r="DL26" s="57">
        <f t="shared" si="7"/>
        <v>0.1512395482167721</v>
      </c>
      <c r="DM26" s="57">
        <f t="shared" si="8"/>
        <v>0.17818873146012043</v>
      </c>
      <c r="DN26" s="58" t="str">
        <f t="shared" si="9"/>
        <v>n.a.</v>
      </c>
      <c r="DO26" s="16">
        <f t="shared" si="10"/>
        <v>23012500</v>
      </c>
      <c r="DP26" s="16">
        <f t="shared" si="11"/>
        <v>578450000</v>
      </c>
      <c r="DQ26" s="61"/>
      <c r="DR26" s="62">
        <f t="shared" si="12"/>
        <v>3045879000</v>
      </c>
      <c r="DS26" s="62">
        <f t="shared" si="13"/>
        <v>-622163000</v>
      </c>
      <c r="DT26" s="62">
        <f t="shared" si="14"/>
        <v>-1440418000</v>
      </c>
      <c r="DU26" s="62">
        <f t="shared" si="15"/>
        <v>-504056000</v>
      </c>
      <c r="DV26" s="62">
        <f t="shared" si="16"/>
        <v>479242000</v>
      </c>
      <c r="DW26" s="63">
        <f t="shared" si="17"/>
        <v>0.1573411156516723</v>
      </c>
      <c r="DX26" s="63">
        <f t="shared" si="18"/>
        <v>0.1867198205277957</v>
      </c>
      <c r="DY26" s="64" t="str">
        <f t="shared" si="19"/>
        <v>n.a.</v>
      </c>
      <c r="DZ26" s="64">
        <f t="shared" si="20"/>
        <v>20486000</v>
      </c>
      <c r="EA26" s="64">
        <f t="shared" si="21"/>
        <v>486559500</v>
      </c>
      <c r="EB26" s="61"/>
      <c r="EC26" s="64">
        <f t="shared" si="22"/>
        <v>3508784000</v>
      </c>
      <c r="ED26" s="64">
        <f t="shared" si="23"/>
        <v>-890756000</v>
      </c>
      <c r="EE26" s="64">
        <f t="shared" si="24"/>
        <v>-1547666000</v>
      </c>
      <c r="EF26" s="64">
        <f t="shared" si="25"/>
        <v>-188446000</v>
      </c>
      <c r="EG26" s="64">
        <f t="shared" si="26"/>
        <v>881916000</v>
      </c>
      <c r="EH26" s="63">
        <f t="shared" si="27"/>
        <v>0.25134519537252792</v>
      </c>
      <c r="EI26" s="57">
        <f t="shared" si="28"/>
        <v>0.33572908878558039</v>
      </c>
      <c r="EJ26" s="64" t="str">
        <f t="shared" si="29"/>
        <v>n.a.</v>
      </c>
      <c r="EK26" s="64">
        <f t="shared" si="30"/>
        <v>10999500</v>
      </c>
      <c r="EL26" s="64">
        <f t="shared" si="31"/>
        <v>466405000</v>
      </c>
      <c r="EM26" s="61"/>
      <c r="EN26" s="66">
        <f t="shared" si="32"/>
        <v>3905447333.3333335</v>
      </c>
      <c r="EO26" s="66">
        <f t="shared" si="32"/>
        <v>-1093195333.3333333</v>
      </c>
      <c r="EP26" s="66">
        <f t="shared" si="32"/>
        <v>-1763439666.6666667</v>
      </c>
      <c r="EQ26" s="66">
        <f t="shared" si="32"/>
        <v>-334876333.33333331</v>
      </c>
      <c r="ER26" s="66">
        <f t="shared" si="33"/>
        <v>713936000</v>
      </c>
      <c r="ES26" s="63">
        <f t="shared" si="34"/>
        <v>0.18280517929572215</v>
      </c>
      <c r="ET26" s="67">
        <f t="shared" si="35"/>
        <v>0.22369840662741391</v>
      </c>
      <c r="EU26" s="66" t="e">
        <f t="shared" si="36"/>
        <v>#VALUE!</v>
      </c>
      <c r="EV26" s="66">
        <f t="shared" si="37"/>
        <v>18166000</v>
      </c>
      <c r="EW26" s="66">
        <f t="shared" si="37"/>
        <v>510471500</v>
      </c>
      <c r="EX26" s="70"/>
      <c r="EY26" s="71" t="str">
        <f t="shared" si="38"/>
        <v>完整</v>
      </c>
      <c r="EZ26" s="71" t="str">
        <f t="shared" si="39"/>
        <v>完整</v>
      </c>
      <c r="FA26" s="71" t="str">
        <f t="shared" si="40"/>
        <v>完整</v>
      </c>
      <c r="FB26" s="71" t="str">
        <f t="shared" si="41"/>
        <v>选择</v>
      </c>
      <c r="FC26" s="71" t="str">
        <f t="shared" si="42"/>
        <v>选择</v>
      </c>
      <c r="FD26" s="72"/>
      <c r="FE26" s="72"/>
      <c r="FF26" s="72"/>
      <c r="FG26" s="72"/>
      <c r="FH26" s="72"/>
      <c r="FI26" s="72"/>
      <c r="FJ26" s="72"/>
      <c r="FK26" s="72"/>
      <c r="FL26" s="72"/>
      <c r="FM26" s="72"/>
      <c r="FN26" s="72"/>
      <c r="FO26" s="72"/>
      <c r="FP26" s="72"/>
      <c r="FQ26" s="72"/>
      <c r="FR26" s="72"/>
      <c r="FS26" s="72"/>
      <c r="FT26" s="72"/>
      <c r="FU26" s="72"/>
      <c r="FV26" s="72"/>
      <c r="FW26" s="72"/>
      <c r="FX26" s="72"/>
      <c r="FY26" s="72"/>
      <c r="FZ26" s="72"/>
      <c r="GA26" s="72"/>
      <c r="GB26" s="72"/>
      <c r="GC26" s="72"/>
      <c r="GD26" s="72"/>
      <c r="GE26" s="72"/>
      <c r="GF26" s="72"/>
      <c r="GG26" s="72"/>
      <c r="GH26" s="72"/>
      <c r="GI26" s="72"/>
      <c r="GJ26" s="72"/>
      <c r="GK26" s="72"/>
      <c r="GL26" s="72"/>
      <c r="GM26" s="72"/>
      <c r="GN26" s="72"/>
      <c r="GO26" s="72"/>
      <c r="GP26" s="72"/>
      <c r="GQ26" s="72"/>
      <c r="GR26" s="72"/>
      <c r="GS26" s="72"/>
      <c r="GT26" s="72"/>
      <c r="GU26" s="72"/>
      <c r="GV26" s="72"/>
      <c r="GW26" s="72"/>
      <c r="GX26" s="72"/>
      <c r="GY26" s="72"/>
      <c r="GZ26" s="72"/>
      <c r="HA26" s="72"/>
      <c r="HB26" s="72"/>
      <c r="HC26" s="72"/>
      <c r="HD26" s="72"/>
      <c r="HE26" s="72"/>
      <c r="HF26" s="72"/>
      <c r="HG26" s="72"/>
      <c r="HH26" s="72"/>
      <c r="HI26" s="72"/>
    </row>
    <row r="27" spans="1:217" s="3" customFormat="1" ht="12.75" customHeight="1" x14ac:dyDescent="0.25">
      <c r="A27" s="28" t="s">
        <v>191</v>
      </c>
      <c r="B27" s="134" t="str">
        <f t="shared" si="0"/>
        <v>SYOUNG GROUP CO., LTD.</v>
      </c>
      <c r="C27" s="29" t="s">
        <v>328</v>
      </c>
      <c r="D27" s="136" t="s">
        <v>309</v>
      </c>
      <c r="E27" s="33"/>
      <c r="H27" s="31" t="str">
        <f t="shared" si="1"/>
        <v xml:space="preserve"> </v>
      </c>
      <c r="I27" s="29"/>
      <c r="J27" s="29" t="str">
        <f>VLOOKUP(Z:Z,'[1]AP 2022'!FD26:FF181,2,FALSE)</f>
        <v>exclude</v>
      </c>
      <c r="K27" s="47" t="str">
        <f>VLOOKUP(Z:Z,'[1]AP 2022'!FD26:FF181,3,0)</f>
        <v>Independence(A+, A, A-, U)</v>
      </c>
      <c r="L27" s="48"/>
      <c r="M27" s="125" t="s">
        <v>526</v>
      </c>
      <c r="N27" s="125" t="s">
        <v>527</v>
      </c>
      <c r="O27" s="125" t="s">
        <v>331</v>
      </c>
      <c r="P27" s="124"/>
      <c r="Q27" s="124"/>
      <c r="R27" s="125" t="s">
        <v>423</v>
      </c>
      <c r="S27" s="125" t="s">
        <v>528</v>
      </c>
      <c r="T27" s="125" t="s">
        <v>365</v>
      </c>
      <c r="U27" s="125" t="s">
        <v>321</v>
      </c>
      <c r="V27" s="125" t="s">
        <v>529</v>
      </c>
      <c r="W27" s="125" t="s">
        <v>530</v>
      </c>
      <c r="X27" s="125" t="s">
        <v>531</v>
      </c>
      <c r="Y27" s="124"/>
      <c r="Z27" s="125" t="s">
        <v>532</v>
      </c>
      <c r="AA27" s="128">
        <v>4713993000</v>
      </c>
      <c r="AB27" s="128">
        <v>5004720000</v>
      </c>
      <c r="AC27" s="128">
        <v>3701021000</v>
      </c>
      <c r="AD27" s="128">
        <v>2408201000</v>
      </c>
      <c r="AE27" s="128">
        <v>4696578000</v>
      </c>
      <c r="AF27" s="128">
        <v>4994470000</v>
      </c>
      <c r="AG27" s="128">
        <v>3709649000</v>
      </c>
      <c r="AH27" s="128">
        <v>2404522000</v>
      </c>
      <c r="AI27" s="128">
        <v>-23899000</v>
      </c>
      <c r="AJ27" s="128">
        <v>-19721000</v>
      </c>
      <c r="AK27" s="128">
        <v>-17274000</v>
      </c>
      <c r="AL27" s="128">
        <v>-11321000</v>
      </c>
      <c r="AM27" s="128">
        <v>4672679000</v>
      </c>
      <c r="AN27" s="128">
        <v>4974749000</v>
      </c>
      <c r="AO27" s="128">
        <v>3692375000</v>
      </c>
      <c r="AP27" s="128">
        <v>2393201000</v>
      </c>
      <c r="AQ27" s="128">
        <v>41314000</v>
      </c>
      <c r="AR27" s="128">
        <v>29971000</v>
      </c>
      <c r="AS27" s="128">
        <v>8646000</v>
      </c>
      <c r="AT27" s="128">
        <v>15000000</v>
      </c>
      <c r="AU27" s="128">
        <v>-2168849000</v>
      </c>
      <c r="AV27" s="128">
        <v>-2378772000</v>
      </c>
      <c r="AW27" s="128">
        <v>-1867870000</v>
      </c>
      <c r="AX27" s="128">
        <v>-1163167000</v>
      </c>
      <c r="AY27" s="125" t="s">
        <v>340</v>
      </c>
      <c r="AZ27" s="125" t="s">
        <v>340</v>
      </c>
      <c r="BA27" s="125" t="s">
        <v>340</v>
      </c>
      <c r="BB27" s="125" t="s">
        <v>340</v>
      </c>
      <c r="BC27" s="128">
        <v>-2327326000</v>
      </c>
      <c r="BD27" s="128">
        <v>-2295855000</v>
      </c>
      <c r="BE27" s="128">
        <v>-1612398000</v>
      </c>
      <c r="BF27" s="128">
        <v>-1191306000</v>
      </c>
      <c r="BG27" s="128">
        <v>217818000</v>
      </c>
      <c r="BH27" s="128">
        <v>330093000</v>
      </c>
      <c r="BI27" s="128">
        <v>220753000</v>
      </c>
      <c r="BJ27" s="128">
        <v>53728000</v>
      </c>
      <c r="BK27" s="128">
        <v>-33408000</v>
      </c>
      <c r="BL27" s="128">
        <v>-15481000</v>
      </c>
      <c r="BM27" s="128">
        <v>-14143000</v>
      </c>
      <c r="BN27" s="128">
        <v>-13634000</v>
      </c>
      <c r="BO27" s="128">
        <v>-30122000</v>
      </c>
      <c r="BP27" s="128">
        <v>-12604000</v>
      </c>
      <c r="BQ27" s="128">
        <v>-11326000</v>
      </c>
      <c r="BR27" s="128">
        <v>-11118000</v>
      </c>
      <c r="BS27" s="128">
        <v>-3286000</v>
      </c>
      <c r="BT27" s="128">
        <v>-2877000</v>
      </c>
      <c r="BU27" s="128">
        <v>-2817000</v>
      </c>
      <c r="BV27" s="128">
        <v>-2516000</v>
      </c>
      <c r="BW27" s="128">
        <v>124785000</v>
      </c>
      <c r="BX27" s="128">
        <v>236419000</v>
      </c>
      <c r="BY27" s="128">
        <v>140274000</v>
      </c>
      <c r="BZ27" s="128">
        <v>27223000</v>
      </c>
      <c r="CA27" s="128">
        <v>1870043000</v>
      </c>
      <c r="CB27" s="128">
        <v>1679972000</v>
      </c>
      <c r="CC27" s="128">
        <v>1619851000</v>
      </c>
      <c r="CD27" s="128">
        <v>1489923000</v>
      </c>
      <c r="CE27" s="128">
        <v>898873000</v>
      </c>
      <c r="CF27" s="128">
        <v>727937000</v>
      </c>
      <c r="CG27" s="128">
        <v>695613000</v>
      </c>
      <c r="CH27" s="128">
        <v>737953000</v>
      </c>
      <c r="CI27" s="128">
        <v>324558000</v>
      </c>
      <c r="CJ27" s="128">
        <v>280073000</v>
      </c>
      <c r="CK27" s="128">
        <v>216659000</v>
      </c>
      <c r="CL27" s="128">
        <v>117759000</v>
      </c>
      <c r="CM27" s="128">
        <v>115166000</v>
      </c>
      <c r="CN27" s="128">
        <v>69356000</v>
      </c>
      <c r="CO27" s="128">
        <v>107198000</v>
      </c>
      <c r="CP27" s="128">
        <v>58225000</v>
      </c>
      <c r="CQ27" s="128">
        <v>445415000</v>
      </c>
      <c r="CR27" s="128">
        <v>479909000</v>
      </c>
      <c r="CS27" s="128">
        <v>510155000</v>
      </c>
      <c r="CT27" s="128">
        <v>497710000</v>
      </c>
      <c r="CU27" s="128">
        <v>152257000</v>
      </c>
      <c r="CV27" s="128">
        <v>95745000</v>
      </c>
      <c r="CW27" s="128">
        <v>50307000</v>
      </c>
      <c r="CX27" s="128">
        <v>135868000</v>
      </c>
      <c r="CY27" s="128">
        <v>402660000</v>
      </c>
      <c r="CZ27" s="128">
        <v>523369000</v>
      </c>
      <c r="DA27" s="128">
        <v>191135000</v>
      </c>
      <c r="DB27" s="128">
        <v>19081000</v>
      </c>
      <c r="DC27" s="128">
        <v>3649040000</v>
      </c>
      <c r="DD27" s="128">
        <v>2745404000</v>
      </c>
      <c r="DE27" s="128">
        <v>2172512000</v>
      </c>
      <c r="DF27" s="128">
        <v>1842887000</v>
      </c>
      <c r="DG27" s="16">
        <f t="shared" si="2"/>
        <v>4672679000</v>
      </c>
      <c r="DH27" s="16">
        <f t="shared" si="3"/>
        <v>-2168849000</v>
      </c>
      <c r="DI27" s="16">
        <f t="shared" si="4"/>
        <v>-2327326000</v>
      </c>
      <c r="DJ27" s="16">
        <f t="shared" si="5"/>
        <v>-33408000</v>
      </c>
      <c r="DK27" s="16">
        <f t="shared" si="6"/>
        <v>143096000</v>
      </c>
      <c r="DL27" s="57">
        <f t="shared" si="7"/>
        <v>3.0623973955839896E-2</v>
      </c>
      <c r="DM27" s="57">
        <f t="shared" si="8"/>
        <v>3.1591429056493724E-2</v>
      </c>
      <c r="DN27" s="58" t="str">
        <f t="shared" si="9"/>
        <v>n.a.</v>
      </c>
      <c r="DO27" s="16">
        <f t="shared" si="10"/>
        <v>813405000</v>
      </c>
      <c r="DP27" s="16">
        <f t="shared" si="11"/>
        <v>463014500</v>
      </c>
      <c r="DQ27" s="61"/>
      <c r="DR27" s="62">
        <f t="shared" si="12"/>
        <v>4974749000</v>
      </c>
      <c r="DS27" s="62">
        <f t="shared" si="13"/>
        <v>-2378772000</v>
      </c>
      <c r="DT27" s="62">
        <f t="shared" si="14"/>
        <v>-2295855000</v>
      </c>
      <c r="DU27" s="62">
        <f t="shared" si="15"/>
        <v>-15481000</v>
      </c>
      <c r="DV27" s="62">
        <f t="shared" si="16"/>
        <v>284641000</v>
      </c>
      <c r="DW27" s="63">
        <f t="shared" si="17"/>
        <v>5.7217158091795187E-2</v>
      </c>
      <c r="DX27" s="63">
        <f t="shared" si="18"/>
        <v>6.068964723200404E-2</v>
      </c>
      <c r="DY27" s="64" t="str">
        <f t="shared" si="19"/>
        <v>n.a.</v>
      </c>
      <c r="DZ27" s="64">
        <f t="shared" si="20"/>
        <v>711775000</v>
      </c>
      <c r="EA27" s="64">
        <f t="shared" si="21"/>
        <v>357252000</v>
      </c>
      <c r="EB27" s="61"/>
      <c r="EC27" s="64">
        <f t="shared" si="22"/>
        <v>3692375000</v>
      </c>
      <c r="ED27" s="64">
        <f t="shared" si="23"/>
        <v>-1867870000</v>
      </c>
      <c r="EE27" s="64">
        <f t="shared" si="24"/>
        <v>-1612398000</v>
      </c>
      <c r="EF27" s="64">
        <f t="shared" si="25"/>
        <v>-14143000</v>
      </c>
      <c r="EG27" s="64">
        <f t="shared" si="26"/>
        <v>197964000</v>
      </c>
      <c r="EH27" s="63">
        <f t="shared" si="27"/>
        <v>5.3614272656488035E-2</v>
      </c>
      <c r="EI27" s="57">
        <f t="shared" si="28"/>
        <v>5.6651607381043613E-2</v>
      </c>
      <c r="EJ27" s="64" t="str">
        <f t="shared" si="29"/>
        <v>n.a.</v>
      </c>
      <c r="EK27" s="64">
        <f t="shared" si="30"/>
        <v>716783000</v>
      </c>
      <c r="EL27" s="64">
        <f t="shared" si="31"/>
        <v>105108000</v>
      </c>
      <c r="EM27" s="61"/>
      <c r="EN27" s="66">
        <f t="shared" si="32"/>
        <v>4446601000</v>
      </c>
      <c r="EO27" s="66">
        <f t="shared" si="32"/>
        <v>-2138497000</v>
      </c>
      <c r="EP27" s="66">
        <f t="shared" si="32"/>
        <v>-2078526333.3333333</v>
      </c>
      <c r="EQ27" s="66">
        <f t="shared" si="32"/>
        <v>-21010666.666666668</v>
      </c>
      <c r="ER27" s="66">
        <f t="shared" si="33"/>
        <v>208567000.00000009</v>
      </c>
      <c r="ES27" s="63">
        <f t="shared" si="34"/>
        <v>4.6904815610845245E-2</v>
      </c>
      <c r="ET27" s="67">
        <f t="shared" si="35"/>
        <v>4.9213149304606831E-2</v>
      </c>
      <c r="EU27" s="66" t="e">
        <f t="shared" si="36"/>
        <v>#VALUE!</v>
      </c>
      <c r="EV27" s="66">
        <f t="shared" si="37"/>
        <v>747321000</v>
      </c>
      <c r="EW27" s="66">
        <f t="shared" si="37"/>
        <v>308458166.66666669</v>
      </c>
      <c r="EX27" s="70"/>
      <c r="EY27" s="71" t="str">
        <f t="shared" si="38"/>
        <v>完整</v>
      </c>
      <c r="EZ27" s="71" t="str">
        <f t="shared" si="39"/>
        <v>完整</v>
      </c>
      <c r="FA27" s="71" t="str">
        <f t="shared" si="40"/>
        <v>完整</v>
      </c>
      <c r="FB27" s="71" t="str">
        <f t="shared" si="41"/>
        <v>选择</v>
      </c>
      <c r="FC27" s="71" t="str">
        <f t="shared" si="42"/>
        <v>选择</v>
      </c>
    </row>
    <row r="28" spans="1:217" s="3" customFormat="1" ht="12.75" customHeight="1" x14ac:dyDescent="0.25">
      <c r="A28" s="28" t="s">
        <v>192</v>
      </c>
      <c r="B28" s="134" t="str">
        <f t="shared" si="0"/>
        <v>COLGATE-PALMOLIVE (INDIA) LIMITED</v>
      </c>
      <c r="C28" s="29" t="s">
        <v>328</v>
      </c>
      <c r="D28" s="136" t="s">
        <v>309</v>
      </c>
      <c r="E28" s="33"/>
      <c r="F28" s="34"/>
      <c r="H28" s="31" t="str">
        <f t="shared" si="1"/>
        <v xml:space="preserve"> </v>
      </c>
      <c r="I28" s="29"/>
      <c r="J28" s="29" t="e">
        <f>VLOOKUP(Z:Z,'[1]AP 2022'!FD27:FF181,2,FALSE)</f>
        <v>#N/A</v>
      </c>
      <c r="K28" s="47" t="e">
        <f>VLOOKUP(Z:Z,'[1]AP 2022'!FD27:FF181,3,0)</f>
        <v>#N/A</v>
      </c>
      <c r="L28" s="48"/>
      <c r="M28" s="125" t="s">
        <v>533</v>
      </c>
      <c r="N28" s="125" t="s">
        <v>534</v>
      </c>
      <c r="O28" s="125" t="s">
        <v>331</v>
      </c>
      <c r="P28" s="125" t="s">
        <v>535</v>
      </c>
      <c r="Q28" s="124"/>
      <c r="R28" s="125" t="s">
        <v>353</v>
      </c>
      <c r="S28" s="125" t="s">
        <v>536</v>
      </c>
      <c r="T28" s="125" t="s">
        <v>355</v>
      </c>
      <c r="U28" s="125" t="s">
        <v>321</v>
      </c>
      <c r="V28" s="125" t="s">
        <v>537</v>
      </c>
      <c r="W28" s="125" t="s">
        <v>538</v>
      </c>
      <c r="X28" s="124"/>
      <c r="Y28" s="125" t="s">
        <v>539</v>
      </c>
      <c r="Z28" s="125" t="s">
        <v>540</v>
      </c>
      <c r="AA28" s="128">
        <v>52349074000</v>
      </c>
      <c r="AB28" s="128">
        <v>50997350000</v>
      </c>
      <c r="AC28" s="128">
        <v>48419585000</v>
      </c>
      <c r="AD28" s="128">
        <v>45261141000</v>
      </c>
      <c r="AE28" s="128">
        <v>51878636000</v>
      </c>
      <c r="AF28" s="128">
        <v>50664551000</v>
      </c>
      <c r="AG28" s="128">
        <v>48104794000</v>
      </c>
      <c r="AH28" s="128">
        <v>44875667000</v>
      </c>
      <c r="AI28" s="125" t="s">
        <v>340</v>
      </c>
      <c r="AJ28" s="125" t="s">
        <v>340</v>
      </c>
      <c r="AK28" s="125" t="s">
        <v>340</v>
      </c>
      <c r="AL28" s="128">
        <v>24000000</v>
      </c>
      <c r="AM28" s="128">
        <v>51878636000</v>
      </c>
      <c r="AN28" s="128">
        <v>50664551000</v>
      </c>
      <c r="AO28" s="128">
        <v>48104794000</v>
      </c>
      <c r="AP28" s="128">
        <v>44899667000</v>
      </c>
      <c r="AQ28" s="128">
        <v>470438000</v>
      </c>
      <c r="AR28" s="128">
        <v>332799000</v>
      </c>
      <c r="AS28" s="128">
        <v>314791000</v>
      </c>
      <c r="AT28" s="128">
        <v>361474000</v>
      </c>
      <c r="AU28" s="128">
        <v>-18197974000</v>
      </c>
      <c r="AV28" s="128">
        <v>-16923729000</v>
      </c>
      <c r="AW28" s="128">
        <v>-15742909000</v>
      </c>
      <c r="AX28" s="128">
        <v>-15963627000</v>
      </c>
      <c r="AY28" s="128">
        <v>-122483000</v>
      </c>
      <c r="AZ28" s="128">
        <v>-113584000</v>
      </c>
      <c r="BA28" s="128">
        <v>-161505000</v>
      </c>
      <c r="BB28" s="128">
        <v>-78772000</v>
      </c>
      <c r="BC28" s="128">
        <v>-18461890000</v>
      </c>
      <c r="BD28" s="128">
        <v>-18283779000</v>
      </c>
      <c r="BE28" s="128">
        <v>-17321188000</v>
      </c>
      <c r="BF28" s="128">
        <v>-17017907000</v>
      </c>
      <c r="BG28" s="128">
        <v>15566727000</v>
      </c>
      <c r="BH28" s="128">
        <v>15676258000</v>
      </c>
      <c r="BI28" s="128">
        <v>15193983000</v>
      </c>
      <c r="BJ28" s="128">
        <v>12200835000</v>
      </c>
      <c r="BK28" s="128">
        <v>-1748037000</v>
      </c>
      <c r="BL28" s="128">
        <v>-1773033000</v>
      </c>
      <c r="BM28" s="128">
        <v>-1824973000</v>
      </c>
      <c r="BN28" s="128">
        <v>-1979404000</v>
      </c>
      <c r="BO28" s="128">
        <v>-1748037000</v>
      </c>
      <c r="BP28" s="128">
        <v>-1773033000</v>
      </c>
      <c r="BQ28" s="128">
        <v>-1824973000</v>
      </c>
      <c r="BR28" s="128">
        <v>-1979404000</v>
      </c>
      <c r="BS28" s="128">
        <v>0</v>
      </c>
      <c r="BT28" s="128">
        <v>0</v>
      </c>
      <c r="BU28" s="128">
        <v>0</v>
      </c>
      <c r="BV28" s="128">
        <v>0</v>
      </c>
      <c r="BW28" s="128">
        <v>10471465000</v>
      </c>
      <c r="BX28" s="128">
        <v>10783187000</v>
      </c>
      <c r="BY28" s="128">
        <v>10353854000</v>
      </c>
      <c r="BZ28" s="128">
        <v>8164660000</v>
      </c>
      <c r="CA28" s="128">
        <v>15478836000</v>
      </c>
      <c r="CB28" s="128">
        <v>14828571000</v>
      </c>
      <c r="CC28" s="128">
        <v>13725839000</v>
      </c>
      <c r="CD28" s="128">
        <v>10120310000</v>
      </c>
      <c r="CE28" s="128">
        <v>3354496000</v>
      </c>
      <c r="CF28" s="128">
        <v>3571877000</v>
      </c>
      <c r="CG28" s="128">
        <v>3358214000</v>
      </c>
      <c r="CH28" s="128">
        <v>2969218000</v>
      </c>
      <c r="CI28" s="128">
        <v>1573661000</v>
      </c>
      <c r="CJ28" s="128">
        <v>2246781000</v>
      </c>
      <c r="CK28" s="128">
        <v>710705000</v>
      </c>
      <c r="CL28" s="128">
        <v>1325643000</v>
      </c>
      <c r="CM28" s="128">
        <v>972216000</v>
      </c>
      <c r="CN28" s="128">
        <v>1184226000</v>
      </c>
      <c r="CO28" s="128">
        <v>683336000</v>
      </c>
      <c r="CP28" s="128">
        <v>1313834000</v>
      </c>
      <c r="CQ28" s="128">
        <v>9229952000</v>
      </c>
      <c r="CR28" s="128">
        <v>7547127000</v>
      </c>
      <c r="CS28" s="128">
        <v>8676350000</v>
      </c>
      <c r="CT28" s="128">
        <v>4212685000</v>
      </c>
      <c r="CU28" s="125" t="s">
        <v>340</v>
      </c>
      <c r="CV28" s="125" t="s">
        <v>340</v>
      </c>
      <c r="CW28" s="125" t="s">
        <v>340</v>
      </c>
      <c r="CX28" s="125" t="s">
        <v>340</v>
      </c>
      <c r="CY28" s="128">
        <v>2230277000</v>
      </c>
      <c r="CZ28" s="128">
        <v>2215217000</v>
      </c>
      <c r="DA28" s="128">
        <v>2313466000</v>
      </c>
      <c r="DB28" s="128">
        <v>2729986000</v>
      </c>
      <c r="DC28" s="128">
        <v>28829893000</v>
      </c>
      <c r="DD28" s="128">
        <v>29018314000</v>
      </c>
      <c r="DE28" s="128">
        <v>28940148000</v>
      </c>
      <c r="DF28" s="128">
        <v>26039698000</v>
      </c>
      <c r="DG28" s="16">
        <f t="shared" si="2"/>
        <v>51878636000</v>
      </c>
      <c r="DH28" s="16">
        <f t="shared" si="3"/>
        <v>-18197974000</v>
      </c>
      <c r="DI28" s="16">
        <f t="shared" si="4"/>
        <v>-18584373000</v>
      </c>
      <c r="DJ28" s="16">
        <f t="shared" si="5"/>
        <v>-1748037000</v>
      </c>
      <c r="DK28" s="16">
        <f t="shared" si="6"/>
        <v>13348252000</v>
      </c>
      <c r="DL28" s="57">
        <f t="shared" si="7"/>
        <v>0.25729766680835631</v>
      </c>
      <c r="DM28" s="57">
        <f t="shared" si="8"/>
        <v>0.34643443989553802</v>
      </c>
      <c r="DN28" s="58">
        <f t="shared" si="9"/>
        <v>-122483000</v>
      </c>
      <c r="DO28" s="16">
        <f t="shared" si="10"/>
        <v>3463186500</v>
      </c>
      <c r="DP28" s="16">
        <f t="shared" si="11"/>
        <v>2222747000</v>
      </c>
      <c r="DQ28" s="61"/>
      <c r="DR28" s="62">
        <f t="shared" si="12"/>
        <v>50664551000</v>
      </c>
      <c r="DS28" s="62">
        <f t="shared" si="13"/>
        <v>-16923729000</v>
      </c>
      <c r="DT28" s="62">
        <f t="shared" si="14"/>
        <v>-18397363000</v>
      </c>
      <c r="DU28" s="62">
        <f t="shared" si="15"/>
        <v>-1773033000</v>
      </c>
      <c r="DV28" s="62">
        <f t="shared" si="16"/>
        <v>13570426000</v>
      </c>
      <c r="DW28" s="63">
        <f t="shared" si="17"/>
        <v>0.26784853970185191</v>
      </c>
      <c r="DX28" s="63">
        <f t="shared" si="18"/>
        <v>0.36583760905534229</v>
      </c>
      <c r="DY28" s="64">
        <f t="shared" si="19"/>
        <v>-113584000</v>
      </c>
      <c r="DZ28" s="64">
        <f t="shared" si="20"/>
        <v>3465045500</v>
      </c>
      <c r="EA28" s="64">
        <f t="shared" si="21"/>
        <v>2264341500</v>
      </c>
      <c r="EB28" s="61"/>
      <c r="EC28" s="64">
        <f t="shared" si="22"/>
        <v>48104794000</v>
      </c>
      <c r="ED28" s="64">
        <f t="shared" si="23"/>
        <v>-15742909000</v>
      </c>
      <c r="EE28" s="64">
        <f t="shared" si="24"/>
        <v>-17482693000</v>
      </c>
      <c r="EF28" s="64">
        <f t="shared" si="25"/>
        <v>-1824973000</v>
      </c>
      <c r="EG28" s="64">
        <f t="shared" si="26"/>
        <v>13054219000</v>
      </c>
      <c r="EH28" s="63">
        <f t="shared" si="27"/>
        <v>0.27137043763247382</v>
      </c>
      <c r="EI28" s="57">
        <f t="shared" si="28"/>
        <v>0.37243951062143776</v>
      </c>
      <c r="EJ28" s="64">
        <f t="shared" si="29"/>
        <v>-161505000</v>
      </c>
      <c r="EK28" s="64">
        <f t="shared" si="30"/>
        <v>3163716000</v>
      </c>
      <c r="EL28" s="64">
        <f t="shared" si="31"/>
        <v>2521726000</v>
      </c>
      <c r="EM28" s="61"/>
      <c r="EN28" s="66">
        <f t="shared" si="32"/>
        <v>50215993666.666664</v>
      </c>
      <c r="EO28" s="66">
        <f t="shared" si="32"/>
        <v>-16954870666.666666</v>
      </c>
      <c r="EP28" s="66">
        <f t="shared" si="32"/>
        <v>-18154809666.666668</v>
      </c>
      <c r="EQ28" s="66">
        <f t="shared" si="32"/>
        <v>-1782014333.3333333</v>
      </c>
      <c r="ER28" s="66">
        <f t="shared" si="33"/>
        <v>13324298999.999998</v>
      </c>
      <c r="ES28" s="63">
        <f t="shared" si="34"/>
        <v>0.26533974590738124</v>
      </c>
      <c r="ET28" s="67">
        <f t="shared" si="35"/>
        <v>0.36117340556976663</v>
      </c>
      <c r="EU28" s="66">
        <f t="shared" si="36"/>
        <v>132524000</v>
      </c>
      <c r="EV28" s="66">
        <f t="shared" si="37"/>
        <v>3363982666.6666665</v>
      </c>
      <c r="EW28" s="66">
        <f t="shared" si="37"/>
        <v>2336271500</v>
      </c>
      <c r="EX28" s="70"/>
      <c r="EY28" s="71" t="str">
        <f t="shared" si="38"/>
        <v>完整</v>
      </c>
      <c r="EZ28" s="71" t="str">
        <f t="shared" si="39"/>
        <v>完整</v>
      </c>
      <c r="FA28" s="71" t="str">
        <f t="shared" si="40"/>
        <v>完整</v>
      </c>
      <c r="FB28" s="71" t="str">
        <f t="shared" si="41"/>
        <v>选择</v>
      </c>
      <c r="FC28" s="71" t="str">
        <f t="shared" si="42"/>
        <v>选择</v>
      </c>
    </row>
    <row r="29" spans="1:217" s="3" customFormat="1" ht="12.75" customHeight="1" x14ac:dyDescent="0.25">
      <c r="A29" s="28" t="s">
        <v>193</v>
      </c>
      <c r="B29" s="134" t="str">
        <f t="shared" si="0"/>
        <v>KOLMAR KOREA HOLDINGS CO.,LTD</v>
      </c>
      <c r="C29" s="29" t="s">
        <v>328</v>
      </c>
      <c r="D29" s="136" t="s">
        <v>309</v>
      </c>
      <c r="E29" s="33"/>
      <c r="F29" s="34"/>
      <c r="H29" s="31" t="str">
        <f t="shared" si="1"/>
        <v xml:space="preserve"> </v>
      </c>
      <c r="I29" s="29"/>
      <c r="J29" s="29" t="str">
        <f>VLOOKUP(Z:Z,'[1]AP 2022'!FD28:FF181,2,FALSE)</f>
        <v>exclude</v>
      </c>
      <c r="K29" s="47" t="str">
        <f>VLOOKUP(Z:Z,'[1]AP 2022'!FD28:FF181,3,0)</f>
        <v>Independence(A+, A, A-, U)</v>
      </c>
      <c r="L29" s="48"/>
      <c r="M29" s="125" t="s">
        <v>541</v>
      </c>
      <c r="N29" s="125" t="s">
        <v>542</v>
      </c>
      <c r="O29" s="125" t="s">
        <v>331</v>
      </c>
      <c r="P29" s="125" t="s">
        <v>543</v>
      </c>
      <c r="Q29" s="124"/>
      <c r="R29" s="125" t="s">
        <v>363</v>
      </c>
      <c r="S29" s="125" t="s">
        <v>544</v>
      </c>
      <c r="T29" s="125" t="s">
        <v>365</v>
      </c>
      <c r="U29" s="125" t="s">
        <v>321</v>
      </c>
      <c r="V29" s="125" t="s">
        <v>545</v>
      </c>
      <c r="W29" s="125" t="s">
        <v>546</v>
      </c>
      <c r="X29" s="125" t="s">
        <v>547</v>
      </c>
      <c r="Y29" s="124"/>
      <c r="Z29" s="125" t="s">
        <v>548</v>
      </c>
      <c r="AA29" s="128">
        <v>649879569000</v>
      </c>
      <c r="AB29" s="128">
        <v>682790737000</v>
      </c>
      <c r="AC29" s="128">
        <v>728198182000</v>
      </c>
      <c r="AD29" s="128">
        <v>508096594000</v>
      </c>
      <c r="AE29" s="128">
        <v>649879569000</v>
      </c>
      <c r="AF29" s="128">
        <v>682790737000</v>
      </c>
      <c r="AG29" s="128">
        <v>728198182000</v>
      </c>
      <c r="AH29" s="128">
        <v>508096594000</v>
      </c>
      <c r="AI29" s="125" t="s">
        <v>340</v>
      </c>
      <c r="AJ29" s="125" t="s">
        <v>340</v>
      </c>
      <c r="AK29" s="125" t="s">
        <v>340</v>
      </c>
      <c r="AL29" s="125" t="s">
        <v>340</v>
      </c>
      <c r="AM29" s="128">
        <v>649879569000</v>
      </c>
      <c r="AN29" s="128">
        <v>682790737000</v>
      </c>
      <c r="AO29" s="128">
        <v>728198182000</v>
      </c>
      <c r="AP29" s="128">
        <v>508096594000</v>
      </c>
      <c r="AQ29" s="125" t="s">
        <v>340</v>
      </c>
      <c r="AR29" s="125" t="s">
        <v>340</v>
      </c>
      <c r="AS29" s="125" t="s">
        <v>340</v>
      </c>
      <c r="AT29" s="125" t="s">
        <v>340</v>
      </c>
      <c r="AU29" s="128">
        <v>-548795720000</v>
      </c>
      <c r="AV29" s="128">
        <v>-534703793000</v>
      </c>
      <c r="AW29" s="128">
        <v>-526128323000</v>
      </c>
      <c r="AX29" s="128">
        <v>-398658632000</v>
      </c>
      <c r="AY29" s="128">
        <v>-2753102000</v>
      </c>
      <c r="AZ29" s="128">
        <v>-4487801000</v>
      </c>
      <c r="BA29" s="128">
        <v>-10433886000</v>
      </c>
      <c r="BB29" s="128">
        <v>-520147000</v>
      </c>
      <c r="BC29" s="128">
        <v>-59902246000</v>
      </c>
      <c r="BD29" s="128">
        <v>-50677732000</v>
      </c>
      <c r="BE29" s="128">
        <v>-30762051000</v>
      </c>
      <c r="BF29" s="128">
        <v>-24494626000</v>
      </c>
      <c r="BG29" s="128">
        <v>38428501000</v>
      </c>
      <c r="BH29" s="128">
        <v>92921411000</v>
      </c>
      <c r="BI29" s="128">
        <v>160873922000</v>
      </c>
      <c r="BJ29" s="128">
        <v>84423189000</v>
      </c>
      <c r="BK29" s="128">
        <v>-5428306000</v>
      </c>
      <c r="BL29" s="128">
        <v>-4549381000</v>
      </c>
      <c r="BM29" s="128">
        <v>-3369094000</v>
      </c>
      <c r="BN29" s="128">
        <v>-2537105000</v>
      </c>
      <c r="BO29" s="128">
        <v>-3084682000</v>
      </c>
      <c r="BP29" s="128">
        <v>-2744704000</v>
      </c>
      <c r="BQ29" s="128">
        <v>-2192375000</v>
      </c>
      <c r="BR29" s="128">
        <v>-1613214000</v>
      </c>
      <c r="BS29" s="128">
        <v>-2343624000</v>
      </c>
      <c r="BT29" s="128">
        <v>-1804677000</v>
      </c>
      <c r="BU29" s="128">
        <v>-1176719000</v>
      </c>
      <c r="BV29" s="128">
        <v>-923891000</v>
      </c>
      <c r="BW29" s="128">
        <v>-6086492000</v>
      </c>
      <c r="BX29" s="128">
        <v>21816148000</v>
      </c>
      <c r="BY29" s="128">
        <v>113135323000</v>
      </c>
      <c r="BZ29" s="128">
        <v>42464844000</v>
      </c>
      <c r="CA29" s="128">
        <v>343129857000</v>
      </c>
      <c r="CB29" s="128">
        <v>319849774000</v>
      </c>
      <c r="CC29" s="128">
        <v>405874425000</v>
      </c>
      <c r="CD29" s="128">
        <v>307051620000</v>
      </c>
      <c r="CE29" s="128">
        <v>90777717000</v>
      </c>
      <c r="CF29" s="128">
        <v>79435842000</v>
      </c>
      <c r="CG29" s="128">
        <v>67700272000</v>
      </c>
      <c r="CH29" s="128">
        <v>71747049000</v>
      </c>
      <c r="CI29" s="128">
        <v>43183973000</v>
      </c>
      <c r="CJ29" s="128">
        <v>29929890000</v>
      </c>
      <c r="CK29" s="128">
        <v>68727285000</v>
      </c>
      <c r="CL29" s="128">
        <v>57976421000</v>
      </c>
      <c r="CM29" s="128">
        <v>69062883000</v>
      </c>
      <c r="CN29" s="128">
        <v>68958959000</v>
      </c>
      <c r="CO29" s="128">
        <v>13632235000</v>
      </c>
      <c r="CP29" s="128">
        <v>32390786000</v>
      </c>
      <c r="CQ29" s="128">
        <v>127422064000</v>
      </c>
      <c r="CR29" s="128">
        <v>131885596000</v>
      </c>
      <c r="CS29" s="128">
        <v>228292576000</v>
      </c>
      <c r="CT29" s="128">
        <v>126616606000</v>
      </c>
      <c r="CU29" s="128">
        <v>18054459000</v>
      </c>
      <c r="CV29" s="128">
        <v>17413372000</v>
      </c>
      <c r="CW29" s="128">
        <v>30009564000</v>
      </c>
      <c r="CX29" s="128">
        <v>23889481000</v>
      </c>
      <c r="CY29" s="128">
        <v>42361826000</v>
      </c>
      <c r="CZ29" s="128">
        <v>27946879000</v>
      </c>
      <c r="DA29" s="128">
        <v>26878136000</v>
      </c>
      <c r="DB29" s="128">
        <v>49302340000</v>
      </c>
      <c r="DC29" s="128">
        <v>1269102053000</v>
      </c>
      <c r="DD29" s="128">
        <v>1209726178000</v>
      </c>
      <c r="DE29" s="128">
        <v>1218505783000</v>
      </c>
      <c r="DF29" s="128">
        <v>1091947072000</v>
      </c>
      <c r="DG29" s="16">
        <f t="shared" si="2"/>
        <v>649879569000</v>
      </c>
      <c r="DH29" s="16">
        <f t="shared" si="3"/>
        <v>-548795720000</v>
      </c>
      <c r="DI29" s="16">
        <f t="shared" si="4"/>
        <v>-62655348000</v>
      </c>
      <c r="DJ29" s="16">
        <f t="shared" si="5"/>
        <v>-5428306000</v>
      </c>
      <c r="DK29" s="16">
        <f t="shared" si="6"/>
        <v>33000195000</v>
      </c>
      <c r="DL29" s="57">
        <f t="shared" si="7"/>
        <v>5.0778939012929639E-2</v>
      </c>
      <c r="DM29" s="57">
        <f t="shared" si="8"/>
        <v>5.3495377525785127E-2</v>
      </c>
      <c r="DN29" s="58">
        <f t="shared" si="9"/>
        <v>-2753102000</v>
      </c>
      <c r="DO29" s="16">
        <f t="shared" si="10"/>
        <v>85106779500</v>
      </c>
      <c r="DP29" s="16">
        <f t="shared" si="11"/>
        <v>35154352500</v>
      </c>
      <c r="DQ29" s="61"/>
      <c r="DR29" s="62">
        <f t="shared" si="12"/>
        <v>682790737000</v>
      </c>
      <c r="DS29" s="62">
        <f t="shared" si="13"/>
        <v>-534703793000</v>
      </c>
      <c r="DT29" s="62">
        <f t="shared" si="14"/>
        <v>-55165533000</v>
      </c>
      <c r="DU29" s="62">
        <f t="shared" si="15"/>
        <v>-4549381000</v>
      </c>
      <c r="DV29" s="62">
        <f t="shared" si="16"/>
        <v>88372030000</v>
      </c>
      <c r="DW29" s="63">
        <f t="shared" si="17"/>
        <v>0.12942769315864341</v>
      </c>
      <c r="DX29" s="63">
        <f t="shared" si="18"/>
        <v>0.14866966493367781</v>
      </c>
      <c r="DY29" s="64">
        <f t="shared" si="19"/>
        <v>-4487801000</v>
      </c>
      <c r="DZ29" s="64">
        <f t="shared" si="20"/>
        <v>73568057000</v>
      </c>
      <c r="EA29" s="64">
        <f t="shared" si="21"/>
        <v>27412507500</v>
      </c>
      <c r="EB29" s="61"/>
      <c r="EC29" s="64">
        <f t="shared" si="22"/>
        <v>728198182000</v>
      </c>
      <c r="ED29" s="64">
        <f t="shared" si="23"/>
        <v>-526128323000</v>
      </c>
      <c r="EE29" s="64">
        <f t="shared" si="24"/>
        <v>-41195937000</v>
      </c>
      <c r="EF29" s="64">
        <f t="shared" si="25"/>
        <v>-3369094000</v>
      </c>
      <c r="EG29" s="64">
        <f t="shared" si="26"/>
        <v>157504828000</v>
      </c>
      <c r="EH29" s="63">
        <f t="shared" si="27"/>
        <v>0.2162939044525107</v>
      </c>
      <c r="EI29" s="57">
        <f t="shared" si="28"/>
        <v>0.27598854427871961</v>
      </c>
      <c r="EJ29" s="64">
        <f t="shared" si="29"/>
        <v>-10433886000</v>
      </c>
      <c r="EK29" s="64">
        <f t="shared" si="30"/>
        <v>69723660500</v>
      </c>
      <c r="EL29" s="64">
        <f t="shared" si="31"/>
        <v>38090238000</v>
      </c>
      <c r="EM29" s="61"/>
      <c r="EN29" s="66">
        <f t="shared" si="32"/>
        <v>686956162666.66663</v>
      </c>
      <c r="EO29" s="66">
        <f t="shared" si="32"/>
        <v>-536542612000</v>
      </c>
      <c r="EP29" s="66">
        <f t="shared" si="32"/>
        <v>-53005606000</v>
      </c>
      <c r="EQ29" s="66">
        <f t="shared" si="32"/>
        <v>-4448927000</v>
      </c>
      <c r="ER29" s="66">
        <f t="shared" si="33"/>
        <v>92959017666.666626</v>
      </c>
      <c r="ES29" s="63">
        <f t="shared" si="34"/>
        <v>0.13532015974034337</v>
      </c>
      <c r="ET29" s="67">
        <f t="shared" si="35"/>
        <v>0.15649741492724956</v>
      </c>
      <c r="EU29" s="66">
        <f t="shared" si="36"/>
        <v>5891596333.333333</v>
      </c>
      <c r="EV29" s="66">
        <f t="shared" si="37"/>
        <v>76132832333.333328</v>
      </c>
      <c r="EW29" s="66">
        <f t="shared" si="37"/>
        <v>33552366000</v>
      </c>
      <c r="EX29" s="70"/>
      <c r="EY29" s="71" t="str">
        <f t="shared" si="38"/>
        <v>完整</v>
      </c>
      <c r="EZ29" s="71" t="str">
        <f t="shared" si="39"/>
        <v>完整</v>
      </c>
      <c r="FA29" s="71" t="str">
        <f t="shared" si="40"/>
        <v>完整</v>
      </c>
      <c r="FB29" s="71" t="str">
        <f t="shared" si="41"/>
        <v>选择</v>
      </c>
      <c r="FC29" s="71" t="str">
        <f t="shared" si="42"/>
        <v>选择</v>
      </c>
    </row>
    <row r="30" spans="1:217" s="3" customFormat="1" ht="12.75" customHeight="1" x14ac:dyDescent="0.25">
      <c r="A30" s="28" t="s">
        <v>194</v>
      </c>
      <c r="B30" s="134" t="str">
        <f t="shared" si="0"/>
        <v>MANDOM CORPORATION</v>
      </c>
      <c r="C30" s="29" t="s">
        <v>328</v>
      </c>
      <c r="D30" s="135" t="s">
        <v>312</v>
      </c>
      <c r="E30" s="29"/>
      <c r="F30" s="135"/>
      <c r="H30" s="31" t="str">
        <f t="shared" si="1"/>
        <v xml:space="preserve"> </v>
      </c>
      <c r="I30" s="29"/>
      <c r="J30" s="29" t="str">
        <f>VLOOKUP(Z:Z,'[1]AP 2022'!FD29:FF181,2,FALSE)</f>
        <v>exclude</v>
      </c>
      <c r="K30" s="47" t="str">
        <f>VLOOKUP(Z:Z,'[1]AP 2022'!FD29:FF181,3,0)</f>
        <v>lev SDA/SDP</v>
      </c>
      <c r="L30" s="48"/>
      <c r="M30" s="125" t="s">
        <v>549</v>
      </c>
      <c r="N30" s="125" t="s">
        <v>550</v>
      </c>
      <c r="O30" s="125" t="s">
        <v>381</v>
      </c>
      <c r="P30" s="125" t="s">
        <v>551</v>
      </c>
      <c r="Q30" s="124"/>
      <c r="R30" s="125" t="s">
        <v>333</v>
      </c>
      <c r="S30" s="125" t="s">
        <v>552</v>
      </c>
      <c r="T30" s="125" t="s">
        <v>335</v>
      </c>
      <c r="U30" s="125" t="s">
        <v>321</v>
      </c>
      <c r="V30" s="125" t="s">
        <v>553</v>
      </c>
      <c r="W30" s="125" t="s">
        <v>554</v>
      </c>
      <c r="X30" s="125" t="s">
        <v>555</v>
      </c>
      <c r="Y30" s="124"/>
      <c r="Z30" s="125" t="s">
        <v>556</v>
      </c>
      <c r="AA30" s="128">
        <v>67047000000</v>
      </c>
      <c r="AB30" s="128">
        <v>57361000000</v>
      </c>
      <c r="AC30" s="128">
        <v>63310000000</v>
      </c>
      <c r="AD30" s="128">
        <v>81774000000</v>
      </c>
      <c r="AE30" s="128">
        <v>67047000000</v>
      </c>
      <c r="AF30" s="128">
        <v>57361000000</v>
      </c>
      <c r="AG30" s="128">
        <v>63310000000</v>
      </c>
      <c r="AH30" s="128">
        <v>81774000000</v>
      </c>
      <c r="AI30" s="125" t="s">
        <v>340</v>
      </c>
      <c r="AJ30" s="125" t="s">
        <v>340</v>
      </c>
      <c r="AK30" s="125" t="s">
        <v>340</v>
      </c>
      <c r="AL30" s="125" t="s">
        <v>340</v>
      </c>
      <c r="AM30" s="128">
        <v>67047000000</v>
      </c>
      <c r="AN30" s="128">
        <v>57361000000</v>
      </c>
      <c r="AO30" s="128">
        <v>63310000000</v>
      </c>
      <c r="AP30" s="128">
        <v>81774000000</v>
      </c>
      <c r="AQ30" s="125" t="s">
        <v>340</v>
      </c>
      <c r="AR30" s="125" t="s">
        <v>340</v>
      </c>
      <c r="AS30" s="125" t="s">
        <v>340</v>
      </c>
      <c r="AT30" s="125" t="s">
        <v>340</v>
      </c>
      <c r="AU30" s="128">
        <v>-34788000000</v>
      </c>
      <c r="AV30" s="128">
        <v>-30056000000</v>
      </c>
      <c r="AW30" s="128">
        <v>-30473000000</v>
      </c>
      <c r="AX30" s="128">
        <v>-36664000000</v>
      </c>
      <c r="AY30" s="128">
        <v>-1402000000</v>
      </c>
      <c r="AZ30" s="128">
        <v>-1399000000</v>
      </c>
      <c r="BA30" s="128">
        <v>-1480000000</v>
      </c>
      <c r="BB30" s="128">
        <v>-1855000000</v>
      </c>
      <c r="BC30" s="128">
        <v>-24205000000</v>
      </c>
      <c r="BD30" s="128">
        <v>-22652000000</v>
      </c>
      <c r="BE30" s="128">
        <v>-27116000000</v>
      </c>
      <c r="BF30" s="128">
        <v>-32690000000</v>
      </c>
      <c r="BG30" s="128">
        <v>6652000000</v>
      </c>
      <c r="BH30" s="128">
        <v>3254000000</v>
      </c>
      <c r="BI30" s="128">
        <v>4241000000</v>
      </c>
      <c r="BJ30" s="128">
        <v>10565000000</v>
      </c>
      <c r="BK30" s="128">
        <v>-5241000000</v>
      </c>
      <c r="BL30" s="128">
        <v>-5563000000</v>
      </c>
      <c r="BM30" s="128">
        <v>-5036000000</v>
      </c>
      <c r="BN30" s="128">
        <v>-4594000000</v>
      </c>
      <c r="BO30" s="128">
        <v>-4988000000</v>
      </c>
      <c r="BP30" s="128">
        <v>-5337000000</v>
      </c>
      <c r="BQ30" s="128">
        <v>-4820000000</v>
      </c>
      <c r="BR30" s="128">
        <v>-4369000000</v>
      </c>
      <c r="BS30" s="128">
        <v>-253000000</v>
      </c>
      <c r="BT30" s="128">
        <v>-226000000</v>
      </c>
      <c r="BU30" s="128">
        <v>-216000000</v>
      </c>
      <c r="BV30" s="128">
        <v>-225000000</v>
      </c>
      <c r="BW30" s="128">
        <v>958000000</v>
      </c>
      <c r="BX30" s="128">
        <v>-621000000</v>
      </c>
      <c r="BY30" s="128">
        <v>860000000</v>
      </c>
      <c r="BZ30" s="128">
        <v>4445000000</v>
      </c>
      <c r="CA30" s="128">
        <v>49573000000</v>
      </c>
      <c r="CB30" s="128">
        <v>42868000000</v>
      </c>
      <c r="CC30" s="128">
        <v>39775000000</v>
      </c>
      <c r="CD30" s="128">
        <v>44042000000</v>
      </c>
      <c r="CE30" s="128">
        <v>15527000000</v>
      </c>
      <c r="CF30" s="128">
        <v>12119000000</v>
      </c>
      <c r="CG30" s="128">
        <v>12330000000</v>
      </c>
      <c r="CH30" s="128">
        <v>15190000000</v>
      </c>
      <c r="CI30" s="128">
        <v>11190000000</v>
      </c>
      <c r="CJ30" s="128">
        <v>9205000000</v>
      </c>
      <c r="CK30" s="128">
        <v>9070000000</v>
      </c>
      <c r="CL30" s="128">
        <v>11893000000</v>
      </c>
      <c r="CM30" s="128">
        <v>1363000000</v>
      </c>
      <c r="CN30" s="128">
        <v>1526000000</v>
      </c>
      <c r="CO30" s="128">
        <v>2232000000</v>
      </c>
      <c r="CP30" s="128">
        <v>1280000000</v>
      </c>
      <c r="CQ30" s="128">
        <v>21493000000</v>
      </c>
      <c r="CR30" s="128">
        <v>20018000000</v>
      </c>
      <c r="CS30" s="128">
        <v>16143000000</v>
      </c>
      <c r="CT30" s="128">
        <v>15679000000</v>
      </c>
      <c r="CU30" s="125" t="s">
        <v>340</v>
      </c>
      <c r="CV30" s="125" t="s">
        <v>340</v>
      </c>
      <c r="CW30" s="125" t="s">
        <v>340</v>
      </c>
      <c r="CX30" s="125" t="s">
        <v>340</v>
      </c>
      <c r="CY30" s="128">
        <v>7882000000</v>
      </c>
      <c r="CZ30" s="128">
        <v>8092000000</v>
      </c>
      <c r="DA30" s="128">
        <v>7995000000</v>
      </c>
      <c r="DB30" s="128">
        <v>14975000000</v>
      </c>
      <c r="DC30" s="128">
        <v>91005000000</v>
      </c>
      <c r="DD30" s="128">
        <v>85767000000</v>
      </c>
      <c r="DE30" s="128">
        <v>87911000000</v>
      </c>
      <c r="DF30" s="128">
        <v>91660000000</v>
      </c>
      <c r="DG30" s="16">
        <f t="shared" si="2"/>
        <v>67047000000</v>
      </c>
      <c r="DH30" s="16">
        <f t="shared" si="3"/>
        <v>-34788000000</v>
      </c>
      <c r="DI30" s="16">
        <f t="shared" si="4"/>
        <v>-25607000000</v>
      </c>
      <c r="DJ30" s="16">
        <f t="shared" si="5"/>
        <v>-5241000000</v>
      </c>
      <c r="DK30" s="16">
        <f t="shared" si="6"/>
        <v>1411000000</v>
      </c>
      <c r="DL30" s="57">
        <f t="shared" si="7"/>
        <v>2.1044938625143558E-2</v>
      </c>
      <c r="DM30" s="57">
        <f t="shared" si="8"/>
        <v>2.1497349015784022E-2</v>
      </c>
      <c r="DN30" s="58">
        <f t="shared" si="9"/>
        <v>-1402000000</v>
      </c>
      <c r="DO30" s="16">
        <f t="shared" si="10"/>
        <v>13823000000</v>
      </c>
      <c r="DP30" s="16">
        <f t="shared" si="11"/>
        <v>7987000000</v>
      </c>
      <c r="DQ30" s="61"/>
      <c r="DR30" s="62">
        <f t="shared" si="12"/>
        <v>57361000000</v>
      </c>
      <c r="DS30" s="62">
        <f t="shared" si="13"/>
        <v>-30056000000</v>
      </c>
      <c r="DT30" s="62">
        <f t="shared" si="14"/>
        <v>-24051000000</v>
      </c>
      <c r="DU30" s="62">
        <f t="shared" si="15"/>
        <v>-5563000000</v>
      </c>
      <c r="DV30" s="62">
        <f t="shared" si="16"/>
        <v>-2309000000</v>
      </c>
      <c r="DW30" s="63">
        <f t="shared" si="17"/>
        <v>-4.0253831000156899E-2</v>
      </c>
      <c r="DX30" s="63">
        <f t="shared" si="18"/>
        <v>-3.8696162225573989E-2</v>
      </c>
      <c r="DY30" s="64">
        <f t="shared" si="19"/>
        <v>-1399000000</v>
      </c>
      <c r="DZ30" s="64">
        <f t="shared" si="20"/>
        <v>12224500000</v>
      </c>
      <c r="EA30" s="64">
        <f t="shared" si="21"/>
        <v>8043500000</v>
      </c>
      <c r="EB30" s="61"/>
      <c r="EC30" s="64">
        <f t="shared" si="22"/>
        <v>63310000000</v>
      </c>
      <c r="ED30" s="64">
        <f t="shared" si="23"/>
        <v>-30473000000</v>
      </c>
      <c r="EE30" s="64">
        <f t="shared" si="24"/>
        <v>-28596000000</v>
      </c>
      <c r="EF30" s="64">
        <f t="shared" si="25"/>
        <v>-5036000000</v>
      </c>
      <c r="EG30" s="64">
        <f t="shared" si="26"/>
        <v>-795000000</v>
      </c>
      <c r="EH30" s="63">
        <f t="shared" si="27"/>
        <v>-1.2557257937134733E-2</v>
      </c>
      <c r="EI30" s="57">
        <f t="shared" si="28"/>
        <v>-1.2401528741907808E-2</v>
      </c>
      <c r="EJ30" s="64">
        <f t="shared" si="29"/>
        <v>-1480000000</v>
      </c>
      <c r="EK30" s="64">
        <f t="shared" si="30"/>
        <v>13760000000</v>
      </c>
      <c r="EL30" s="64">
        <f t="shared" si="31"/>
        <v>11485000000</v>
      </c>
      <c r="EM30" s="61"/>
      <c r="EN30" s="66">
        <f t="shared" si="32"/>
        <v>62572666666.666664</v>
      </c>
      <c r="EO30" s="66">
        <f t="shared" si="32"/>
        <v>-31772333333.333332</v>
      </c>
      <c r="EP30" s="66">
        <f t="shared" si="32"/>
        <v>-26084666666.666668</v>
      </c>
      <c r="EQ30" s="66">
        <f t="shared" si="32"/>
        <v>-5280000000</v>
      </c>
      <c r="ER30" s="66">
        <f t="shared" si="33"/>
        <v>-564333333.33333588</v>
      </c>
      <c r="ES30" s="63">
        <f t="shared" si="34"/>
        <v>-9.0188474200663098E-3</v>
      </c>
      <c r="ET30" s="67">
        <f t="shared" si="35"/>
        <v>-8.9382348438053101E-3</v>
      </c>
      <c r="EU30" s="66">
        <f t="shared" si="36"/>
        <v>1427000000</v>
      </c>
      <c r="EV30" s="66">
        <f t="shared" si="37"/>
        <v>13269166666.666666</v>
      </c>
      <c r="EW30" s="66">
        <f t="shared" si="37"/>
        <v>9171833333.333334</v>
      </c>
      <c r="EX30" s="70"/>
      <c r="EY30" s="71" t="str">
        <f t="shared" si="38"/>
        <v>完整</v>
      </c>
      <c r="EZ30" s="71" t="str">
        <f t="shared" si="39"/>
        <v>完整</v>
      </c>
      <c r="FA30" s="71" t="str">
        <f t="shared" si="40"/>
        <v>完整</v>
      </c>
      <c r="FB30" s="71" t="str">
        <f t="shared" si="41"/>
        <v>选择</v>
      </c>
      <c r="FC30" s="71" t="str">
        <f t="shared" si="42"/>
        <v>选择</v>
      </c>
      <c r="FD30" s="72"/>
      <c r="FE30" s="72"/>
      <c r="FF30" s="72"/>
      <c r="FG30" s="72"/>
      <c r="FH30" s="72"/>
      <c r="FI30" s="72"/>
      <c r="FJ30" s="72"/>
      <c r="FK30" s="72"/>
      <c r="FL30" s="72"/>
      <c r="FM30" s="72"/>
      <c r="FN30" s="72"/>
      <c r="FO30" s="72"/>
      <c r="FP30" s="72"/>
      <c r="FQ30" s="72"/>
      <c r="FR30" s="72"/>
      <c r="FS30" s="72"/>
      <c r="FT30" s="72"/>
      <c r="FU30" s="72"/>
      <c r="FV30" s="72"/>
      <c r="FW30" s="72"/>
      <c r="FX30" s="72"/>
      <c r="FY30" s="72"/>
      <c r="FZ30" s="72"/>
      <c r="GA30" s="72"/>
      <c r="GB30" s="72"/>
      <c r="GC30" s="72"/>
      <c r="GD30" s="72"/>
      <c r="GE30" s="72"/>
      <c r="GF30" s="72"/>
      <c r="GG30" s="72"/>
      <c r="GH30" s="72"/>
      <c r="GI30" s="72"/>
      <c r="GJ30" s="72"/>
      <c r="GK30" s="72"/>
      <c r="GL30" s="72"/>
      <c r="GM30" s="72"/>
      <c r="GN30" s="72"/>
      <c r="GO30" s="72"/>
      <c r="GP30" s="72"/>
      <c r="GQ30" s="72"/>
      <c r="GR30" s="72"/>
      <c r="GS30" s="72"/>
      <c r="GT30" s="72"/>
      <c r="GU30" s="72"/>
      <c r="GV30" s="72"/>
      <c r="GW30" s="72"/>
      <c r="GX30" s="72"/>
      <c r="GY30" s="72"/>
      <c r="GZ30" s="72"/>
      <c r="HA30" s="72"/>
      <c r="HB30" s="72"/>
      <c r="HC30" s="72"/>
      <c r="HD30" s="72"/>
      <c r="HE30" s="72"/>
      <c r="HF30" s="72"/>
      <c r="HG30" s="72"/>
      <c r="HH30" s="72"/>
      <c r="HI30" s="72"/>
    </row>
    <row r="31" spans="1:217" s="3" customFormat="1" ht="12.75" customHeight="1" x14ac:dyDescent="0.25">
      <c r="A31" s="28" t="s">
        <v>195</v>
      </c>
      <c r="B31" s="47" t="str">
        <f t="shared" si="0"/>
        <v>DKS CO LTD</v>
      </c>
      <c r="C31" s="29" t="s">
        <v>328</v>
      </c>
      <c r="D31" s="135" t="s">
        <v>312</v>
      </c>
      <c r="E31" s="29"/>
      <c r="F31" s="135"/>
      <c r="G31" s="32"/>
      <c r="H31" s="31" t="str">
        <f t="shared" si="1"/>
        <v xml:space="preserve"> </v>
      </c>
      <c r="I31" s="29"/>
      <c r="J31" s="29" t="str">
        <f>VLOOKUP(Z:Z,'[1]AP 2022'!FD30:FF181,2,FALSE)</f>
        <v>exclude</v>
      </c>
      <c r="K31" s="47" t="str">
        <f>VLOOKUP(Z:Z,'[1]AP 2022'!FD30:FF181,3,0)</f>
        <v>lev SDA/SDP</v>
      </c>
      <c r="L31" s="48"/>
      <c r="M31" s="125" t="s">
        <v>557</v>
      </c>
      <c r="N31" s="125" t="s">
        <v>558</v>
      </c>
      <c r="O31" s="125" t="s">
        <v>381</v>
      </c>
      <c r="P31" s="125" t="s">
        <v>559</v>
      </c>
      <c r="Q31" s="124"/>
      <c r="R31" s="125" t="s">
        <v>333</v>
      </c>
      <c r="S31" s="125" t="s">
        <v>560</v>
      </c>
      <c r="T31" s="125" t="s">
        <v>335</v>
      </c>
      <c r="U31" s="125" t="s">
        <v>315</v>
      </c>
      <c r="V31" s="125" t="s">
        <v>561</v>
      </c>
      <c r="W31" s="125" t="s">
        <v>562</v>
      </c>
      <c r="X31" s="125" t="s">
        <v>563</v>
      </c>
      <c r="Y31" s="124"/>
      <c r="Z31" s="125" t="s">
        <v>564</v>
      </c>
      <c r="AA31" s="128">
        <v>65081000000</v>
      </c>
      <c r="AB31" s="128">
        <v>62672000000</v>
      </c>
      <c r="AC31" s="128">
        <v>59140000000</v>
      </c>
      <c r="AD31" s="128">
        <v>61456000000</v>
      </c>
      <c r="AE31" s="128">
        <v>65081000000</v>
      </c>
      <c r="AF31" s="128">
        <v>62672000000</v>
      </c>
      <c r="AG31" s="128">
        <v>59140000000</v>
      </c>
      <c r="AH31" s="128">
        <v>61456000000</v>
      </c>
      <c r="AI31" s="125" t="s">
        <v>340</v>
      </c>
      <c r="AJ31" s="125" t="s">
        <v>340</v>
      </c>
      <c r="AK31" s="125" t="s">
        <v>340</v>
      </c>
      <c r="AL31" s="125" t="s">
        <v>340</v>
      </c>
      <c r="AM31" s="128">
        <v>65081000000</v>
      </c>
      <c r="AN31" s="128">
        <v>62672000000</v>
      </c>
      <c r="AO31" s="128">
        <v>59140000000</v>
      </c>
      <c r="AP31" s="128">
        <v>61456000000</v>
      </c>
      <c r="AQ31" s="125" t="s">
        <v>340</v>
      </c>
      <c r="AR31" s="125" t="s">
        <v>340</v>
      </c>
      <c r="AS31" s="125" t="s">
        <v>340</v>
      </c>
      <c r="AT31" s="125" t="s">
        <v>340</v>
      </c>
      <c r="AU31" s="128">
        <v>-48951000000</v>
      </c>
      <c r="AV31" s="128">
        <v>-43790000000</v>
      </c>
      <c r="AW31" s="128">
        <v>-43961000000</v>
      </c>
      <c r="AX31" s="128">
        <v>-43542000000</v>
      </c>
      <c r="AY31" s="128">
        <v>-3236000000</v>
      </c>
      <c r="AZ31" s="128">
        <v>-2946000000</v>
      </c>
      <c r="BA31" s="128">
        <v>-2821000000</v>
      </c>
      <c r="BB31" s="128">
        <v>-2748000000</v>
      </c>
      <c r="BC31" s="128">
        <v>-8197000000</v>
      </c>
      <c r="BD31" s="128">
        <v>-7729000000</v>
      </c>
      <c r="BE31" s="128">
        <v>-7424000000</v>
      </c>
      <c r="BF31" s="128">
        <v>-8091000000</v>
      </c>
      <c r="BG31" s="128">
        <v>4697000000</v>
      </c>
      <c r="BH31" s="128">
        <v>8207000000</v>
      </c>
      <c r="BI31" s="128">
        <v>4934000000</v>
      </c>
      <c r="BJ31" s="128">
        <v>7075000000</v>
      </c>
      <c r="BK31" s="128">
        <v>-4294000000</v>
      </c>
      <c r="BL31" s="128">
        <v>-3580000000</v>
      </c>
      <c r="BM31" s="128">
        <v>-871000000</v>
      </c>
      <c r="BN31" s="128">
        <v>-2920000000</v>
      </c>
      <c r="BO31" s="128">
        <v>-4081000000</v>
      </c>
      <c r="BP31" s="128">
        <v>-3430000000</v>
      </c>
      <c r="BQ31" s="128">
        <v>-560000000</v>
      </c>
      <c r="BR31" s="128">
        <v>-2724000000</v>
      </c>
      <c r="BS31" s="128">
        <v>-213000000</v>
      </c>
      <c r="BT31" s="128">
        <v>-150000000</v>
      </c>
      <c r="BU31" s="128">
        <v>-311000000</v>
      </c>
      <c r="BV31" s="128">
        <v>-196000000</v>
      </c>
      <c r="BW31" s="128">
        <v>-407000000</v>
      </c>
      <c r="BX31" s="128">
        <v>2492000000</v>
      </c>
      <c r="BY31" s="128">
        <v>2563000000</v>
      </c>
      <c r="BZ31" s="128">
        <v>2014000000</v>
      </c>
      <c r="CA31" s="128">
        <v>45411000000</v>
      </c>
      <c r="CB31" s="128">
        <v>46534000000</v>
      </c>
      <c r="CC31" s="128">
        <v>43997000000</v>
      </c>
      <c r="CD31" s="128">
        <v>42595000000</v>
      </c>
      <c r="CE31" s="128">
        <v>16636000000</v>
      </c>
      <c r="CF31" s="128">
        <v>15508000000</v>
      </c>
      <c r="CG31" s="128">
        <v>13247000000</v>
      </c>
      <c r="CH31" s="128">
        <v>12432000000</v>
      </c>
      <c r="CI31" s="128">
        <v>16974000000</v>
      </c>
      <c r="CJ31" s="128">
        <v>15960000000</v>
      </c>
      <c r="CK31" s="128">
        <v>16853000000</v>
      </c>
      <c r="CL31" s="128">
        <v>17410000000</v>
      </c>
      <c r="CM31" s="128">
        <v>2304000000</v>
      </c>
      <c r="CN31" s="128">
        <v>2525000000</v>
      </c>
      <c r="CO31" s="128">
        <v>2024000000</v>
      </c>
      <c r="CP31" s="128">
        <v>2142000000</v>
      </c>
      <c r="CQ31" s="128">
        <v>9128000000</v>
      </c>
      <c r="CR31" s="128">
        <v>12224000000</v>
      </c>
      <c r="CS31" s="128">
        <v>11595000000</v>
      </c>
      <c r="CT31" s="128">
        <v>10336000000</v>
      </c>
      <c r="CU31" s="125" t="s">
        <v>340</v>
      </c>
      <c r="CV31" s="125" t="s">
        <v>340</v>
      </c>
      <c r="CW31" s="125" t="s">
        <v>340</v>
      </c>
      <c r="CX31" s="125" t="s">
        <v>340</v>
      </c>
      <c r="CY31" s="128">
        <v>6654000000</v>
      </c>
      <c r="CZ31" s="128">
        <v>5235000000</v>
      </c>
      <c r="DA31" s="128">
        <v>5309000000</v>
      </c>
      <c r="DB31" s="128">
        <v>7635000000</v>
      </c>
      <c r="DC31" s="128">
        <v>85025000000</v>
      </c>
      <c r="DD31" s="128">
        <v>86469000000</v>
      </c>
      <c r="DE31" s="128">
        <v>85033000000</v>
      </c>
      <c r="DF31" s="128">
        <v>81736000000</v>
      </c>
      <c r="DG31" s="16">
        <f t="shared" si="2"/>
        <v>65081000000</v>
      </c>
      <c r="DH31" s="16">
        <f t="shared" si="3"/>
        <v>-48951000000</v>
      </c>
      <c r="DI31" s="16">
        <f t="shared" si="4"/>
        <v>-11433000000</v>
      </c>
      <c r="DJ31" s="16">
        <f t="shared" si="5"/>
        <v>-4294000000</v>
      </c>
      <c r="DK31" s="16">
        <f t="shared" si="6"/>
        <v>403000000</v>
      </c>
      <c r="DL31" s="57">
        <f t="shared" si="7"/>
        <v>6.1922834621471702E-3</v>
      </c>
      <c r="DM31" s="57">
        <f t="shared" si="8"/>
        <v>6.2308667553109248E-3</v>
      </c>
      <c r="DN31" s="58">
        <f t="shared" si="9"/>
        <v>-3236000000</v>
      </c>
      <c r="DO31" s="16">
        <f t="shared" si="10"/>
        <v>16072000000</v>
      </c>
      <c r="DP31" s="16">
        <f t="shared" si="11"/>
        <v>5944500000</v>
      </c>
      <c r="DQ31" s="61"/>
      <c r="DR31" s="62">
        <f t="shared" si="12"/>
        <v>62672000000</v>
      </c>
      <c r="DS31" s="62">
        <f t="shared" si="13"/>
        <v>-43790000000</v>
      </c>
      <c r="DT31" s="62">
        <f t="shared" si="14"/>
        <v>-10675000000</v>
      </c>
      <c r="DU31" s="62">
        <f t="shared" si="15"/>
        <v>-3580000000</v>
      </c>
      <c r="DV31" s="62">
        <f t="shared" si="16"/>
        <v>4627000000</v>
      </c>
      <c r="DW31" s="63">
        <f t="shared" si="17"/>
        <v>7.3828823078886899E-2</v>
      </c>
      <c r="DX31" s="63">
        <f t="shared" si="18"/>
        <v>7.9714014988371093E-2</v>
      </c>
      <c r="DY31" s="64">
        <f t="shared" si="19"/>
        <v>-2946000000</v>
      </c>
      <c r="DZ31" s="64">
        <f t="shared" si="20"/>
        <v>14377500000</v>
      </c>
      <c r="EA31" s="64">
        <f t="shared" si="21"/>
        <v>5272000000</v>
      </c>
      <c r="EB31" s="61"/>
      <c r="EC31" s="64">
        <f t="shared" si="22"/>
        <v>59140000000</v>
      </c>
      <c r="ED31" s="64">
        <f t="shared" si="23"/>
        <v>-43961000000</v>
      </c>
      <c r="EE31" s="64">
        <f t="shared" si="24"/>
        <v>-10245000000</v>
      </c>
      <c r="EF31" s="64">
        <f t="shared" si="25"/>
        <v>-871000000</v>
      </c>
      <c r="EG31" s="64">
        <f t="shared" si="26"/>
        <v>4063000000</v>
      </c>
      <c r="EH31" s="63">
        <f t="shared" si="27"/>
        <v>6.8701386540412579E-2</v>
      </c>
      <c r="EI31" s="57">
        <f t="shared" si="28"/>
        <v>7.3769450042667536E-2</v>
      </c>
      <c r="EJ31" s="64">
        <f t="shared" si="29"/>
        <v>-2821000000</v>
      </c>
      <c r="EK31" s="64">
        <f t="shared" si="30"/>
        <v>12839500000</v>
      </c>
      <c r="EL31" s="64">
        <f t="shared" si="31"/>
        <v>6472000000</v>
      </c>
      <c r="EM31" s="61"/>
      <c r="EN31" s="66">
        <f t="shared" si="32"/>
        <v>62297666666.666664</v>
      </c>
      <c r="EO31" s="66">
        <f t="shared" si="32"/>
        <v>-45567333333.333336</v>
      </c>
      <c r="EP31" s="66">
        <f t="shared" si="32"/>
        <v>-10784333333.333334</v>
      </c>
      <c r="EQ31" s="66">
        <f t="shared" si="32"/>
        <v>-2915000000</v>
      </c>
      <c r="ER31" s="66">
        <f t="shared" si="33"/>
        <v>3030999999.9999943</v>
      </c>
      <c r="ES31" s="63">
        <f t="shared" si="34"/>
        <v>4.8653507622008228E-2</v>
      </c>
      <c r="ET31" s="67">
        <f t="shared" si="35"/>
        <v>5.1141732283464469E-2</v>
      </c>
      <c r="EU31" s="66">
        <f t="shared" si="36"/>
        <v>3001000000</v>
      </c>
      <c r="EV31" s="66">
        <f t="shared" si="37"/>
        <v>14429666666.666666</v>
      </c>
      <c r="EW31" s="66">
        <f t="shared" si="37"/>
        <v>5896166666.666667</v>
      </c>
      <c r="EX31" s="70"/>
      <c r="EY31" s="71" t="str">
        <f t="shared" si="38"/>
        <v>完整</v>
      </c>
      <c r="EZ31" s="71" t="str">
        <f t="shared" si="39"/>
        <v>完整</v>
      </c>
      <c r="FA31" s="71" t="str">
        <f t="shared" si="40"/>
        <v>完整</v>
      </c>
      <c r="FB31" s="71" t="str">
        <f t="shared" si="41"/>
        <v>选择</v>
      </c>
      <c r="FC31" s="71" t="str">
        <f t="shared" si="42"/>
        <v>选择</v>
      </c>
      <c r="FD31" s="72"/>
      <c r="FE31" s="72"/>
      <c r="FF31" s="72"/>
      <c r="FG31" s="72"/>
      <c r="FH31" s="72"/>
      <c r="FI31" s="72"/>
      <c r="FJ31" s="72"/>
      <c r="FK31" s="72"/>
      <c r="FL31" s="72"/>
      <c r="FM31" s="72"/>
      <c r="FN31" s="72"/>
      <c r="FO31" s="72"/>
      <c r="FP31" s="72"/>
      <c r="FQ31" s="72"/>
      <c r="FR31" s="72"/>
      <c r="FS31" s="72"/>
      <c r="FT31" s="72"/>
      <c r="FU31" s="72"/>
      <c r="FV31" s="72"/>
      <c r="FW31" s="72"/>
      <c r="FX31" s="72"/>
      <c r="FY31" s="72"/>
      <c r="FZ31" s="72"/>
      <c r="GA31" s="72"/>
      <c r="GB31" s="72"/>
      <c r="GC31" s="72"/>
      <c r="GD31" s="72"/>
      <c r="GE31" s="72"/>
      <c r="GF31" s="72"/>
      <c r="GG31" s="72"/>
      <c r="GH31" s="72"/>
      <c r="GI31" s="72"/>
      <c r="GJ31" s="72"/>
      <c r="GK31" s="72"/>
      <c r="GL31" s="72"/>
      <c r="GM31" s="72"/>
      <c r="GN31" s="72"/>
      <c r="GO31" s="72"/>
      <c r="GP31" s="72"/>
      <c r="GQ31" s="72"/>
      <c r="GR31" s="72"/>
      <c r="GS31" s="72"/>
      <c r="GT31" s="72"/>
      <c r="GU31" s="72"/>
      <c r="GV31" s="72"/>
      <c r="GW31" s="72"/>
      <c r="GX31" s="72"/>
      <c r="GY31" s="72"/>
      <c r="GZ31" s="72"/>
      <c r="HA31" s="72"/>
      <c r="HB31" s="72"/>
      <c r="HC31" s="72"/>
      <c r="HD31" s="72"/>
      <c r="HE31" s="72"/>
      <c r="HF31" s="72"/>
      <c r="HG31" s="72"/>
      <c r="HH31" s="72"/>
      <c r="HI31" s="72"/>
    </row>
    <row r="32" spans="1:217" s="3" customFormat="1" ht="12.75" customHeight="1" x14ac:dyDescent="0.25">
      <c r="A32" s="28" t="s">
        <v>196</v>
      </c>
      <c r="B32" s="47" t="str">
        <f t="shared" si="0"/>
        <v>PROCTER &amp; GAMBLE HYGIENE AND HEALTH CARE LIMITED</v>
      </c>
      <c r="C32" s="29" t="s">
        <v>328</v>
      </c>
      <c r="D32" s="136" t="s">
        <v>309</v>
      </c>
      <c r="E32" s="33"/>
      <c r="F32" s="34"/>
      <c r="H32" s="31" t="str">
        <f t="shared" si="1"/>
        <v xml:space="preserve"> </v>
      </c>
      <c r="I32" s="29"/>
      <c r="J32" s="29" t="str">
        <f>VLOOKUP(Z:Z,'[1]AP 2022'!FD31:FF181,2,FALSE)</f>
        <v>exclude</v>
      </c>
      <c r="K32" s="47" t="str">
        <f>VLOOKUP(Z:Z,'[1]AP 2022'!FD31:FF181,3,0)</f>
        <v>Independence(A+, A, A-, U)</v>
      </c>
      <c r="L32" s="48"/>
      <c r="M32" s="125" t="s">
        <v>565</v>
      </c>
      <c r="N32" s="125" t="s">
        <v>566</v>
      </c>
      <c r="O32" s="125" t="s">
        <v>331</v>
      </c>
      <c r="P32" s="125" t="s">
        <v>567</v>
      </c>
      <c r="Q32" s="124"/>
      <c r="R32" s="125" t="s">
        <v>353</v>
      </c>
      <c r="S32" s="125" t="s">
        <v>568</v>
      </c>
      <c r="T32" s="125" t="s">
        <v>374</v>
      </c>
      <c r="U32" s="125" t="s">
        <v>315</v>
      </c>
      <c r="V32" s="125" t="s">
        <v>569</v>
      </c>
      <c r="W32" s="125" t="s">
        <v>570</v>
      </c>
      <c r="X32" s="124"/>
      <c r="Y32" s="125" t="s">
        <v>571</v>
      </c>
      <c r="Z32" s="125" t="s">
        <v>572</v>
      </c>
      <c r="AA32" s="128">
        <v>39009200000</v>
      </c>
      <c r="AB32" s="128">
        <v>35741400000</v>
      </c>
      <c r="AC32" s="128">
        <v>30019900000</v>
      </c>
      <c r="AD32" s="128">
        <v>29503000000</v>
      </c>
      <c r="AE32" s="128">
        <v>37924500000</v>
      </c>
      <c r="AF32" s="128">
        <v>35702400000</v>
      </c>
      <c r="AG32" s="128">
        <v>29985400000</v>
      </c>
      <c r="AH32" s="128">
        <v>29424800000</v>
      </c>
      <c r="AI32" s="125" t="s">
        <v>340</v>
      </c>
      <c r="AJ32" s="125" t="s">
        <v>340</v>
      </c>
      <c r="AK32" s="125" t="s">
        <v>340</v>
      </c>
      <c r="AL32" s="125" t="s">
        <v>340</v>
      </c>
      <c r="AM32" s="128">
        <v>37924500000</v>
      </c>
      <c r="AN32" s="128">
        <v>35702400000</v>
      </c>
      <c r="AO32" s="128">
        <v>29985400000</v>
      </c>
      <c r="AP32" s="128">
        <v>29424800000</v>
      </c>
      <c r="AQ32" s="128">
        <v>1084700000</v>
      </c>
      <c r="AR32" s="128">
        <v>39000000</v>
      </c>
      <c r="AS32" s="128">
        <v>34500000</v>
      </c>
      <c r="AT32" s="128">
        <v>78200000</v>
      </c>
      <c r="AU32" s="128">
        <v>-15662600000</v>
      </c>
      <c r="AV32" s="128">
        <v>-11666100000</v>
      </c>
      <c r="AW32" s="128">
        <v>-11149400000</v>
      </c>
      <c r="AX32" s="128">
        <v>-12445400000</v>
      </c>
      <c r="AY32" s="128">
        <v>0</v>
      </c>
      <c r="AZ32" s="128">
        <v>0</v>
      </c>
      <c r="BA32" s="128">
        <v>0</v>
      </c>
      <c r="BB32" s="128">
        <v>0</v>
      </c>
      <c r="BC32" s="128">
        <v>-14960000000</v>
      </c>
      <c r="BD32" s="128">
        <v>-15126700000</v>
      </c>
      <c r="BE32" s="128">
        <v>-12560500000</v>
      </c>
      <c r="BF32" s="128">
        <v>-10885700000</v>
      </c>
      <c r="BG32" s="128">
        <v>8386600000</v>
      </c>
      <c r="BH32" s="128">
        <v>8948600000</v>
      </c>
      <c r="BI32" s="128">
        <v>6310000000</v>
      </c>
      <c r="BJ32" s="128">
        <v>6171900000</v>
      </c>
      <c r="BK32" s="128">
        <v>-528800000</v>
      </c>
      <c r="BL32" s="128">
        <v>-476600000</v>
      </c>
      <c r="BM32" s="128">
        <v>-478800000</v>
      </c>
      <c r="BN32" s="128">
        <v>-497800000</v>
      </c>
      <c r="BO32" s="128">
        <v>-528800000</v>
      </c>
      <c r="BP32" s="128">
        <v>-476600000</v>
      </c>
      <c r="BQ32" s="128">
        <v>-478800000</v>
      </c>
      <c r="BR32" s="128">
        <v>-497800000</v>
      </c>
      <c r="BS32" s="128">
        <v>0</v>
      </c>
      <c r="BT32" s="128">
        <v>0</v>
      </c>
      <c r="BU32" s="128">
        <v>0</v>
      </c>
      <c r="BV32" s="128">
        <v>0</v>
      </c>
      <c r="BW32" s="128">
        <v>5757500000</v>
      </c>
      <c r="BX32" s="128">
        <v>6517900000</v>
      </c>
      <c r="BY32" s="128">
        <v>4330800000</v>
      </c>
      <c r="BZ32" s="128">
        <v>4191300000</v>
      </c>
      <c r="CA32" s="128">
        <v>11350900000</v>
      </c>
      <c r="CB32" s="128">
        <v>11173500000</v>
      </c>
      <c r="CC32" s="128">
        <v>13283900000</v>
      </c>
      <c r="CD32" s="128">
        <v>10900900000</v>
      </c>
      <c r="CE32" s="128">
        <v>2340200000</v>
      </c>
      <c r="CF32" s="128">
        <v>2493000000</v>
      </c>
      <c r="CG32" s="128">
        <v>2050500000</v>
      </c>
      <c r="CH32" s="128">
        <v>2034200000</v>
      </c>
      <c r="CI32" s="128">
        <v>1920800000</v>
      </c>
      <c r="CJ32" s="128">
        <v>1423500000</v>
      </c>
      <c r="CK32" s="128">
        <v>1663400000</v>
      </c>
      <c r="CL32" s="128">
        <v>1813700000</v>
      </c>
      <c r="CM32" s="128">
        <v>621100000</v>
      </c>
      <c r="CN32" s="128">
        <v>578400000</v>
      </c>
      <c r="CO32" s="128">
        <v>485100000</v>
      </c>
      <c r="CP32" s="128">
        <v>1540100000</v>
      </c>
      <c r="CQ32" s="128">
        <v>6392500000</v>
      </c>
      <c r="CR32" s="128">
        <v>6602400000</v>
      </c>
      <c r="CS32" s="128">
        <v>9025000000</v>
      </c>
      <c r="CT32" s="128">
        <v>5404500000</v>
      </c>
      <c r="CU32" s="125" t="s">
        <v>340</v>
      </c>
      <c r="CV32" s="125" t="s">
        <v>340</v>
      </c>
      <c r="CW32" s="125" t="s">
        <v>340</v>
      </c>
      <c r="CX32" s="125" t="s">
        <v>340</v>
      </c>
      <c r="CY32" s="128">
        <v>994700000</v>
      </c>
      <c r="CZ32" s="128">
        <v>904200000</v>
      </c>
      <c r="DA32" s="128">
        <v>714300000</v>
      </c>
      <c r="DB32" s="128">
        <v>613700000</v>
      </c>
      <c r="DC32" s="128">
        <v>16825700000</v>
      </c>
      <c r="DD32" s="128">
        <v>16327100000</v>
      </c>
      <c r="DE32" s="128">
        <v>18284000000</v>
      </c>
      <c r="DF32" s="128">
        <v>16170400000</v>
      </c>
      <c r="DG32" s="16">
        <f t="shared" si="2"/>
        <v>37924500000</v>
      </c>
      <c r="DH32" s="16">
        <f t="shared" si="3"/>
        <v>-15662600000</v>
      </c>
      <c r="DI32" s="16">
        <f t="shared" si="4"/>
        <v>-14960000000</v>
      </c>
      <c r="DJ32" s="16">
        <f t="shared" si="5"/>
        <v>-528800000</v>
      </c>
      <c r="DK32" s="16">
        <f t="shared" si="6"/>
        <v>6773100000</v>
      </c>
      <c r="DL32" s="57">
        <f t="shared" si="7"/>
        <v>0.17859431238381521</v>
      </c>
      <c r="DM32" s="57">
        <f t="shared" si="8"/>
        <v>0.21742522005431539</v>
      </c>
      <c r="DN32" s="58">
        <f t="shared" si="9"/>
        <v>0</v>
      </c>
      <c r="DO32" s="16">
        <f t="shared" si="10"/>
        <v>2416600000</v>
      </c>
      <c r="DP32" s="16">
        <f t="shared" si="11"/>
        <v>949450000</v>
      </c>
      <c r="DQ32" s="61"/>
      <c r="DR32" s="62">
        <f t="shared" si="12"/>
        <v>35702400000</v>
      </c>
      <c r="DS32" s="62">
        <f t="shared" si="13"/>
        <v>-11666100000</v>
      </c>
      <c r="DT32" s="62">
        <f t="shared" si="14"/>
        <v>-15126700000</v>
      </c>
      <c r="DU32" s="62">
        <f t="shared" si="15"/>
        <v>-476600000</v>
      </c>
      <c r="DV32" s="62">
        <f t="shared" si="16"/>
        <v>8433000000</v>
      </c>
      <c r="DW32" s="63">
        <f t="shared" si="17"/>
        <v>0.23620260822801828</v>
      </c>
      <c r="DX32" s="63">
        <f t="shared" si="18"/>
        <v>0.30924772822284319</v>
      </c>
      <c r="DY32" s="64">
        <f t="shared" si="19"/>
        <v>0</v>
      </c>
      <c r="DZ32" s="64">
        <f t="shared" si="20"/>
        <v>2271750000</v>
      </c>
      <c r="EA32" s="64">
        <f t="shared" si="21"/>
        <v>809250000</v>
      </c>
      <c r="EB32" s="61"/>
      <c r="EC32" s="64">
        <f t="shared" si="22"/>
        <v>29985400000</v>
      </c>
      <c r="ED32" s="64">
        <f t="shared" si="23"/>
        <v>-11149400000</v>
      </c>
      <c r="EE32" s="64">
        <f t="shared" si="24"/>
        <v>-12560500000</v>
      </c>
      <c r="EF32" s="64">
        <f t="shared" si="25"/>
        <v>-478800000</v>
      </c>
      <c r="EG32" s="64">
        <f t="shared" si="26"/>
        <v>5796700000</v>
      </c>
      <c r="EH32" s="63">
        <f t="shared" si="27"/>
        <v>0.19331741447504452</v>
      </c>
      <c r="EI32" s="57">
        <f t="shared" si="28"/>
        <v>0.2396449581829532</v>
      </c>
      <c r="EJ32" s="64">
        <f t="shared" si="29"/>
        <v>0</v>
      </c>
      <c r="EK32" s="64">
        <f t="shared" si="30"/>
        <v>2042350000</v>
      </c>
      <c r="EL32" s="64">
        <f t="shared" si="31"/>
        <v>664000000</v>
      </c>
      <c r="EM32" s="61"/>
      <c r="EN32" s="66">
        <f t="shared" si="32"/>
        <v>34537433333.333336</v>
      </c>
      <c r="EO32" s="66">
        <f t="shared" si="32"/>
        <v>-12826033333.333334</v>
      </c>
      <c r="EP32" s="66">
        <f t="shared" si="32"/>
        <v>-14215733333.333334</v>
      </c>
      <c r="EQ32" s="66">
        <f t="shared" si="32"/>
        <v>-494733333.33333331</v>
      </c>
      <c r="ER32" s="66">
        <f t="shared" si="33"/>
        <v>7000933333.333333</v>
      </c>
      <c r="ES32" s="63">
        <f t="shared" si="34"/>
        <v>0.20270566332375595</v>
      </c>
      <c r="ET32" s="67">
        <f t="shared" si="35"/>
        <v>0.2542419455389513</v>
      </c>
      <c r="EU32" s="66">
        <f t="shared" si="36"/>
        <v>0</v>
      </c>
      <c r="EV32" s="66">
        <f t="shared" si="37"/>
        <v>2243566666.6666665</v>
      </c>
      <c r="EW32" s="66">
        <f t="shared" si="37"/>
        <v>807566666.66666663</v>
      </c>
      <c r="EX32" s="70"/>
      <c r="EY32" s="71" t="str">
        <f t="shared" si="38"/>
        <v>完整</v>
      </c>
      <c r="EZ32" s="71" t="str">
        <f t="shared" si="39"/>
        <v>完整</v>
      </c>
      <c r="FA32" s="71" t="str">
        <f t="shared" si="40"/>
        <v>完整</v>
      </c>
      <c r="FB32" s="71" t="str">
        <f t="shared" si="41"/>
        <v>选择</v>
      </c>
      <c r="FC32" s="71" t="str">
        <f t="shared" si="42"/>
        <v>选择</v>
      </c>
    </row>
    <row r="33" spans="1:218" s="3" customFormat="1" ht="12.75" customHeight="1" x14ac:dyDescent="0.25">
      <c r="A33" s="28" t="s">
        <v>197</v>
      </c>
      <c r="B33" s="47" t="str">
        <f t="shared" si="0"/>
        <v>COSMAX BTI INC.</v>
      </c>
      <c r="C33" s="29" t="s">
        <v>573</v>
      </c>
      <c r="D33" s="29"/>
      <c r="E33" s="33"/>
      <c r="F33" s="34"/>
      <c r="G33" s="29"/>
      <c r="H33" s="31">
        <f t="shared" si="1"/>
        <v>9.7063937170053134E-3</v>
      </c>
      <c r="I33" s="29"/>
      <c r="J33" s="29" t="str">
        <f>VLOOKUP(Z:Z,'[1]AP 2022'!FD32:FF181,2,FALSE)</f>
        <v>exclude</v>
      </c>
      <c r="K33" s="47" t="str">
        <f>VLOOKUP(Z:Z,'[1]AP 2022'!FD32:FF181,3,0)</f>
        <v>Independence(A+, A, A-, U)</v>
      </c>
      <c r="L33" s="48"/>
      <c r="M33" s="125" t="s">
        <v>574</v>
      </c>
      <c r="N33" s="125" t="s">
        <v>575</v>
      </c>
      <c r="O33" s="125" t="s">
        <v>331</v>
      </c>
      <c r="P33" s="142" t="s">
        <v>465</v>
      </c>
      <c r="Q33" s="124"/>
      <c r="R33" s="125" t="s">
        <v>363</v>
      </c>
      <c r="S33" s="125" t="s">
        <v>576</v>
      </c>
      <c r="T33" s="125" t="s">
        <v>335</v>
      </c>
      <c r="U33" s="125" t="s">
        <v>321</v>
      </c>
      <c r="V33" s="125" t="s">
        <v>577</v>
      </c>
      <c r="W33" s="125" t="s">
        <v>578</v>
      </c>
      <c r="X33" s="125" t="s">
        <v>463</v>
      </c>
      <c r="Y33" s="124"/>
      <c r="Z33" s="125" t="s">
        <v>579</v>
      </c>
      <c r="AA33" s="128">
        <v>617403775000</v>
      </c>
      <c r="AB33" s="128">
        <v>575998202000</v>
      </c>
      <c r="AC33" s="128">
        <v>525904306000</v>
      </c>
      <c r="AD33" s="128">
        <v>468352868000</v>
      </c>
      <c r="AE33" s="128">
        <v>617403775000</v>
      </c>
      <c r="AF33" s="128">
        <v>575998202000</v>
      </c>
      <c r="AG33" s="128">
        <v>525904306000</v>
      </c>
      <c r="AH33" s="128">
        <v>468352868000</v>
      </c>
      <c r="AI33" s="125" t="s">
        <v>340</v>
      </c>
      <c r="AJ33" s="125" t="s">
        <v>340</v>
      </c>
      <c r="AK33" s="125" t="s">
        <v>340</v>
      </c>
      <c r="AL33" s="125" t="s">
        <v>340</v>
      </c>
      <c r="AM33" s="128">
        <v>617403775000</v>
      </c>
      <c r="AN33" s="128">
        <v>575998202000</v>
      </c>
      <c r="AO33" s="128">
        <v>525904306000</v>
      </c>
      <c r="AP33" s="128">
        <v>468352868000</v>
      </c>
      <c r="AQ33" s="125" t="s">
        <v>340</v>
      </c>
      <c r="AR33" s="125" t="s">
        <v>340</v>
      </c>
      <c r="AS33" s="125" t="s">
        <v>340</v>
      </c>
      <c r="AT33" s="125" t="s">
        <v>340</v>
      </c>
      <c r="AU33" s="128">
        <v>-529233049000</v>
      </c>
      <c r="AV33" s="128">
        <v>-484039952000</v>
      </c>
      <c r="AW33" s="128">
        <v>-458486816000</v>
      </c>
      <c r="AX33" s="128">
        <v>-406430033000</v>
      </c>
      <c r="AY33" s="128">
        <v>-4307500000</v>
      </c>
      <c r="AZ33" s="128">
        <v>-4211074000</v>
      </c>
      <c r="BA33" s="128">
        <v>-2922223000</v>
      </c>
      <c r="BB33" s="128">
        <v>-2343658000</v>
      </c>
      <c r="BC33" s="128">
        <v>-74993708000</v>
      </c>
      <c r="BD33" s="128">
        <v>-69505668000</v>
      </c>
      <c r="BE33" s="128">
        <v>-57057896000</v>
      </c>
      <c r="BF33" s="128">
        <v>-60235500000</v>
      </c>
      <c r="BG33" s="128">
        <v>8869518000</v>
      </c>
      <c r="BH33" s="128">
        <v>18241508000</v>
      </c>
      <c r="BI33" s="128">
        <v>7437371000</v>
      </c>
      <c r="BJ33" s="128">
        <v>-656323000</v>
      </c>
      <c r="BK33" s="128">
        <v>-5469224000</v>
      </c>
      <c r="BL33" s="128">
        <v>-6319902000</v>
      </c>
      <c r="BM33" s="128">
        <v>-6231433000</v>
      </c>
      <c r="BN33" s="128">
        <v>-6676004000</v>
      </c>
      <c r="BO33" s="128">
        <v>-3720073000</v>
      </c>
      <c r="BP33" s="128">
        <v>-3882400000</v>
      </c>
      <c r="BQ33" s="128">
        <v>-3546702000</v>
      </c>
      <c r="BR33" s="128">
        <v>-4194352000</v>
      </c>
      <c r="BS33" s="128">
        <v>-1749151000</v>
      </c>
      <c r="BT33" s="128">
        <v>-2437502000</v>
      </c>
      <c r="BU33" s="128">
        <v>-2684731000</v>
      </c>
      <c r="BV33" s="128">
        <v>-2481652000</v>
      </c>
      <c r="BW33" s="128">
        <v>-6527926000</v>
      </c>
      <c r="BX33" s="128">
        <v>14133653000</v>
      </c>
      <c r="BY33" s="128">
        <v>-6438250000</v>
      </c>
      <c r="BZ33" s="128">
        <v>399022000</v>
      </c>
      <c r="CA33" s="128">
        <v>300281653000</v>
      </c>
      <c r="CB33" s="128">
        <v>273991520000</v>
      </c>
      <c r="CC33" s="128">
        <v>246576258000</v>
      </c>
      <c r="CD33" s="128">
        <v>235347998000</v>
      </c>
      <c r="CE33" s="128">
        <v>67728870000</v>
      </c>
      <c r="CF33" s="128">
        <v>75757310000</v>
      </c>
      <c r="CG33" s="128">
        <v>56514959000</v>
      </c>
      <c r="CH33" s="128">
        <v>77770871000</v>
      </c>
      <c r="CI33" s="128">
        <v>96627221000</v>
      </c>
      <c r="CJ33" s="128">
        <v>101719828000</v>
      </c>
      <c r="CK33" s="128">
        <v>81320645000</v>
      </c>
      <c r="CL33" s="128">
        <v>89153057000</v>
      </c>
      <c r="CM33" s="128">
        <v>31009711000</v>
      </c>
      <c r="CN33" s="128">
        <v>562852000</v>
      </c>
      <c r="CO33" s="128">
        <v>1602925000</v>
      </c>
      <c r="CP33" s="128">
        <v>1019278000</v>
      </c>
      <c r="CQ33" s="128">
        <v>95464539000</v>
      </c>
      <c r="CR33" s="128">
        <v>87779205000</v>
      </c>
      <c r="CS33" s="128">
        <v>100254871000</v>
      </c>
      <c r="CT33" s="128">
        <v>59966258000</v>
      </c>
      <c r="CU33" s="125" t="s">
        <v>340</v>
      </c>
      <c r="CV33" s="125" t="s">
        <v>340</v>
      </c>
      <c r="CW33" s="125" t="s">
        <v>340</v>
      </c>
      <c r="CX33" s="125" t="s">
        <v>340</v>
      </c>
      <c r="CY33" s="128">
        <v>6542921000</v>
      </c>
      <c r="CZ33" s="128">
        <v>3320945000</v>
      </c>
      <c r="DA33" s="128">
        <v>5476499000</v>
      </c>
      <c r="DB33" s="128">
        <v>13388492000</v>
      </c>
      <c r="DC33" s="128">
        <v>936136657000</v>
      </c>
      <c r="DD33" s="128">
        <v>954664614000</v>
      </c>
      <c r="DE33" s="128">
        <v>881564731000</v>
      </c>
      <c r="DF33" s="128">
        <v>892716238000</v>
      </c>
      <c r="DG33" s="16">
        <f t="shared" si="2"/>
        <v>617403775000</v>
      </c>
      <c r="DH33" s="16">
        <f t="shared" si="3"/>
        <v>-529233049000</v>
      </c>
      <c r="DI33" s="16">
        <f t="shared" si="4"/>
        <v>-79301208000</v>
      </c>
      <c r="DJ33" s="16">
        <f t="shared" si="5"/>
        <v>-5469224000</v>
      </c>
      <c r="DK33" s="16">
        <f t="shared" si="6"/>
        <v>3400294000</v>
      </c>
      <c r="DL33" s="57">
        <f t="shared" si="7"/>
        <v>5.5074072068963297E-3</v>
      </c>
      <c r="DM33" s="57">
        <f t="shared" si="8"/>
        <v>5.5379067142454852E-3</v>
      </c>
      <c r="DN33" s="58">
        <f t="shared" si="9"/>
        <v>-4307500000</v>
      </c>
      <c r="DO33" s="16">
        <f t="shared" si="10"/>
        <v>71743090000</v>
      </c>
      <c r="DP33" s="16">
        <f t="shared" si="11"/>
        <v>4931933000</v>
      </c>
      <c r="DQ33" s="61"/>
      <c r="DR33" s="62">
        <f t="shared" si="12"/>
        <v>575998202000</v>
      </c>
      <c r="DS33" s="62">
        <f t="shared" si="13"/>
        <v>-484039952000</v>
      </c>
      <c r="DT33" s="62">
        <f t="shared" si="14"/>
        <v>-73716742000</v>
      </c>
      <c r="DU33" s="62">
        <f t="shared" si="15"/>
        <v>-6319902000</v>
      </c>
      <c r="DV33" s="62">
        <f t="shared" si="16"/>
        <v>11921606000</v>
      </c>
      <c r="DW33" s="63">
        <f t="shared" si="17"/>
        <v>2.0697297246077169E-2</v>
      </c>
      <c r="DX33" s="63">
        <f t="shared" si="18"/>
        <v>2.1134729014709912E-2</v>
      </c>
      <c r="DY33" s="64">
        <f t="shared" si="19"/>
        <v>-4211074000</v>
      </c>
      <c r="DZ33" s="64">
        <f t="shared" si="20"/>
        <v>66136134500</v>
      </c>
      <c r="EA33" s="64">
        <f t="shared" si="21"/>
        <v>4398722000</v>
      </c>
      <c r="EB33" s="61"/>
      <c r="EC33" s="64">
        <f t="shared" si="22"/>
        <v>525904306000</v>
      </c>
      <c r="ED33" s="64">
        <f t="shared" si="23"/>
        <v>-458486816000</v>
      </c>
      <c r="EE33" s="64">
        <f t="shared" si="24"/>
        <v>-59980119000</v>
      </c>
      <c r="EF33" s="64">
        <f t="shared" si="25"/>
        <v>-6231433000</v>
      </c>
      <c r="EG33" s="64">
        <f t="shared" si="26"/>
        <v>1205938000</v>
      </c>
      <c r="EH33" s="63">
        <f t="shared" si="27"/>
        <v>2.2930749686616942E-3</v>
      </c>
      <c r="EI33" s="57">
        <f t="shared" si="28"/>
        <v>2.298345246616052E-3</v>
      </c>
      <c r="EJ33" s="64">
        <f t="shared" si="29"/>
        <v>-2922223000</v>
      </c>
      <c r="EK33" s="64">
        <f t="shared" si="30"/>
        <v>67142915000</v>
      </c>
      <c r="EL33" s="64">
        <f t="shared" si="31"/>
        <v>9432495500</v>
      </c>
      <c r="EM33" s="61"/>
      <c r="EN33" s="66">
        <f t="shared" si="32"/>
        <v>573102094333.33337</v>
      </c>
      <c r="EO33" s="66">
        <f t="shared" si="32"/>
        <v>-490586605666.66669</v>
      </c>
      <c r="EP33" s="66">
        <f t="shared" si="32"/>
        <v>-70999356333.333328</v>
      </c>
      <c r="EQ33" s="66">
        <f t="shared" si="32"/>
        <v>-6006853000</v>
      </c>
      <c r="ER33" s="66">
        <f t="shared" si="33"/>
        <v>5509279333.3333588</v>
      </c>
      <c r="ES33" s="63">
        <f t="shared" si="34"/>
        <v>9.6130853259960292E-3</v>
      </c>
      <c r="ET33" s="67">
        <f t="shared" si="35"/>
        <v>9.7063937170053134E-3</v>
      </c>
      <c r="EU33" s="66">
        <f t="shared" si="36"/>
        <v>3813599000</v>
      </c>
      <c r="EV33" s="66">
        <f t="shared" si="37"/>
        <v>68340713166.666664</v>
      </c>
      <c r="EW33" s="66">
        <f t="shared" si="37"/>
        <v>6254383500</v>
      </c>
      <c r="EX33" s="70"/>
      <c r="EY33" s="71" t="str">
        <f t="shared" si="38"/>
        <v>完整</v>
      </c>
      <c r="EZ33" s="71" t="str">
        <f t="shared" si="39"/>
        <v>完整</v>
      </c>
      <c r="FA33" s="71" t="str">
        <f t="shared" si="40"/>
        <v>完整</v>
      </c>
      <c r="FB33" s="71" t="str">
        <f t="shared" si="41"/>
        <v>选择</v>
      </c>
      <c r="FC33" s="71" t="str">
        <f t="shared" si="42"/>
        <v>选择</v>
      </c>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row>
    <row r="34" spans="1:218" s="3" customFormat="1" ht="12.75" customHeight="1" x14ac:dyDescent="0.25">
      <c r="A34" s="28" t="s">
        <v>198</v>
      </c>
      <c r="B34" s="47" t="str">
        <f t="shared" si="0"/>
        <v>AEKYUNG INDUSTRIAL CO.,LTD.</v>
      </c>
      <c r="C34" s="29" t="s">
        <v>328</v>
      </c>
      <c r="D34" s="136" t="s">
        <v>309</v>
      </c>
      <c r="E34" s="33"/>
      <c r="F34" s="34"/>
      <c r="H34" s="31" t="str">
        <f t="shared" si="1"/>
        <v xml:space="preserve"> </v>
      </c>
      <c r="I34" s="29"/>
      <c r="J34" s="29" t="str">
        <f>VLOOKUP(Z:Z,'[1]AP 2022'!FD33:FF181,2,FALSE)</f>
        <v>exclude</v>
      </c>
      <c r="K34" s="47" t="str">
        <f>VLOOKUP(Z:Z,'[1]AP 2022'!FD33:FF181,3,0)</f>
        <v>Independence(A+, A, A-, U)</v>
      </c>
      <c r="L34" s="48"/>
      <c r="M34" s="125" t="s">
        <v>580</v>
      </c>
      <c r="N34" s="125" t="s">
        <v>581</v>
      </c>
      <c r="O34" s="125" t="s">
        <v>331</v>
      </c>
      <c r="P34" s="125" t="s">
        <v>582</v>
      </c>
      <c r="Q34" s="124"/>
      <c r="R34" s="125" t="s">
        <v>363</v>
      </c>
      <c r="S34" s="125" t="s">
        <v>583</v>
      </c>
      <c r="T34" s="125" t="s">
        <v>365</v>
      </c>
      <c r="U34" s="125" t="s">
        <v>315</v>
      </c>
      <c r="V34" s="125" t="s">
        <v>584</v>
      </c>
      <c r="W34" s="125" t="s">
        <v>585</v>
      </c>
      <c r="X34" s="124"/>
      <c r="Y34" s="124"/>
      <c r="Z34" s="125" t="s">
        <v>586</v>
      </c>
      <c r="AA34" s="128">
        <v>610410753000</v>
      </c>
      <c r="AB34" s="128">
        <v>573923185000</v>
      </c>
      <c r="AC34" s="128">
        <v>588135647000</v>
      </c>
      <c r="AD34" s="128">
        <v>701336794000</v>
      </c>
      <c r="AE34" s="128">
        <v>610410753000</v>
      </c>
      <c r="AF34" s="128">
        <v>573923185000</v>
      </c>
      <c r="AG34" s="128">
        <v>588135647000</v>
      </c>
      <c r="AH34" s="128">
        <v>701336794000</v>
      </c>
      <c r="AI34" s="125" t="s">
        <v>340</v>
      </c>
      <c r="AJ34" s="125" t="s">
        <v>340</v>
      </c>
      <c r="AK34" s="125" t="s">
        <v>340</v>
      </c>
      <c r="AL34" s="125" t="s">
        <v>340</v>
      </c>
      <c r="AM34" s="128">
        <v>610410753000</v>
      </c>
      <c r="AN34" s="128">
        <v>573923185000</v>
      </c>
      <c r="AO34" s="128">
        <v>588135647000</v>
      </c>
      <c r="AP34" s="128">
        <v>701336794000</v>
      </c>
      <c r="AQ34" s="125" t="s">
        <v>340</v>
      </c>
      <c r="AR34" s="125" t="s">
        <v>340</v>
      </c>
      <c r="AS34" s="125" t="s">
        <v>340</v>
      </c>
      <c r="AT34" s="125" t="s">
        <v>340</v>
      </c>
      <c r="AU34" s="128">
        <v>-341994114000</v>
      </c>
      <c r="AV34" s="128">
        <v>-331238073000</v>
      </c>
      <c r="AW34" s="128">
        <v>-330249163000</v>
      </c>
      <c r="AX34" s="128">
        <v>-361453199000</v>
      </c>
      <c r="AY34" s="128">
        <v>-3592298000</v>
      </c>
      <c r="AZ34" s="128">
        <v>-3662685000</v>
      </c>
      <c r="BA34" s="128">
        <v>-3218839000</v>
      </c>
      <c r="BB34" s="128">
        <v>-3687237000</v>
      </c>
      <c r="BC34" s="128">
        <v>-218390078000</v>
      </c>
      <c r="BD34" s="128">
        <v>-207269874000</v>
      </c>
      <c r="BE34" s="128">
        <v>-225562174000</v>
      </c>
      <c r="BF34" s="128">
        <v>-269384088000</v>
      </c>
      <c r="BG34" s="128">
        <v>46434263000</v>
      </c>
      <c r="BH34" s="128">
        <v>31752553000</v>
      </c>
      <c r="BI34" s="128">
        <v>29105471000</v>
      </c>
      <c r="BJ34" s="128">
        <v>66812270000</v>
      </c>
      <c r="BK34" s="128">
        <v>-7395469000</v>
      </c>
      <c r="BL34" s="128">
        <v>-7367545000</v>
      </c>
      <c r="BM34" s="128">
        <v>-6735215000</v>
      </c>
      <c r="BN34" s="128">
        <v>-6210898000</v>
      </c>
      <c r="BO34" s="128">
        <v>-5438966000</v>
      </c>
      <c r="BP34" s="128">
        <v>-5601095000</v>
      </c>
      <c r="BQ34" s="128">
        <v>-5250053000</v>
      </c>
      <c r="BR34" s="128">
        <v>-4979085000</v>
      </c>
      <c r="BS34" s="128">
        <v>-1956503000</v>
      </c>
      <c r="BT34" s="128">
        <v>-1766450000</v>
      </c>
      <c r="BU34" s="128">
        <v>-1485162000</v>
      </c>
      <c r="BV34" s="128">
        <v>-1231813000</v>
      </c>
      <c r="BW34" s="128">
        <v>16556834000</v>
      </c>
      <c r="BX34" s="128">
        <v>15725463000</v>
      </c>
      <c r="BY34" s="128">
        <v>11460209000</v>
      </c>
      <c r="BZ34" s="128">
        <v>41643077000</v>
      </c>
      <c r="CA34" s="128">
        <v>275603609000</v>
      </c>
      <c r="CB34" s="128">
        <v>261862419000</v>
      </c>
      <c r="CC34" s="128">
        <v>246412086000</v>
      </c>
      <c r="CD34" s="128">
        <v>293868997000</v>
      </c>
      <c r="CE34" s="128">
        <v>79017254000</v>
      </c>
      <c r="CF34" s="128">
        <v>80007310000</v>
      </c>
      <c r="CG34" s="128">
        <v>80370537000</v>
      </c>
      <c r="CH34" s="128">
        <v>87242125000</v>
      </c>
      <c r="CI34" s="128">
        <v>53335679000</v>
      </c>
      <c r="CJ34" s="128">
        <v>56973576000</v>
      </c>
      <c r="CK34" s="128">
        <v>61699626000</v>
      </c>
      <c r="CL34" s="128">
        <v>67076611000</v>
      </c>
      <c r="CM34" s="128">
        <v>19558549000</v>
      </c>
      <c r="CN34" s="128">
        <v>15597743000</v>
      </c>
      <c r="CO34" s="128">
        <v>259376000</v>
      </c>
      <c r="CP34" s="128">
        <v>316931000</v>
      </c>
      <c r="CQ34" s="128">
        <v>121107869000</v>
      </c>
      <c r="CR34" s="128">
        <v>106421009000</v>
      </c>
      <c r="CS34" s="128">
        <v>101637389000</v>
      </c>
      <c r="CT34" s="128">
        <v>137103252000</v>
      </c>
      <c r="CU34" s="128">
        <v>664681000</v>
      </c>
      <c r="CV34" s="128">
        <v>368956000</v>
      </c>
      <c r="CW34" s="128">
        <v>1128456000</v>
      </c>
      <c r="CX34" s="128">
        <v>4015075000</v>
      </c>
      <c r="CY34" s="128">
        <v>19949346000</v>
      </c>
      <c r="CZ34" s="128">
        <v>4955528000</v>
      </c>
      <c r="DA34" s="128">
        <v>14644290000</v>
      </c>
      <c r="DB34" s="128">
        <v>11657698000</v>
      </c>
      <c r="DC34" s="128">
        <v>482639615000</v>
      </c>
      <c r="DD34" s="128">
        <v>431492645000</v>
      </c>
      <c r="DE34" s="128">
        <v>434466866000</v>
      </c>
      <c r="DF34" s="128">
        <v>451543474000</v>
      </c>
      <c r="DG34" s="16">
        <f t="shared" si="2"/>
        <v>610410753000</v>
      </c>
      <c r="DH34" s="16">
        <f t="shared" si="3"/>
        <v>-341994114000</v>
      </c>
      <c r="DI34" s="16">
        <f t="shared" si="4"/>
        <v>-221982376000</v>
      </c>
      <c r="DJ34" s="16">
        <f t="shared" si="5"/>
        <v>-7395469000</v>
      </c>
      <c r="DK34" s="16">
        <f t="shared" si="6"/>
        <v>39038794000</v>
      </c>
      <c r="DL34" s="57">
        <f t="shared" si="7"/>
        <v>6.3954957883908703E-2</v>
      </c>
      <c r="DM34" s="57">
        <f t="shared" si="8"/>
        <v>6.8324658543490055E-2</v>
      </c>
      <c r="DN34" s="58">
        <f t="shared" si="9"/>
        <v>-3592298000</v>
      </c>
      <c r="DO34" s="16">
        <f t="shared" si="10"/>
        <v>79512282000</v>
      </c>
      <c r="DP34" s="16">
        <f t="shared" si="11"/>
        <v>12452437000</v>
      </c>
      <c r="DQ34" s="61"/>
      <c r="DR34" s="62">
        <f t="shared" si="12"/>
        <v>573923185000</v>
      </c>
      <c r="DS34" s="62">
        <f t="shared" si="13"/>
        <v>-331238073000</v>
      </c>
      <c r="DT34" s="62">
        <f t="shared" si="14"/>
        <v>-210932559000</v>
      </c>
      <c r="DU34" s="62">
        <f t="shared" si="15"/>
        <v>-7367545000</v>
      </c>
      <c r="DV34" s="62">
        <f t="shared" si="16"/>
        <v>24385008000</v>
      </c>
      <c r="DW34" s="63">
        <f t="shared" si="17"/>
        <v>4.2488278287624852E-2</v>
      </c>
      <c r="DX34" s="63">
        <f t="shared" si="18"/>
        <v>4.4373637757290883E-2</v>
      </c>
      <c r="DY34" s="64">
        <f t="shared" si="19"/>
        <v>-3662685000</v>
      </c>
      <c r="DZ34" s="64">
        <f t="shared" si="20"/>
        <v>80188923500</v>
      </c>
      <c r="EA34" s="64">
        <f t="shared" si="21"/>
        <v>9799909000</v>
      </c>
      <c r="EB34" s="61"/>
      <c r="EC34" s="64">
        <f t="shared" si="22"/>
        <v>588135647000</v>
      </c>
      <c r="ED34" s="64">
        <f t="shared" si="23"/>
        <v>-330249163000</v>
      </c>
      <c r="EE34" s="64">
        <f t="shared" si="24"/>
        <v>-228781013000</v>
      </c>
      <c r="EF34" s="64">
        <f t="shared" si="25"/>
        <v>-6735215000</v>
      </c>
      <c r="EG34" s="64">
        <f t="shared" si="26"/>
        <v>22370256000</v>
      </c>
      <c r="EH34" s="63">
        <f t="shared" si="27"/>
        <v>3.8035878481618372E-2</v>
      </c>
      <c r="EI34" s="57">
        <f t="shared" si="28"/>
        <v>3.9539809885613876E-2</v>
      </c>
      <c r="EJ34" s="64">
        <f t="shared" si="29"/>
        <v>-3218839000</v>
      </c>
      <c r="EK34" s="64">
        <f t="shared" si="30"/>
        <v>83806331000</v>
      </c>
      <c r="EL34" s="64">
        <f t="shared" si="31"/>
        <v>13150994000</v>
      </c>
      <c r="EM34" s="61"/>
      <c r="EN34" s="66">
        <f t="shared" si="32"/>
        <v>590823195000</v>
      </c>
      <c r="EO34" s="66">
        <f t="shared" si="32"/>
        <v>-334493783333.33331</v>
      </c>
      <c r="EP34" s="66">
        <f t="shared" si="32"/>
        <v>-220565316000</v>
      </c>
      <c r="EQ34" s="66">
        <f t="shared" si="32"/>
        <v>-7166076333.333333</v>
      </c>
      <c r="ER34" s="66">
        <f t="shared" si="33"/>
        <v>28598019333.333355</v>
      </c>
      <c r="ES34" s="63">
        <f t="shared" si="34"/>
        <v>4.8403684173796452E-2</v>
      </c>
      <c r="ET34" s="67">
        <f t="shared" si="35"/>
        <v>5.0865775086330563E-2</v>
      </c>
      <c r="EU34" s="66">
        <f t="shared" si="36"/>
        <v>3491274000</v>
      </c>
      <c r="EV34" s="66">
        <f t="shared" si="37"/>
        <v>81169178833.333328</v>
      </c>
      <c r="EW34" s="66">
        <f t="shared" si="37"/>
        <v>11801113333.333334</v>
      </c>
      <c r="EX34" s="70"/>
      <c r="EY34" s="71" t="str">
        <f t="shared" si="38"/>
        <v>完整</v>
      </c>
      <c r="EZ34" s="71" t="str">
        <f t="shared" si="39"/>
        <v>完整</v>
      </c>
      <c r="FA34" s="71" t="str">
        <f t="shared" si="40"/>
        <v>完整</v>
      </c>
      <c r="FB34" s="71" t="str">
        <f t="shared" si="41"/>
        <v>选择</v>
      </c>
      <c r="FC34" s="71" t="str">
        <f t="shared" si="42"/>
        <v>选择</v>
      </c>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row>
    <row r="35" spans="1:218" s="3" customFormat="1" ht="12.75" customHeight="1" x14ac:dyDescent="0.25">
      <c r="A35" s="28" t="s">
        <v>199</v>
      </c>
      <c r="B35" s="47" t="str">
        <f t="shared" si="0"/>
        <v>NOEVIR HOLDINGS CO LTD</v>
      </c>
      <c r="C35" s="29" t="s">
        <v>328</v>
      </c>
      <c r="D35" s="136" t="s">
        <v>309</v>
      </c>
      <c r="E35" s="33"/>
      <c r="F35" s="34"/>
      <c r="H35" s="31" t="str">
        <f t="shared" si="1"/>
        <v xml:space="preserve"> </v>
      </c>
      <c r="I35" s="29"/>
      <c r="J35" s="29" t="str">
        <f>VLOOKUP(Z:Z,'[1]AP 2022'!FD34:FF181,2,FALSE)</f>
        <v>exclude</v>
      </c>
      <c r="K35" s="47" t="str">
        <f>VLOOKUP(Z:Z,'[1]AP 2022'!FD34:FF181,3,0)</f>
        <v>Independence(A+, A, A-, U)</v>
      </c>
      <c r="L35" s="48"/>
      <c r="M35" s="125" t="s">
        <v>587</v>
      </c>
      <c r="N35" s="125" t="s">
        <v>588</v>
      </c>
      <c r="O35" s="125" t="s">
        <v>413</v>
      </c>
      <c r="P35" s="125" t="s">
        <v>589</v>
      </c>
      <c r="Q35" s="124"/>
      <c r="R35" s="125" t="s">
        <v>333</v>
      </c>
      <c r="S35" s="125" t="s">
        <v>590</v>
      </c>
      <c r="T35" s="125" t="s">
        <v>365</v>
      </c>
      <c r="U35" s="125" t="s">
        <v>321</v>
      </c>
      <c r="V35" s="125" t="s">
        <v>591</v>
      </c>
      <c r="W35" s="125" t="s">
        <v>592</v>
      </c>
      <c r="X35" s="124"/>
      <c r="Y35" s="124"/>
      <c r="Z35" s="125" t="s">
        <v>593</v>
      </c>
      <c r="AA35" s="128">
        <v>61143000000</v>
      </c>
      <c r="AB35" s="128">
        <v>51272000000</v>
      </c>
      <c r="AC35" s="128">
        <v>51841000000</v>
      </c>
      <c r="AD35" s="128">
        <v>59252000000</v>
      </c>
      <c r="AE35" s="128">
        <v>61143000000</v>
      </c>
      <c r="AF35" s="128">
        <v>51272000000</v>
      </c>
      <c r="AG35" s="128">
        <v>51841000000</v>
      </c>
      <c r="AH35" s="128">
        <v>59252000000</v>
      </c>
      <c r="AI35" s="125" t="s">
        <v>340</v>
      </c>
      <c r="AJ35" s="125" t="s">
        <v>340</v>
      </c>
      <c r="AK35" s="125" t="s">
        <v>340</v>
      </c>
      <c r="AL35" s="125" t="s">
        <v>340</v>
      </c>
      <c r="AM35" s="128">
        <v>61143000000</v>
      </c>
      <c r="AN35" s="128">
        <v>51272000000</v>
      </c>
      <c r="AO35" s="128">
        <v>51841000000</v>
      </c>
      <c r="AP35" s="128">
        <v>59252000000</v>
      </c>
      <c r="AQ35" s="125" t="s">
        <v>340</v>
      </c>
      <c r="AR35" s="125" t="s">
        <v>340</v>
      </c>
      <c r="AS35" s="125" t="s">
        <v>340</v>
      </c>
      <c r="AT35" s="125" t="s">
        <v>340</v>
      </c>
      <c r="AU35" s="128">
        <v>-17599000000</v>
      </c>
      <c r="AV35" s="128">
        <v>-17736000000</v>
      </c>
      <c r="AW35" s="128">
        <v>-18190000000</v>
      </c>
      <c r="AX35" s="128">
        <v>-20440000000</v>
      </c>
      <c r="AY35" s="128">
        <v>-1063000000</v>
      </c>
      <c r="AZ35" s="128">
        <v>-1041000000</v>
      </c>
      <c r="BA35" s="128">
        <v>-1065000000</v>
      </c>
      <c r="BB35" s="128">
        <v>-1097000000</v>
      </c>
      <c r="BC35" s="128">
        <v>-30914000000</v>
      </c>
      <c r="BD35" s="128">
        <v>-22443000000</v>
      </c>
      <c r="BE35" s="128">
        <v>-22826000000</v>
      </c>
      <c r="BF35" s="128">
        <v>-23904000000</v>
      </c>
      <c r="BG35" s="128">
        <v>11567000000</v>
      </c>
      <c r="BH35" s="128">
        <v>10052000000</v>
      </c>
      <c r="BI35" s="128">
        <v>9760000000</v>
      </c>
      <c r="BJ35" s="128">
        <v>13811000000</v>
      </c>
      <c r="BK35" s="128">
        <v>-1761000000</v>
      </c>
      <c r="BL35" s="128">
        <v>-1494000000</v>
      </c>
      <c r="BM35" s="128">
        <v>-1699000000</v>
      </c>
      <c r="BN35" s="128">
        <v>-1818000000</v>
      </c>
      <c r="BO35" s="128">
        <v>-1730000000</v>
      </c>
      <c r="BP35" s="128">
        <v>-1463000000</v>
      </c>
      <c r="BQ35" s="128">
        <v>-1668000000</v>
      </c>
      <c r="BR35" s="128">
        <v>-1808000000</v>
      </c>
      <c r="BS35" s="128">
        <v>-31000000</v>
      </c>
      <c r="BT35" s="128">
        <v>-31000000</v>
      </c>
      <c r="BU35" s="128">
        <v>-31000000</v>
      </c>
      <c r="BV35" s="128">
        <v>-10000000</v>
      </c>
      <c r="BW35" s="128">
        <v>7589000000</v>
      </c>
      <c r="BX35" s="128">
        <v>6383000000</v>
      </c>
      <c r="BY35" s="128">
        <v>5618000000</v>
      </c>
      <c r="BZ35" s="128">
        <v>7226000000</v>
      </c>
      <c r="CA35" s="128">
        <v>50569000000</v>
      </c>
      <c r="CB35" s="128">
        <v>51128000000</v>
      </c>
      <c r="CC35" s="128">
        <v>50416000000</v>
      </c>
      <c r="CD35" s="128">
        <v>54021000000</v>
      </c>
      <c r="CE35" s="128">
        <v>7849000000</v>
      </c>
      <c r="CF35" s="128">
        <v>7330000000</v>
      </c>
      <c r="CG35" s="128">
        <v>8077000000</v>
      </c>
      <c r="CH35" s="128">
        <v>8642000000</v>
      </c>
      <c r="CI35" s="128">
        <v>8963000000</v>
      </c>
      <c r="CJ35" s="128">
        <v>9287000000</v>
      </c>
      <c r="CK35" s="128">
        <v>9210000000</v>
      </c>
      <c r="CL35" s="128">
        <v>10791000000</v>
      </c>
      <c r="CM35" s="128">
        <v>4010000000</v>
      </c>
      <c r="CN35" s="128">
        <v>3410000000</v>
      </c>
      <c r="CO35" s="128">
        <v>3673000000</v>
      </c>
      <c r="CP35" s="128">
        <v>3849000000</v>
      </c>
      <c r="CQ35" s="128">
        <v>29747000000</v>
      </c>
      <c r="CR35" s="128">
        <v>31101000000</v>
      </c>
      <c r="CS35" s="128">
        <v>29456000000</v>
      </c>
      <c r="CT35" s="128">
        <v>30739000000</v>
      </c>
      <c r="CU35" s="125" t="s">
        <v>340</v>
      </c>
      <c r="CV35" s="125" t="s">
        <v>340</v>
      </c>
      <c r="CW35" s="125" t="s">
        <v>340</v>
      </c>
      <c r="CX35" s="125" t="s">
        <v>340</v>
      </c>
      <c r="CY35" s="125" t="s">
        <v>340</v>
      </c>
      <c r="CZ35" s="125" t="s">
        <v>340</v>
      </c>
      <c r="DA35" s="125" t="s">
        <v>340</v>
      </c>
      <c r="DB35" s="125" t="s">
        <v>340</v>
      </c>
      <c r="DC35" s="128">
        <v>76781000000</v>
      </c>
      <c r="DD35" s="128">
        <v>80448000000</v>
      </c>
      <c r="DE35" s="128">
        <v>80052000000</v>
      </c>
      <c r="DF35" s="128">
        <v>83330000000</v>
      </c>
      <c r="DG35" s="16">
        <f t="shared" si="2"/>
        <v>61143000000</v>
      </c>
      <c r="DH35" s="16">
        <f t="shared" si="3"/>
        <v>-17599000000</v>
      </c>
      <c r="DI35" s="16">
        <f t="shared" si="4"/>
        <v>-31977000000</v>
      </c>
      <c r="DJ35" s="16">
        <f t="shared" si="5"/>
        <v>-1761000000</v>
      </c>
      <c r="DK35" s="16">
        <f t="shared" si="6"/>
        <v>9806000000</v>
      </c>
      <c r="DL35" s="57">
        <f t="shared" si="7"/>
        <v>0.16037812995764028</v>
      </c>
      <c r="DM35" s="57">
        <f t="shared" si="8"/>
        <v>0.1910123302880963</v>
      </c>
      <c r="DN35" s="58">
        <f t="shared" si="9"/>
        <v>-1063000000</v>
      </c>
      <c r="DO35" s="16">
        <f t="shared" si="10"/>
        <v>7589500000</v>
      </c>
      <c r="DP35" s="16" t="e">
        <f t="shared" si="11"/>
        <v>#VALUE!</v>
      </c>
      <c r="DQ35" s="61"/>
      <c r="DR35" s="62">
        <f t="shared" si="12"/>
        <v>51272000000</v>
      </c>
      <c r="DS35" s="62">
        <f t="shared" si="13"/>
        <v>-17736000000</v>
      </c>
      <c r="DT35" s="62">
        <f t="shared" si="14"/>
        <v>-23484000000</v>
      </c>
      <c r="DU35" s="62">
        <f t="shared" si="15"/>
        <v>-1494000000</v>
      </c>
      <c r="DV35" s="62">
        <f t="shared" si="16"/>
        <v>8558000000</v>
      </c>
      <c r="DW35" s="63">
        <f t="shared" si="17"/>
        <v>0.16691371508815728</v>
      </c>
      <c r="DX35" s="63">
        <f t="shared" si="18"/>
        <v>0.20035585522311186</v>
      </c>
      <c r="DY35" s="64">
        <f t="shared" si="19"/>
        <v>-1041000000</v>
      </c>
      <c r="DZ35" s="64">
        <f t="shared" si="20"/>
        <v>7703500000</v>
      </c>
      <c r="EA35" s="64" t="e">
        <f t="shared" si="21"/>
        <v>#VALUE!</v>
      </c>
      <c r="EB35" s="61"/>
      <c r="EC35" s="64">
        <f t="shared" si="22"/>
        <v>51841000000</v>
      </c>
      <c r="ED35" s="64">
        <f t="shared" si="23"/>
        <v>-18190000000</v>
      </c>
      <c r="EE35" s="64">
        <f t="shared" si="24"/>
        <v>-23891000000</v>
      </c>
      <c r="EF35" s="64">
        <f t="shared" si="25"/>
        <v>-1699000000</v>
      </c>
      <c r="EG35" s="64">
        <f t="shared" si="26"/>
        <v>8061000000</v>
      </c>
      <c r="EH35" s="63">
        <f t="shared" si="27"/>
        <v>0.15549468567350166</v>
      </c>
      <c r="EI35" s="57">
        <f t="shared" si="28"/>
        <v>0.18412517131110095</v>
      </c>
      <c r="EJ35" s="64">
        <f t="shared" si="29"/>
        <v>-1065000000</v>
      </c>
      <c r="EK35" s="64">
        <f t="shared" si="30"/>
        <v>8359500000</v>
      </c>
      <c r="EL35" s="64" t="e">
        <f t="shared" si="31"/>
        <v>#VALUE!</v>
      </c>
      <c r="EM35" s="61"/>
      <c r="EN35" s="66">
        <f t="shared" si="32"/>
        <v>54752000000</v>
      </c>
      <c r="EO35" s="66">
        <f t="shared" si="32"/>
        <v>-17841666666.666668</v>
      </c>
      <c r="EP35" s="66">
        <f t="shared" si="32"/>
        <v>-26450666666.666668</v>
      </c>
      <c r="EQ35" s="66">
        <f t="shared" si="32"/>
        <v>-1651333333.3333333</v>
      </c>
      <c r="ER35" s="66">
        <f t="shared" si="33"/>
        <v>8808333333.3333263</v>
      </c>
      <c r="ES35" s="63">
        <f t="shared" si="34"/>
        <v>0.16087692382622235</v>
      </c>
      <c r="ET35" s="67">
        <f t="shared" si="35"/>
        <v>0.19172029514405306</v>
      </c>
      <c r="EU35" s="66">
        <f t="shared" si="36"/>
        <v>1056333333.3333334</v>
      </c>
      <c r="EV35" s="66">
        <f t="shared" si="37"/>
        <v>7884166666.666667</v>
      </c>
      <c r="EW35" s="66" t="e">
        <f t="shared" si="37"/>
        <v>#VALUE!</v>
      </c>
      <c r="EX35" s="70"/>
      <c r="EY35" s="71" t="str">
        <f t="shared" si="38"/>
        <v>完整</v>
      </c>
      <c r="EZ35" s="71" t="str">
        <f t="shared" si="39"/>
        <v>完整</v>
      </c>
      <c r="FA35" s="71" t="str">
        <f t="shared" si="40"/>
        <v>完整</v>
      </c>
      <c r="FB35" s="71" t="str">
        <f t="shared" si="41"/>
        <v>选择</v>
      </c>
      <c r="FC35" s="71" t="str">
        <f t="shared" si="42"/>
        <v>选择</v>
      </c>
    </row>
    <row r="36" spans="1:218" s="3" customFormat="1" ht="12.75" customHeight="1" x14ac:dyDescent="0.25">
      <c r="A36" s="28" t="s">
        <v>200</v>
      </c>
      <c r="B36" s="47" t="str">
        <f t="shared" si="0"/>
        <v>TOHO CHEMICAL INDUSTRY COMPANY, LIMITED</v>
      </c>
      <c r="C36" s="29" t="s">
        <v>328</v>
      </c>
      <c r="D36" s="135" t="s">
        <v>312</v>
      </c>
      <c r="E36" s="29"/>
      <c r="F36" s="135"/>
      <c r="H36" s="31" t="str">
        <f t="shared" si="1"/>
        <v xml:space="preserve"> </v>
      </c>
      <c r="I36" s="29"/>
      <c r="J36" s="29" t="str">
        <f>VLOOKUP(Z:Z,'[1]AP 2022'!FD35:FF181,2,FALSE)</f>
        <v>exclude</v>
      </c>
      <c r="K36" s="47" t="str">
        <f>VLOOKUP(Z:Z,'[1]AP 2022'!FD35:FF181,3,0)</f>
        <v>lev SDA/SDP</v>
      </c>
      <c r="L36" s="48"/>
      <c r="M36" s="125" t="s">
        <v>594</v>
      </c>
      <c r="N36" s="125" t="s">
        <v>595</v>
      </c>
      <c r="O36" s="125" t="s">
        <v>331</v>
      </c>
      <c r="P36" s="125" t="s">
        <v>596</v>
      </c>
      <c r="Q36" s="124"/>
      <c r="R36" s="125" t="s">
        <v>333</v>
      </c>
      <c r="S36" s="125" t="s">
        <v>597</v>
      </c>
      <c r="T36" s="125" t="s">
        <v>335</v>
      </c>
      <c r="U36" s="125" t="s">
        <v>319</v>
      </c>
      <c r="V36" s="125" t="s">
        <v>598</v>
      </c>
      <c r="W36" s="125" t="s">
        <v>599</v>
      </c>
      <c r="X36" s="124"/>
      <c r="Y36" s="124"/>
      <c r="Z36" s="125" t="s">
        <v>600</v>
      </c>
      <c r="AA36" s="128">
        <v>55361000000</v>
      </c>
      <c r="AB36" s="128">
        <v>49887000000</v>
      </c>
      <c r="AC36" s="128">
        <v>40649000000</v>
      </c>
      <c r="AD36" s="128">
        <v>42155000000</v>
      </c>
      <c r="AE36" s="128">
        <v>55361000000</v>
      </c>
      <c r="AF36" s="128">
        <v>49887000000</v>
      </c>
      <c r="AG36" s="128">
        <v>40649000000</v>
      </c>
      <c r="AH36" s="128">
        <v>42155000000</v>
      </c>
      <c r="AI36" s="125" t="s">
        <v>340</v>
      </c>
      <c r="AJ36" s="125" t="s">
        <v>340</v>
      </c>
      <c r="AK36" s="125" t="s">
        <v>340</v>
      </c>
      <c r="AL36" s="125" t="s">
        <v>340</v>
      </c>
      <c r="AM36" s="128">
        <v>55361000000</v>
      </c>
      <c r="AN36" s="128">
        <v>49887000000</v>
      </c>
      <c r="AO36" s="128">
        <v>40649000000</v>
      </c>
      <c r="AP36" s="128">
        <v>42155000000</v>
      </c>
      <c r="AQ36" s="125" t="s">
        <v>340</v>
      </c>
      <c r="AR36" s="125" t="s">
        <v>340</v>
      </c>
      <c r="AS36" s="125" t="s">
        <v>340</v>
      </c>
      <c r="AT36" s="125" t="s">
        <v>340</v>
      </c>
      <c r="AU36" s="128">
        <v>-44232000000</v>
      </c>
      <c r="AV36" s="128">
        <v>-40131000000</v>
      </c>
      <c r="AW36" s="128">
        <v>-31076000000</v>
      </c>
      <c r="AX36" s="128">
        <v>-32116000000</v>
      </c>
      <c r="AY36" s="128">
        <v>-1783000000</v>
      </c>
      <c r="AZ36" s="128">
        <v>-2673000000</v>
      </c>
      <c r="BA36" s="128">
        <v>-1622000000</v>
      </c>
      <c r="BB36" s="128">
        <v>-1644000000</v>
      </c>
      <c r="BC36" s="128">
        <v>-4955000000</v>
      </c>
      <c r="BD36" s="128">
        <v>-3212000000</v>
      </c>
      <c r="BE36" s="128">
        <v>-4421000000</v>
      </c>
      <c r="BF36" s="128">
        <v>-4485000000</v>
      </c>
      <c r="BG36" s="128">
        <v>4391000000</v>
      </c>
      <c r="BH36" s="128">
        <v>3871000000</v>
      </c>
      <c r="BI36" s="128">
        <v>3530000000</v>
      </c>
      <c r="BJ36" s="128">
        <v>3910000000</v>
      </c>
      <c r="BK36" s="128">
        <v>-3006000000</v>
      </c>
      <c r="BL36" s="128">
        <v>-2525000000</v>
      </c>
      <c r="BM36" s="128">
        <v>-2143000000</v>
      </c>
      <c r="BN36" s="128">
        <v>-1904000000</v>
      </c>
      <c r="BO36" s="128">
        <v>-3006000000</v>
      </c>
      <c r="BP36" s="128">
        <v>-2525000000</v>
      </c>
      <c r="BQ36" s="128">
        <v>-2143000000</v>
      </c>
      <c r="BR36" s="128">
        <v>-1904000000</v>
      </c>
      <c r="BS36" s="128">
        <v>0</v>
      </c>
      <c r="BT36" s="128">
        <v>0</v>
      </c>
      <c r="BU36" s="128">
        <v>0</v>
      </c>
      <c r="BV36" s="128">
        <v>0</v>
      </c>
      <c r="BW36" s="128">
        <v>977000000</v>
      </c>
      <c r="BX36" s="128">
        <v>1395000000</v>
      </c>
      <c r="BY36" s="128">
        <v>1005000000</v>
      </c>
      <c r="BZ36" s="128">
        <v>1378000000</v>
      </c>
      <c r="CA36" s="128">
        <v>36968000000</v>
      </c>
      <c r="CB36" s="128">
        <v>34902000000</v>
      </c>
      <c r="CC36" s="128">
        <v>30926000000</v>
      </c>
      <c r="CD36" s="128">
        <v>29543000000</v>
      </c>
      <c r="CE36" s="128">
        <v>16070000000</v>
      </c>
      <c r="CF36" s="128">
        <v>12595000000</v>
      </c>
      <c r="CG36" s="128">
        <v>9775000000</v>
      </c>
      <c r="CH36" s="128">
        <v>9980000000</v>
      </c>
      <c r="CI36" s="128">
        <v>12610000000</v>
      </c>
      <c r="CJ36" s="128">
        <v>11923000000</v>
      </c>
      <c r="CK36" s="128">
        <v>10913000000</v>
      </c>
      <c r="CL36" s="128">
        <v>9992000000</v>
      </c>
      <c r="CM36" s="128">
        <v>2210000000</v>
      </c>
      <c r="CN36" s="128">
        <v>2882000000</v>
      </c>
      <c r="CO36" s="128">
        <v>953000000</v>
      </c>
      <c r="CP36" s="128">
        <v>570000000</v>
      </c>
      <c r="CQ36" s="128">
        <v>6078000000</v>
      </c>
      <c r="CR36" s="128">
        <v>7502000000</v>
      </c>
      <c r="CS36" s="128">
        <v>9285000000</v>
      </c>
      <c r="CT36" s="128">
        <v>9001000000</v>
      </c>
      <c r="CU36" s="125" t="s">
        <v>340</v>
      </c>
      <c r="CV36" s="125" t="s">
        <v>340</v>
      </c>
      <c r="CW36" s="125" t="s">
        <v>340</v>
      </c>
      <c r="CX36" s="125" t="s">
        <v>340</v>
      </c>
      <c r="CY36" s="125" t="s">
        <v>340</v>
      </c>
      <c r="CZ36" s="125" t="s">
        <v>340</v>
      </c>
      <c r="DA36" s="125" t="s">
        <v>340</v>
      </c>
      <c r="DB36" s="125" t="s">
        <v>340</v>
      </c>
      <c r="DC36" s="128">
        <v>67951000000</v>
      </c>
      <c r="DD36" s="128">
        <v>66489000000</v>
      </c>
      <c r="DE36" s="128">
        <v>58416000000</v>
      </c>
      <c r="DF36" s="128">
        <v>53298000000</v>
      </c>
      <c r="DG36" s="16">
        <f t="shared" si="2"/>
        <v>55361000000</v>
      </c>
      <c r="DH36" s="16">
        <f t="shared" si="3"/>
        <v>-44232000000</v>
      </c>
      <c r="DI36" s="16">
        <f t="shared" si="4"/>
        <v>-6738000000</v>
      </c>
      <c r="DJ36" s="16">
        <f t="shared" si="5"/>
        <v>-3006000000</v>
      </c>
      <c r="DK36" s="16">
        <f t="shared" si="6"/>
        <v>1385000000</v>
      </c>
      <c r="DL36" s="57">
        <f t="shared" si="7"/>
        <v>2.5017611676089666E-2</v>
      </c>
      <c r="DM36" s="57">
        <f t="shared" si="8"/>
        <v>2.5659552393656439E-2</v>
      </c>
      <c r="DN36" s="58">
        <f t="shared" si="9"/>
        <v>-1783000000</v>
      </c>
      <c r="DO36" s="16">
        <f t="shared" si="10"/>
        <v>14332500000</v>
      </c>
      <c r="DP36" s="16" t="e">
        <f t="shared" si="11"/>
        <v>#VALUE!</v>
      </c>
      <c r="DQ36" s="61"/>
      <c r="DR36" s="62">
        <f t="shared" si="12"/>
        <v>49887000000</v>
      </c>
      <c r="DS36" s="62">
        <f t="shared" si="13"/>
        <v>-40131000000</v>
      </c>
      <c r="DT36" s="62">
        <f t="shared" si="14"/>
        <v>-5885000000</v>
      </c>
      <c r="DU36" s="62">
        <f t="shared" si="15"/>
        <v>-2525000000</v>
      </c>
      <c r="DV36" s="62">
        <f t="shared" si="16"/>
        <v>1346000000</v>
      </c>
      <c r="DW36" s="63">
        <f t="shared" si="17"/>
        <v>2.6980977008038167E-2</v>
      </c>
      <c r="DX36" s="63">
        <f t="shared" si="18"/>
        <v>2.7729136194145156E-2</v>
      </c>
      <c r="DY36" s="64">
        <f t="shared" si="19"/>
        <v>-2673000000</v>
      </c>
      <c r="DZ36" s="64">
        <f t="shared" si="20"/>
        <v>11185000000</v>
      </c>
      <c r="EA36" s="64" t="e">
        <f t="shared" si="21"/>
        <v>#VALUE!</v>
      </c>
      <c r="EB36" s="61"/>
      <c r="EC36" s="64">
        <f t="shared" si="22"/>
        <v>40649000000</v>
      </c>
      <c r="ED36" s="64">
        <f t="shared" si="23"/>
        <v>-31076000000</v>
      </c>
      <c r="EE36" s="64">
        <f t="shared" si="24"/>
        <v>-6043000000</v>
      </c>
      <c r="EF36" s="64">
        <f t="shared" si="25"/>
        <v>-2143000000</v>
      </c>
      <c r="EG36" s="64">
        <f t="shared" si="26"/>
        <v>1387000000</v>
      </c>
      <c r="EH36" s="63">
        <f t="shared" si="27"/>
        <v>3.4121380599768755E-2</v>
      </c>
      <c r="EI36" s="57">
        <f t="shared" si="28"/>
        <v>3.5326779073913711E-2</v>
      </c>
      <c r="EJ36" s="64">
        <f t="shared" si="29"/>
        <v>-1622000000</v>
      </c>
      <c r="EK36" s="64">
        <f t="shared" si="30"/>
        <v>9877500000</v>
      </c>
      <c r="EL36" s="64" t="e">
        <f t="shared" si="31"/>
        <v>#VALUE!</v>
      </c>
      <c r="EM36" s="61"/>
      <c r="EN36" s="66">
        <f t="shared" si="32"/>
        <v>48632333333.333336</v>
      </c>
      <c r="EO36" s="66">
        <f t="shared" si="32"/>
        <v>-38479666666.666664</v>
      </c>
      <c r="EP36" s="66">
        <f t="shared" si="32"/>
        <v>-6222000000</v>
      </c>
      <c r="EQ36" s="66">
        <f t="shared" si="32"/>
        <v>-2558000000</v>
      </c>
      <c r="ER36" s="66">
        <f t="shared" si="33"/>
        <v>1372666666.6666718</v>
      </c>
      <c r="ES36" s="63">
        <f t="shared" si="34"/>
        <v>2.8225391886056706E-2</v>
      </c>
      <c r="ET36" s="67">
        <f t="shared" si="35"/>
        <v>2.9045204155763657E-2</v>
      </c>
      <c r="EU36" s="66">
        <f t="shared" si="36"/>
        <v>2026000000</v>
      </c>
      <c r="EV36" s="66">
        <f t="shared" si="37"/>
        <v>11798333333.333334</v>
      </c>
      <c r="EW36" s="66" t="e">
        <f t="shared" si="37"/>
        <v>#VALUE!</v>
      </c>
      <c r="EX36" s="70"/>
      <c r="EY36" s="71" t="str">
        <f t="shared" si="38"/>
        <v>完整</v>
      </c>
      <c r="EZ36" s="71" t="str">
        <f t="shared" si="39"/>
        <v>完整</v>
      </c>
      <c r="FA36" s="71" t="str">
        <f t="shared" si="40"/>
        <v>完整</v>
      </c>
      <c r="FB36" s="71" t="str">
        <f t="shared" si="41"/>
        <v>选择</v>
      </c>
      <c r="FC36" s="71" t="str">
        <f t="shared" si="42"/>
        <v>选择</v>
      </c>
    </row>
    <row r="37" spans="1:218" s="3" customFormat="1" ht="12" customHeight="1" x14ac:dyDescent="0.25">
      <c r="A37" s="28" t="s">
        <v>201</v>
      </c>
      <c r="B37" s="134" t="str">
        <f t="shared" si="0"/>
        <v>TAYCA CORPORATION</v>
      </c>
      <c r="C37" s="29" t="s">
        <v>328</v>
      </c>
      <c r="D37" s="135" t="s">
        <v>312</v>
      </c>
      <c r="E37" s="29"/>
      <c r="F37" s="135"/>
      <c r="H37" s="31" t="str">
        <f t="shared" si="1"/>
        <v xml:space="preserve"> </v>
      </c>
      <c r="I37" s="29"/>
      <c r="J37" s="29" t="str">
        <f>VLOOKUP(Z:Z,'[1]AP 2022'!FD36:FF181,2,FALSE)</f>
        <v>exclude</v>
      </c>
      <c r="K37" s="47" t="str">
        <f>VLOOKUP(Z:Z,'[1]AP 2022'!FD36:FF181,3,0)</f>
        <v>lev SDA/SDP</v>
      </c>
      <c r="L37" s="48"/>
      <c r="M37" s="125" t="s">
        <v>601</v>
      </c>
      <c r="N37" s="125" t="s">
        <v>602</v>
      </c>
      <c r="O37" s="125" t="s">
        <v>331</v>
      </c>
      <c r="P37" s="125" t="s">
        <v>603</v>
      </c>
      <c r="Q37" s="124"/>
      <c r="R37" s="125" t="s">
        <v>333</v>
      </c>
      <c r="S37" s="125" t="s">
        <v>604</v>
      </c>
      <c r="T37" s="125" t="s">
        <v>335</v>
      </c>
      <c r="U37" s="125" t="s">
        <v>319</v>
      </c>
      <c r="V37" s="125" t="s">
        <v>605</v>
      </c>
      <c r="W37" s="125" t="s">
        <v>606</v>
      </c>
      <c r="X37" s="125" t="s">
        <v>607</v>
      </c>
      <c r="Y37" s="124"/>
      <c r="Z37" s="125" t="s">
        <v>608</v>
      </c>
      <c r="AA37" s="128">
        <v>54773000000</v>
      </c>
      <c r="AB37" s="128">
        <v>46362000000</v>
      </c>
      <c r="AC37" s="128">
        <v>38402000000</v>
      </c>
      <c r="AD37" s="128">
        <v>45435000000</v>
      </c>
      <c r="AE37" s="128">
        <v>54773000000</v>
      </c>
      <c r="AF37" s="128">
        <v>46362000000</v>
      </c>
      <c r="AG37" s="128">
        <v>38402000000</v>
      </c>
      <c r="AH37" s="128">
        <v>45435000000</v>
      </c>
      <c r="AI37" s="125" t="s">
        <v>340</v>
      </c>
      <c r="AJ37" s="125" t="s">
        <v>340</v>
      </c>
      <c r="AK37" s="125" t="s">
        <v>340</v>
      </c>
      <c r="AL37" s="125" t="s">
        <v>340</v>
      </c>
      <c r="AM37" s="128">
        <v>54773000000</v>
      </c>
      <c r="AN37" s="128">
        <v>46362000000</v>
      </c>
      <c r="AO37" s="128">
        <v>38402000000</v>
      </c>
      <c r="AP37" s="128">
        <v>45435000000</v>
      </c>
      <c r="AQ37" s="125" t="s">
        <v>340</v>
      </c>
      <c r="AR37" s="125" t="s">
        <v>340</v>
      </c>
      <c r="AS37" s="125" t="s">
        <v>340</v>
      </c>
      <c r="AT37" s="125" t="s">
        <v>340</v>
      </c>
      <c r="AU37" s="128">
        <v>-41199000000</v>
      </c>
      <c r="AV37" s="128">
        <v>-33497000000</v>
      </c>
      <c r="AW37" s="128">
        <v>-26640000000</v>
      </c>
      <c r="AX37" s="128">
        <v>-30482000000</v>
      </c>
      <c r="AY37" s="128">
        <v>-996000000</v>
      </c>
      <c r="AZ37" s="128">
        <v>-929000000</v>
      </c>
      <c r="BA37" s="128">
        <v>-1101000000</v>
      </c>
      <c r="BB37" s="128">
        <v>-1029000000</v>
      </c>
      <c r="BC37" s="128">
        <v>-4934000000</v>
      </c>
      <c r="BD37" s="128">
        <v>-4829000000</v>
      </c>
      <c r="BE37" s="128">
        <v>-4777000000</v>
      </c>
      <c r="BF37" s="128">
        <v>-5293000000</v>
      </c>
      <c r="BG37" s="128">
        <v>7644000000</v>
      </c>
      <c r="BH37" s="128">
        <v>7107000000</v>
      </c>
      <c r="BI37" s="128">
        <v>5884000000</v>
      </c>
      <c r="BJ37" s="128">
        <v>8631000000</v>
      </c>
      <c r="BK37" s="128">
        <v>-3419000000</v>
      </c>
      <c r="BL37" s="128">
        <v>-3455000000</v>
      </c>
      <c r="BM37" s="128">
        <v>-2956000000</v>
      </c>
      <c r="BN37" s="128">
        <v>-3129000000</v>
      </c>
      <c r="BO37" s="128">
        <v>-3138000000</v>
      </c>
      <c r="BP37" s="128">
        <v>-3212000000</v>
      </c>
      <c r="BQ37" s="128">
        <v>-2737000000</v>
      </c>
      <c r="BR37" s="128">
        <v>-2897000000</v>
      </c>
      <c r="BS37" s="128">
        <v>-281000000</v>
      </c>
      <c r="BT37" s="128">
        <v>-243000000</v>
      </c>
      <c r="BU37" s="128">
        <v>-219000000</v>
      </c>
      <c r="BV37" s="128">
        <v>-232000000</v>
      </c>
      <c r="BW37" s="128">
        <v>2986000000</v>
      </c>
      <c r="BX37" s="128">
        <v>2845000000</v>
      </c>
      <c r="BY37" s="128">
        <v>1927000000</v>
      </c>
      <c r="BZ37" s="128">
        <v>3830000000</v>
      </c>
      <c r="CA37" s="128">
        <v>46631000000</v>
      </c>
      <c r="CB37" s="128">
        <v>42300000000</v>
      </c>
      <c r="CC37" s="128">
        <v>36979000000</v>
      </c>
      <c r="CD37" s="128">
        <v>36261000000</v>
      </c>
      <c r="CE37" s="128">
        <v>19196000000</v>
      </c>
      <c r="CF37" s="128">
        <v>14320000000</v>
      </c>
      <c r="CG37" s="128">
        <v>11622000000</v>
      </c>
      <c r="CH37" s="128">
        <v>11623000000</v>
      </c>
      <c r="CI37" s="128">
        <v>15147000000</v>
      </c>
      <c r="CJ37" s="128">
        <v>14086000000</v>
      </c>
      <c r="CK37" s="128">
        <v>11393000000</v>
      </c>
      <c r="CL37" s="128">
        <v>13300000000</v>
      </c>
      <c r="CM37" s="128">
        <v>627000000</v>
      </c>
      <c r="CN37" s="128">
        <v>834000000</v>
      </c>
      <c r="CO37" s="128">
        <v>635000000</v>
      </c>
      <c r="CP37" s="128">
        <v>546000000</v>
      </c>
      <c r="CQ37" s="128">
        <v>11661000000</v>
      </c>
      <c r="CR37" s="128">
        <v>13060000000</v>
      </c>
      <c r="CS37" s="128">
        <v>13329000000</v>
      </c>
      <c r="CT37" s="128">
        <v>10792000000</v>
      </c>
      <c r="CU37" s="125" t="s">
        <v>340</v>
      </c>
      <c r="CV37" s="125" t="s">
        <v>340</v>
      </c>
      <c r="CW37" s="125" t="s">
        <v>340</v>
      </c>
      <c r="CX37" s="125" t="s">
        <v>340</v>
      </c>
      <c r="CY37" s="125" t="s">
        <v>340</v>
      </c>
      <c r="CZ37" s="125" t="s">
        <v>340</v>
      </c>
      <c r="DA37" s="125" t="s">
        <v>340</v>
      </c>
      <c r="DB37" s="125" t="s">
        <v>340</v>
      </c>
      <c r="DC37" s="128">
        <v>75717000000</v>
      </c>
      <c r="DD37" s="128">
        <v>72128000000</v>
      </c>
      <c r="DE37" s="128">
        <v>69177000000</v>
      </c>
      <c r="DF37" s="128">
        <v>63554000000</v>
      </c>
      <c r="DG37" s="16">
        <f t="shared" si="2"/>
        <v>54773000000</v>
      </c>
      <c r="DH37" s="16">
        <f t="shared" si="3"/>
        <v>-41199000000</v>
      </c>
      <c r="DI37" s="16">
        <f t="shared" si="4"/>
        <v>-5930000000</v>
      </c>
      <c r="DJ37" s="16">
        <f t="shared" si="5"/>
        <v>-3419000000</v>
      </c>
      <c r="DK37" s="16">
        <f t="shared" si="6"/>
        <v>4225000000</v>
      </c>
      <c r="DL37" s="57">
        <f t="shared" si="7"/>
        <v>7.7136545378197294E-2</v>
      </c>
      <c r="DM37" s="57">
        <f t="shared" si="8"/>
        <v>8.3583920234232806E-2</v>
      </c>
      <c r="DN37" s="58">
        <f t="shared" si="9"/>
        <v>-996000000</v>
      </c>
      <c r="DO37" s="16">
        <f t="shared" si="10"/>
        <v>16758000000</v>
      </c>
      <c r="DP37" s="16" t="e">
        <f t="shared" si="11"/>
        <v>#VALUE!</v>
      </c>
      <c r="DQ37" s="61"/>
      <c r="DR37" s="62">
        <f t="shared" si="12"/>
        <v>46362000000</v>
      </c>
      <c r="DS37" s="62">
        <f t="shared" si="13"/>
        <v>-33497000000</v>
      </c>
      <c r="DT37" s="62">
        <f t="shared" si="14"/>
        <v>-5758000000</v>
      </c>
      <c r="DU37" s="62">
        <f t="shared" si="15"/>
        <v>-3455000000</v>
      </c>
      <c r="DV37" s="62">
        <f t="shared" si="16"/>
        <v>3652000000</v>
      </c>
      <c r="DW37" s="63">
        <f t="shared" si="17"/>
        <v>7.8771407618308101E-2</v>
      </c>
      <c r="DX37" s="63">
        <f t="shared" si="18"/>
        <v>8.5506907047529848E-2</v>
      </c>
      <c r="DY37" s="64">
        <f t="shared" si="19"/>
        <v>-929000000</v>
      </c>
      <c r="DZ37" s="64">
        <f t="shared" si="20"/>
        <v>12971000000</v>
      </c>
      <c r="EA37" s="64" t="e">
        <f t="shared" si="21"/>
        <v>#VALUE!</v>
      </c>
      <c r="EB37" s="61"/>
      <c r="EC37" s="64">
        <f t="shared" si="22"/>
        <v>38402000000</v>
      </c>
      <c r="ED37" s="64">
        <f t="shared" si="23"/>
        <v>-26640000000</v>
      </c>
      <c r="EE37" s="64">
        <f t="shared" si="24"/>
        <v>-5878000000</v>
      </c>
      <c r="EF37" s="64">
        <f t="shared" si="25"/>
        <v>-2956000000</v>
      </c>
      <c r="EG37" s="64">
        <f t="shared" si="26"/>
        <v>2928000000</v>
      </c>
      <c r="EH37" s="63">
        <f t="shared" si="27"/>
        <v>7.6246028852663919E-2</v>
      </c>
      <c r="EI37" s="57">
        <f t="shared" si="28"/>
        <v>8.2539324575745615E-2</v>
      </c>
      <c r="EJ37" s="64">
        <f t="shared" si="29"/>
        <v>-1101000000</v>
      </c>
      <c r="EK37" s="64">
        <f t="shared" si="30"/>
        <v>11622500000</v>
      </c>
      <c r="EL37" s="64" t="e">
        <f t="shared" si="31"/>
        <v>#VALUE!</v>
      </c>
      <c r="EM37" s="61"/>
      <c r="EN37" s="66">
        <f t="shared" si="32"/>
        <v>46512333333.333336</v>
      </c>
      <c r="EO37" s="66">
        <f t="shared" si="32"/>
        <v>-33778666666.666668</v>
      </c>
      <c r="EP37" s="66">
        <f t="shared" si="32"/>
        <v>-5855333333.333333</v>
      </c>
      <c r="EQ37" s="66">
        <f t="shared" si="32"/>
        <v>-3276666666.6666665</v>
      </c>
      <c r="ER37" s="66">
        <f t="shared" si="33"/>
        <v>3601666666.6666684</v>
      </c>
      <c r="ES37" s="63">
        <f t="shared" si="34"/>
        <v>7.7434658907673273E-2</v>
      </c>
      <c r="ET37" s="67">
        <f t="shared" si="35"/>
        <v>8.3934064568250366E-2</v>
      </c>
      <c r="EU37" s="66">
        <f t="shared" si="36"/>
        <v>1008666666.6666666</v>
      </c>
      <c r="EV37" s="66">
        <f t="shared" si="37"/>
        <v>13783833333.333334</v>
      </c>
      <c r="EW37" s="66" t="e">
        <f t="shared" si="37"/>
        <v>#VALUE!</v>
      </c>
      <c r="EX37" s="70"/>
      <c r="EY37" s="71" t="str">
        <f t="shared" si="38"/>
        <v>完整</v>
      </c>
      <c r="EZ37" s="71" t="str">
        <f t="shared" si="39"/>
        <v>完整</v>
      </c>
      <c r="FA37" s="71" t="str">
        <f t="shared" si="40"/>
        <v>完整</v>
      </c>
      <c r="FB37" s="71" t="str">
        <f t="shared" si="41"/>
        <v>选择</v>
      </c>
      <c r="FC37" s="71" t="str">
        <f t="shared" si="42"/>
        <v>选择</v>
      </c>
    </row>
    <row r="38" spans="1:218" s="3" customFormat="1" ht="12.75" customHeight="1" x14ac:dyDescent="0.25">
      <c r="A38" s="28" t="s">
        <v>202</v>
      </c>
      <c r="B38" s="134" t="str">
        <f t="shared" si="0"/>
        <v>PT UNGGUL INDAH CAHAYA TBK</v>
      </c>
      <c r="C38" s="29" t="s">
        <v>328</v>
      </c>
      <c r="D38" s="136" t="s">
        <v>309</v>
      </c>
      <c r="E38" s="33"/>
      <c r="F38" s="34"/>
      <c r="H38" s="31" t="str">
        <f t="shared" si="1"/>
        <v xml:space="preserve"> </v>
      </c>
      <c r="I38" s="29"/>
      <c r="J38" s="29" t="str">
        <f>VLOOKUP(Z:Z,'[1]AP 2022'!FD37:FF181,2,FALSE)</f>
        <v>exclude</v>
      </c>
      <c r="K38" s="47" t="str">
        <f>VLOOKUP(Z:Z,'[1]AP 2022'!FD37:FF181,3,0)</f>
        <v>Independence(A+, A, A-, U)</v>
      </c>
      <c r="L38" s="48"/>
      <c r="M38" s="125" t="s">
        <v>609</v>
      </c>
      <c r="N38" s="125" t="s">
        <v>610</v>
      </c>
      <c r="O38" s="125" t="s">
        <v>331</v>
      </c>
      <c r="P38" s="125" t="s">
        <v>611</v>
      </c>
      <c r="Q38" s="124"/>
      <c r="R38" s="125" t="s">
        <v>399</v>
      </c>
      <c r="S38" s="125" t="s">
        <v>612</v>
      </c>
      <c r="T38" s="125" t="s">
        <v>365</v>
      </c>
      <c r="U38" s="125" t="s">
        <v>315</v>
      </c>
      <c r="V38" s="125" t="s">
        <v>613</v>
      </c>
      <c r="W38" s="125" t="s">
        <v>614</v>
      </c>
      <c r="X38" s="125" t="s">
        <v>615</v>
      </c>
      <c r="Y38" s="124"/>
      <c r="Z38" s="125" t="s">
        <v>616</v>
      </c>
      <c r="AA38" s="128">
        <v>412633000</v>
      </c>
      <c r="AB38" s="128">
        <v>371674000</v>
      </c>
      <c r="AC38" s="128">
        <v>325358000</v>
      </c>
      <c r="AD38" s="128">
        <v>322664000</v>
      </c>
      <c r="AE38" s="128">
        <v>412077000</v>
      </c>
      <c r="AF38" s="128">
        <v>371081000</v>
      </c>
      <c r="AG38" s="128">
        <v>324957000</v>
      </c>
      <c r="AH38" s="128">
        <v>322099000</v>
      </c>
      <c r="AI38" s="125" t="s">
        <v>340</v>
      </c>
      <c r="AJ38" s="125" t="s">
        <v>340</v>
      </c>
      <c r="AK38" s="125" t="s">
        <v>340</v>
      </c>
      <c r="AL38" s="125" t="s">
        <v>340</v>
      </c>
      <c r="AM38" s="128">
        <v>412077000</v>
      </c>
      <c r="AN38" s="128">
        <v>371081000</v>
      </c>
      <c r="AO38" s="128">
        <v>324957000</v>
      </c>
      <c r="AP38" s="128">
        <v>322099000</v>
      </c>
      <c r="AQ38" s="128">
        <v>556000</v>
      </c>
      <c r="AR38" s="128">
        <v>593000</v>
      </c>
      <c r="AS38" s="128">
        <v>401000</v>
      </c>
      <c r="AT38" s="128">
        <v>565000</v>
      </c>
      <c r="AU38" s="128">
        <v>-336537000</v>
      </c>
      <c r="AV38" s="128">
        <v>-275315000</v>
      </c>
      <c r="AW38" s="128">
        <v>-264495000</v>
      </c>
      <c r="AX38" s="128">
        <v>-283160000</v>
      </c>
      <c r="AY38" s="128">
        <v>0</v>
      </c>
      <c r="AZ38" s="128">
        <v>0</v>
      </c>
      <c r="BA38" s="128">
        <v>0</v>
      </c>
      <c r="BB38" s="128">
        <v>0</v>
      </c>
      <c r="BC38" s="128">
        <v>-21969000</v>
      </c>
      <c r="BD38" s="128">
        <v>-20537000</v>
      </c>
      <c r="BE38" s="128">
        <v>-19507000</v>
      </c>
      <c r="BF38" s="128">
        <v>-18941000</v>
      </c>
      <c r="BG38" s="128">
        <v>54127000</v>
      </c>
      <c r="BH38" s="128">
        <v>75822000</v>
      </c>
      <c r="BI38" s="128">
        <v>41356000</v>
      </c>
      <c r="BJ38" s="128">
        <v>20563000</v>
      </c>
      <c r="BK38" s="128">
        <v>-2748000</v>
      </c>
      <c r="BL38" s="128">
        <v>-2640000</v>
      </c>
      <c r="BM38" s="128">
        <v>-5826000</v>
      </c>
      <c r="BN38" s="128">
        <v>-5371000</v>
      </c>
      <c r="BO38" s="128">
        <v>-2748000</v>
      </c>
      <c r="BP38" s="128">
        <v>-2640000</v>
      </c>
      <c r="BQ38" s="128">
        <v>-5826000</v>
      </c>
      <c r="BR38" s="128">
        <v>-5371000</v>
      </c>
      <c r="BS38" s="128">
        <v>0</v>
      </c>
      <c r="BT38" s="128">
        <v>0</v>
      </c>
      <c r="BU38" s="128">
        <v>0</v>
      </c>
      <c r="BV38" s="128">
        <v>0</v>
      </c>
      <c r="BW38" s="128">
        <v>38405000</v>
      </c>
      <c r="BX38" s="128">
        <v>58220000</v>
      </c>
      <c r="BY38" s="128">
        <v>27703000</v>
      </c>
      <c r="BZ38" s="128">
        <v>12212000</v>
      </c>
      <c r="CA38" s="128">
        <v>260416000</v>
      </c>
      <c r="CB38" s="128">
        <v>235494000</v>
      </c>
      <c r="CC38" s="128">
        <v>183171000</v>
      </c>
      <c r="CD38" s="128">
        <v>159674000</v>
      </c>
      <c r="CE38" s="128">
        <v>132445000</v>
      </c>
      <c r="CF38" s="128">
        <v>110152000</v>
      </c>
      <c r="CG38" s="128">
        <v>82537000</v>
      </c>
      <c r="CH38" s="128">
        <v>98277000</v>
      </c>
      <c r="CI38" s="128">
        <v>38357000</v>
      </c>
      <c r="CJ38" s="128">
        <v>37990000</v>
      </c>
      <c r="CK38" s="128">
        <v>36274000</v>
      </c>
      <c r="CL38" s="128">
        <v>38187000</v>
      </c>
      <c r="CM38" s="128">
        <v>902000</v>
      </c>
      <c r="CN38" s="128">
        <v>1142000</v>
      </c>
      <c r="CO38" s="128">
        <v>1007000</v>
      </c>
      <c r="CP38" s="128">
        <v>9190000</v>
      </c>
      <c r="CQ38" s="128">
        <v>84173000</v>
      </c>
      <c r="CR38" s="128">
        <v>81056000</v>
      </c>
      <c r="CS38" s="128">
        <v>61923000</v>
      </c>
      <c r="CT38" s="128">
        <v>12688000</v>
      </c>
      <c r="CU38" s="125" t="s">
        <v>340</v>
      </c>
      <c r="CV38" s="125" t="s">
        <v>340</v>
      </c>
      <c r="CW38" s="128">
        <v>111000</v>
      </c>
      <c r="CX38" s="128">
        <v>530000</v>
      </c>
      <c r="CY38" s="128">
        <v>4613000</v>
      </c>
      <c r="CZ38" s="128">
        <v>4628000</v>
      </c>
      <c r="DA38" s="128">
        <v>4595000</v>
      </c>
      <c r="DB38" s="128">
        <v>4660000</v>
      </c>
      <c r="DC38" s="128">
        <v>317578000</v>
      </c>
      <c r="DD38" s="128">
        <v>292724000</v>
      </c>
      <c r="DE38" s="128">
        <v>242256000</v>
      </c>
      <c r="DF38" s="128">
        <v>219757000</v>
      </c>
      <c r="DG38" s="16">
        <f t="shared" si="2"/>
        <v>412077000</v>
      </c>
      <c r="DH38" s="16">
        <f t="shared" si="3"/>
        <v>-336537000</v>
      </c>
      <c r="DI38" s="16">
        <f t="shared" si="4"/>
        <v>-21969000</v>
      </c>
      <c r="DJ38" s="16">
        <f t="shared" si="5"/>
        <v>-2748000</v>
      </c>
      <c r="DK38" s="16">
        <f t="shared" si="6"/>
        <v>50823000</v>
      </c>
      <c r="DL38" s="57">
        <f t="shared" si="7"/>
        <v>0.12333374587759084</v>
      </c>
      <c r="DM38" s="57">
        <f t="shared" si="8"/>
        <v>0.140684947433108</v>
      </c>
      <c r="DN38" s="58">
        <f t="shared" si="9"/>
        <v>0</v>
      </c>
      <c r="DO38" s="16">
        <f t="shared" si="10"/>
        <v>121298500</v>
      </c>
      <c r="DP38" s="16">
        <f t="shared" si="11"/>
        <v>4620500</v>
      </c>
      <c r="DQ38" s="61"/>
      <c r="DR38" s="62">
        <f t="shared" si="12"/>
        <v>371081000</v>
      </c>
      <c r="DS38" s="62">
        <f t="shared" si="13"/>
        <v>-275315000</v>
      </c>
      <c r="DT38" s="62">
        <f t="shared" si="14"/>
        <v>-20537000</v>
      </c>
      <c r="DU38" s="62">
        <f t="shared" si="15"/>
        <v>-2640000</v>
      </c>
      <c r="DV38" s="62">
        <f t="shared" si="16"/>
        <v>72589000</v>
      </c>
      <c r="DW38" s="63">
        <f t="shared" si="17"/>
        <v>0.19561497355024915</v>
      </c>
      <c r="DX38" s="63">
        <f t="shared" si="18"/>
        <v>0.24318574702169574</v>
      </c>
      <c r="DY38" s="64">
        <f t="shared" si="19"/>
        <v>0</v>
      </c>
      <c r="DZ38" s="64">
        <f t="shared" si="20"/>
        <v>96344500</v>
      </c>
      <c r="EA38" s="64">
        <f t="shared" si="21"/>
        <v>4611500</v>
      </c>
      <c r="EB38" s="61"/>
      <c r="EC38" s="64">
        <f t="shared" si="22"/>
        <v>324957000</v>
      </c>
      <c r="ED38" s="64">
        <f t="shared" si="23"/>
        <v>-264495000</v>
      </c>
      <c r="EE38" s="64">
        <f t="shared" si="24"/>
        <v>-19507000</v>
      </c>
      <c r="EF38" s="64">
        <f t="shared" si="25"/>
        <v>-5826000</v>
      </c>
      <c r="EG38" s="64">
        <f t="shared" si="26"/>
        <v>35129000</v>
      </c>
      <c r="EH38" s="63">
        <f t="shared" si="27"/>
        <v>0.10810353369830469</v>
      </c>
      <c r="EI38" s="57">
        <f t="shared" si="28"/>
        <v>0.12120637067502105</v>
      </c>
      <c r="EJ38" s="64">
        <f t="shared" si="29"/>
        <v>0</v>
      </c>
      <c r="EK38" s="64">
        <f t="shared" si="30"/>
        <v>90407000</v>
      </c>
      <c r="EL38" s="64">
        <f t="shared" si="31"/>
        <v>4627500</v>
      </c>
      <c r="EM38" s="61"/>
      <c r="EN38" s="66">
        <f t="shared" si="32"/>
        <v>369371666.66666669</v>
      </c>
      <c r="EO38" s="66">
        <f t="shared" si="32"/>
        <v>-292115666.66666669</v>
      </c>
      <c r="EP38" s="66">
        <f t="shared" si="32"/>
        <v>-20671000</v>
      </c>
      <c r="EQ38" s="66">
        <f t="shared" si="32"/>
        <v>-3738000</v>
      </c>
      <c r="ER38" s="66">
        <f t="shared" si="33"/>
        <v>52847000</v>
      </c>
      <c r="ES38" s="63">
        <f t="shared" si="34"/>
        <v>0.14307269552347907</v>
      </c>
      <c r="ET38" s="67">
        <f t="shared" si="35"/>
        <v>0.16696013159585243</v>
      </c>
      <c r="EU38" s="66">
        <f t="shared" si="36"/>
        <v>0</v>
      </c>
      <c r="EV38" s="66">
        <f t="shared" si="37"/>
        <v>102683333.33333333</v>
      </c>
      <c r="EW38" s="66">
        <f t="shared" si="37"/>
        <v>4619833.333333333</v>
      </c>
      <c r="EX38" s="70"/>
      <c r="EY38" s="71" t="str">
        <f t="shared" si="38"/>
        <v>完整</v>
      </c>
      <c r="EZ38" s="71" t="str">
        <f t="shared" si="39"/>
        <v>完整</v>
      </c>
      <c r="FA38" s="71" t="str">
        <f t="shared" si="40"/>
        <v>完整</v>
      </c>
      <c r="FB38" s="71" t="str">
        <f t="shared" si="41"/>
        <v>选择</v>
      </c>
      <c r="FC38" s="71" t="str">
        <f t="shared" si="42"/>
        <v>选择</v>
      </c>
      <c r="FD38" s="72"/>
      <c r="FE38" s="72"/>
      <c r="FF38" s="72"/>
      <c r="FG38" s="72"/>
      <c r="FH38" s="72"/>
      <c r="FI38" s="72"/>
      <c r="FJ38" s="72"/>
      <c r="FK38" s="72"/>
      <c r="FL38" s="72"/>
      <c r="FM38" s="72"/>
      <c r="FN38" s="72"/>
      <c r="FO38" s="72"/>
      <c r="FP38" s="72"/>
      <c r="FQ38" s="72"/>
      <c r="FR38" s="72"/>
      <c r="FS38" s="72"/>
      <c r="FT38" s="72"/>
      <c r="FU38" s="72"/>
      <c r="FV38" s="72"/>
      <c r="FW38" s="72"/>
      <c r="FX38" s="72"/>
      <c r="FY38" s="72"/>
      <c r="FZ38" s="72"/>
      <c r="GA38" s="72"/>
      <c r="GB38" s="72"/>
      <c r="GC38" s="72"/>
      <c r="GD38" s="72"/>
      <c r="GE38" s="72"/>
      <c r="GF38" s="72"/>
      <c r="GG38" s="72"/>
      <c r="GH38" s="72"/>
      <c r="GI38" s="72"/>
      <c r="GJ38" s="72"/>
      <c r="GK38" s="72"/>
      <c r="GL38" s="72"/>
      <c r="GM38" s="72"/>
      <c r="GN38" s="72"/>
      <c r="GO38" s="72"/>
      <c r="GP38" s="72"/>
      <c r="GQ38" s="72"/>
      <c r="GR38" s="72"/>
      <c r="GS38" s="72"/>
      <c r="GT38" s="72"/>
      <c r="GU38" s="72"/>
      <c r="GV38" s="72"/>
      <c r="GW38" s="72"/>
      <c r="GX38" s="72"/>
      <c r="GY38" s="72"/>
      <c r="GZ38" s="72"/>
      <c r="HA38" s="72"/>
      <c r="HB38" s="72"/>
      <c r="HC38" s="72"/>
      <c r="HD38" s="72"/>
      <c r="HE38" s="72"/>
      <c r="HF38" s="72"/>
      <c r="HG38" s="72"/>
      <c r="HH38" s="72"/>
      <c r="HI38" s="72"/>
    </row>
    <row r="39" spans="1:218" s="3" customFormat="1" ht="12.75" customHeight="1" x14ac:dyDescent="0.25">
      <c r="A39" s="28" t="s">
        <v>203</v>
      </c>
      <c r="B39" s="134" t="str">
        <f t="shared" si="0"/>
        <v>SHANGHAI CHICMAX COSMETIC CO., LTD.</v>
      </c>
      <c r="C39" s="29" t="s">
        <v>328</v>
      </c>
      <c r="D39" s="136" t="s">
        <v>309</v>
      </c>
      <c r="E39" s="33"/>
      <c r="H39" s="31" t="str">
        <f t="shared" si="1"/>
        <v xml:space="preserve"> </v>
      </c>
      <c r="I39" s="29"/>
      <c r="J39" s="29" t="e">
        <f>VLOOKUP(Z:Z,'[1]AP 2022'!FD38:FF181,2,FALSE)</f>
        <v>#N/A</v>
      </c>
      <c r="K39" s="47" t="e">
        <f>VLOOKUP(Z:Z,'[1]AP 2022'!FD38:FF181,3,0)</f>
        <v>#N/A</v>
      </c>
      <c r="L39" s="48"/>
      <c r="M39" s="125" t="s">
        <v>617</v>
      </c>
      <c r="N39" s="125" t="s">
        <v>618</v>
      </c>
      <c r="O39" s="125" t="s">
        <v>331</v>
      </c>
      <c r="P39" s="124"/>
      <c r="Q39" s="124"/>
      <c r="R39" s="125" t="s">
        <v>423</v>
      </c>
      <c r="S39" s="125" t="s">
        <v>619</v>
      </c>
      <c r="T39" s="125" t="s">
        <v>365</v>
      </c>
      <c r="U39" s="125" t="s">
        <v>321</v>
      </c>
      <c r="V39" s="125" t="s">
        <v>620</v>
      </c>
      <c r="W39" s="125" t="s">
        <v>621</v>
      </c>
      <c r="X39" s="124"/>
      <c r="Y39" s="124"/>
      <c r="Z39" s="125" t="s">
        <v>622</v>
      </c>
      <c r="AA39" s="128">
        <v>2774380000</v>
      </c>
      <c r="AB39" s="128">
        <v>3702216000</v>
      </c>
      <c r="AC39" s="128">
        <v>3449170000</v>
      </c>
      <c r="AD39" s="128">
        <v>2937527000</v>
      </c>
      <c r="AE39" s="128">
        <v>2675331000</v>
      </c>
      <c r="AF39" s="128">
        <v>3618882000</v>
      </c>
      <c r="AG39" s="128">
        <v>3381633000</v>
      </c>
      <c r="AH39" s="128">
        <v>2874321000</v>
      </c>
      <c r="AI39" s="125" t="s">
        <v>340</v>
      </c>
      <c r="AJ39" s="125" t="s">
        <v>340</v>
      </c>
      <c r="AK39" s="125" t="s">
        <v>340</v>
      </c>
      <c r="AL39" s="125" t="s">
        <v>340</v>
      </c>
      <c r="AM39" s="128">
        <v>2675331000</v>
      </c>
      <c r="AN39" s="128">
        <v>3618882000</v>
      </c>
      <c r="AO39" s="128">
        <v>3381633000</v>
      </c>
      <c r="AP39" s="128">
        <v>2874321000</v>
      </c>
      <c r="AQ39" s="128">
        <v>99049000</v>
      </c>
      <c r="AR39" s="128">
        <v>83334000</v>
      </c>
      <c r="AS39" s="128">
        <v>67537000</v>
      </c>
      <c r="AT39" s="128">
        <v>63206000</v>
      </c>
      <c r="AU39" s="128">
        <v>-882764000</v>
      </c>
      <c r="AV39" s="128">
        <v>-1170664000</v>
      </c>
      <c r="AW39" s="128">
        <v>-1111220000</v>
      </c>
      <c r="AX39" s="128">
        <v>-1042941000</v>
      </c>
      <c r="AY39" s="128">
        <v>-110283000</v>
      </c>
      <c r="AZ39" s="128">
        <v>-104749000</v>
      </c>
      <c r="BA39" s="128">
        <v>-77378000</v>
      </c>
      <c r="BB39" s="128">
        <v>-82894000</v>
      </c>
      <c r="BC39" s="128">
        <v>-1519576000</v>
      </c>
      <c r="BD39" s="128">
        <v>-1906650000</v>
      </c>
      <c r="BE39" s="128">
        <v>-1865925000</v>
      </c>
      <c r="BF39" s="128">
        <v>-1628517000</v>
      </c>
      <c r="BG39" s="128">
        <v>261757000</v>
      </c>
      <c r="BH39" s="128">
        <v>520153000</v>
      </c>
      <c r="BI39" s="128">
        <v>394647000</v>
      </c>
      <c r="BJ39" s="128">
        <v>183175000</v>
      </c>
      <c r="BK39" s="128">
        <v>-92935000</v>
      </c>
      <c r="BL39" s="128">
        <v>-87579000</v>
      </c>
      <c r="BM39" s="128">
        <v>-83822000</v>
      </c>
      <c r="BN39" s="128">
        <v>-82007000</v>
      </c>
      <c r="BO39" s="128">
        <v>-89266000</v>
      </c>
      <c r="BP39" s="128">
        <v>-85352000</v>
      </c>
      <c r="BQ39" s="128">
        <v>-81056000</v>
      </c>
      <c r="BR39" s="128">
        <v>-79132000</v>
      </c>
      <c r="BS39" s="128">
        <v>-3669000</v>
      </c>
      <c r="BT39" s="128">
        <v>-2227000</v>
      </c>
      <c r="BU39" s="128">
        <v>-2766000</v>
      </c>
      <c r="BV39" s="128">
        <v>-2875000</v>
      </c>
      <c r="BW39" s="128">
        <v>147104000</v>
      </c>
      <c r="BX39" s="128">
        <v>338887000</v>
      </c>
      <c r="BY39" s="128">
        <v>203457000</v>
      </c>
      <c r="BZ39" s="128">
        <v>62571000</v>
      </c>
      <c r="CA39" s="128">
        <v>2252166000</v>
      </c>
      <c r="CB39" s="128">
        <v>1323110000</v>
      </c>
      <c r="CC39" s="128">
        <v>1194764000</v>
      </c>
      <c r="CD39" s="128">
        <v>1355705000</v>
      </c>
      <c r="CE39" s="128">
        <v>518113000</v>
      </c>
      <c r="CF39" s="128">
        <v>621201000</v>
      </c>
      <c r="CG39" s="128">
        <v>577291000</v>
      </c>
      <c r="CH39" s="128">
        <v>506230000</v>
      </c>
      <c r="CI39" s="128">
        <v>366745000</v>
      </c>
      <c r="CJ39" s="128">
        <v>364586000</v>
      </c>
      <c r="CK39" s="128">
        <v>317001000</v>
      </c>
      <c r="CL39" s="128">
        <v>386605000</v>
      </c>
      <c r="CM39" s="128">
        <v>56499000</v>
      </c>
      <c r="CN39" s="128">
        <v>34041000</v>
      </c>
      <c r="CO39" s="128">
        <v>49307000</v>
      </c>
      <c r="CP39" s="128">
        <v>141618000</v>
      </c>
      <c r="CQ39" s="128">
        <v>1172224000</v>
      </c>
      <c r="CR39" s="128">
        <v>157256000</v>
      </c>
      <c r="CS39" s="128">
        <v>158903000</v>
      </c>
      <c r="CT39" s="128">
        <v>167840000</v>
      </c>
      <c r="CU39" s="128">
        <v>24516000</v>
      </c>
      <c r="CV39" s="128">
        <v>12048000</v>
      </c>
      <c r="CW39" s="128">
        <v>4708000</v>
      </c>
      <c r="CX39" s="128">
        <v>35466000</v>
      </c>
      <c r="CY39" s="128">
        <v>41503000</v>
      </c>
      <c r="CZ39" s="128">
        <v>34782000</v>
      </c>
      <c r="DA39" s="128">
        <v>43989000</v>
      </c>
      <c r="DB39" s="128">
        <v>194083000</v>
      </c>
      <c r="DC39" s="128">
        <v>3145667000</v>
      </c>
      <c r="DD39" s="128">
        <v>2274563000</v>
      </c>
      <c r="DE39" s="128">
        <v>2224288000</v>
      </c>
      <c r="DF39" s="128">
        <v>2323838000</v>
      </c>
      <c r="DG39" s="16">
        <f t="shared" si="2"/>
        <v>2675331000</v>
      </c>
      <c r="DH39" s="16">
        <f t="shared" si="3"/>
        <v>-882764000</v>
      </c>
      <c r="DI39" s="16">
        <f t="shared" si="4"/>
        <v>-1629859000</v>
      </c>
      <c r="DJ39" s="16">
        <f t="shared" si="5"/>
        <v>-92935000</v>
      </c>
      <c r="DK39" s="16">
        <f t="shared" si="6"/>
        <v>69773000</v>
      </c>
      <c r="DL39" s="57">
        <f t="shared" si="7"/>
        <v>2.6080137373655821E-2</v>
      </c>
      <c r="DM39" s="57">
        <f t="shared" si="8"/>
        <v>2.6778524983899803E-2</v>
      </c>
      <c r="DN39" s="58">
        <f t="shared" si="9"/>
        <v>-110283000</v>
      </c>
      <c r="DO39" s="16">
        <f t="shared" si="10"/>
        <v>569657000</v>
      </c>
      <c r="DP39" s="16">
        <f t="shared" si="11"/>
        <v>38142500</v>
      </c>
      <c r="DQ39" s="61"/>
      <c r="DR39" s="62">
        <f t="shared" si="12"/>
        <v>3618882000</v>
      </c>
      <c r="DS39" s="62">
        <f t="shared" si="13"/>
        <v>-1170664000</v>
      </c>
      <c r="DT39" s="62">
        <f t="shared" si="14"/>
        <v>-2011399000</v>
      </c>
      <c r="DU39" s="62">
        <f t="shared" si="15"/>
        <v>-87579000</v>
      </c>
      <c r="DV39" s="62">
        <f t="shared" si="16"/>
        <v>349240000</v>
      </c>
      <c r="DW39" s="63">
        <f t="shared" si="17"/>
        <v>9.6504942686719275E-2</v>
      </c>
      <c r="DX39" s="63">
        <f t="shared" si="18"/>
        <v>0.10681291713282372</v>
      </c>
      <c r="DY39" s="64">
        <f t="shared" si="19"/>
        <v>-104749000</v>
      </c>
      <c r="DZ39" s="64">
        <f t="shared" si="20"/>
        <v>599246000</v>
      </c>
      <c r="EA39" s="64">
        <f t="shared" si="21"/>
        <v>39385500</v>
      </c>
      <c r="EB39" s="61"/>
      <c r="EC39" s="64">
        <f t="shared" si="22"/>
        <v>3381633000</v>
      </c>
      <c r="ED39" s="64">
        <f t="shared" si="23"/>
        <v>-1111220000</v>
      </c>
      <c r="EE39" s="64">
        <f t="shared" si="24"/>
        <v>-1943303000</v>
      </c>
      <c r="EF39" s="64">
        <f t="shared" si="25"/>
        <v>-83822000</v>
      </c>
      <c r="EG39" s="64">
        <f t="shared" si="26"/>
        <v>243288000</v>
      </c>
      <c r="EH39" s="63">
        <f t="shared" si="27"/>
        <v>7.194393951088128E-2</v>
      </c>
      <c r="EI39" s="57">
        <f t="shared" si="28"/>
        <v>7.7521113835476982E-2</v>
      </c>
      <c r="EJ39" s="64">
        <f t="shared" si="29"/>
        <v>-77378000</v>
      </c>
      <c r="EK39" s="64">
        <f t="shared" si="30"/>
        <v>541760500</v>
      </c>
      <c r="EL39" s="64">
        <f t="shared" si="31"/>
        <v>119036000</v>
      </c>
      <c r="EM39" s="61"/>
      <c r="EN39" s="66">
        <f t="shared" si="32"/>
        <v>3225282000</v>
      </c>
      <c r="EO39" s="66">
        <f t="shared" si="32"/>
        <v>-1054882666.6666666</v>
      </c>
      <c r="EP39" s="66">
        <f t="shared" si="32"/>
        <v>-1861520333.3333333</v>
      </c>
      <c r="EQ39" s="66">
        <f t="shared" si="32"/>
        <v>-88112000</v>
      </c>
      <c r="ER39" s="66">
        <f t="shared" si="33"/>
        <v>220767000.00000024</v>
      </c>
      <c r="ES39" s="63">
        <f t="shared" si="34"/>
        <v>6.8448898421905505E-2</v>
      </c>
      <c r="ET39" s="67">
        <f t="shared" si="35"/>
        <v>7.347841498544698E-2</v>
      </c>
      <c r="EU39" s="66">
        <f t="shared" si="36"/>
        <v>97470000</v>
      </c>
      <c r="EV39" s="66">
        <f t="shared" si="37"/>
        <v>570221166.66666663</v>
      </c>
      <c r="EW39" s="66">
        <f t="shared" si="37"/>
        <v>65521333.333333336</v>
      </c>
      <c r="EX39" s="70"/>
      <c r="EY39" s="71" t="str">
        <f t="shared" si="38"/>
        <v>完整</v>
      </c>
      <c r="EZ39" s="71" t="str">
        <f t="shared" si="39"/>
        <v>完整</v>
      </c>
      <c r="FA39" s="71" t="str">
        <f t="shared" si="40"/>
        <v>完整</v>
      </c>
      <c r="FB39" s="71" t="str">
        <f t="shared" si="41"/>
        <v>选择</v>
      </c>
      <c r="FC39" s="71" t="str">
        <f t="shared" si="42"/>
        <v>选择</v>
      </c>
    </row>
    <row r="40" spans="1:218" s="3" customFormat="1" ht="12.75" customHeight="1" x14ac:dyDescent="0.25">
      <c r="A40" s="28" t="s">
        <v>204</v>
      </c>
      <c r="B40" s="134" t="str">
        <f t="shared" si="0"/>
        <v>HONGMIAN ZHIHUI SCIENCE AND TECHNOLOGY INNOVATION CO.,LTD.GUANGZHOU</v>
      </c>
      <c r="C40" s="29" t="s">
        <v>328</v>
      </c>
      <c r="D40" s="136" t="s">
        <v>309</v>
      </c>
      <c r="E40" s="33"/>
      <c r="F40" s="34"/>
      <c r="H40" s="31" t="str">
        <f t="shared" si="1"/>
        <v xml:space="preserve"> </v>
      </c>
      <c r="I40" s="29"/>
      <c r="J40" s="29" t="e">
        <f>VLOOKUP(Z:Z,'[1]AP 2022'!FD39:FF181,2,FALSE)</f>
        <v>#N/A</v>
      </c>
      <c r="K40" s="47" t="e">
        <f>VLOOKUP(Z:Z,'[1]AP 2022'!FD39:FF181,3,0)</f>
        <v>#N/A</v>
      </c>
      <c r="L40" s="48"/>
      <c r="M40" s="125" t="s">
        <v>623</v>
      </c>
      <c r="N40" s="125" t="s">
        <v>624</v>
      </c>
      <c r="O40" s="125" t="s">
        <v>331</v>
      </c>
      <c r="P40" s="125" t="s">
        <v>625</v>
      </c>
      <c r="Q40" s="124"/>
      <c r="R40" s="125" t="s">
        <v>423</v>
      </c>
      <c r="S40" s="125" t="s">
        <v>626</v>
      </c>
      <c r="T40" s="125" t="s">
        <v>365</v>
      </c>
      <c r="U40" s="125" t="s">
        <v>315</v>
      </c>
      <c r="V40" s="125" t="s">
        <v>627</v>
      </c>
      <c r="W40" s="125" t="s">
        <v>628</v>
      </c>
      <c r="X40" s="125" t="s">
        <v>629</v>
      </c>
      <c r="Y40" s="124"/>
      <c r="Z40" s="125" t="s">
        <v>630</v>
      </c>
      <c r="AA40" s="128">
        <v>2491477000</v>
      </c>
      <c r="AB40" s="128">
        <v>2593236000</v>
      </c>
      <c r="AC40" s="128">
        <v>3321756000</v>
      </c>
      <c r="AD40" s="128">
        <v>5739948000</v>
      </c>
      <c r="AE40" s="128">
        <v>2478190000</v>
      </c>
      <c r="AF40" s="128">
        <v>2569279000</v>
      </c>
      <c r="AG40" s="128">
        <v>3294629000</v>
      </c>
      <c r="AH40" s="128">
        <v>5708910000</v>
      </c>
      <c r="AI40" s="128">
        <v>-12338000</v>
      </c>
      <c r="AJ40" s="128">
        <v>-12993000</v>
      </c>
      <c r="AK40" s="128">
        <v>-13955000</v>
      </c>
      <c r="AL40" s="128">
        <v>-21429000</v>
      </c>
      <c r="AM40" s="128">
        <v>2465852000</v>
      </c>
      <c r="AN40" s="128">
        <v>2556286000</v>
      </c>
      <c r="AO40" s="128">
        <v>3280674000</v>
      </c>
      <c r="AP40" s="128">
        <v>5687481000</v>
      </c>
      <c r="AQ40" s="128">
        <v>25625000</v>
      </c>
      <c r="AR40" s="128">
        <v>36950000</v>
      </c>
      <c r="AS40" s="128">
        <v>41082000</v>
      </c>
      <c r="AT40" s="128">
        <v>52467000</v>
      </c>
      <c r="AU40" s="128">
        <v>-2183446000</v>
      </c>
      <c r="AV40" s="128">
        <v>-2182769000</v>
      </c>
      <c r="AW40" s="128">
        <v>-3086835000</v>
      </c>
      <c r="AX40" s="128">
        <v>-5295444000</v>
      </c>
      <c r="AY40" s="125" t="s">
        <v>340</v>
      </c>
      <c r="AZ40" s="125" t="s">
        <v>340</v>
      </c>
      <c r="BA40" s="125" t="s">
        <v>340</v>
      </c>
      <c r="BB40" s="125" t="s">
        <v>340</v>
      </c>
      <c r="BC40" s="128">
        <v>-303915000</v>
      </c>
      <c r="BD40" s="128">
        <v>-443739000</v>
      </c>
      <c r="BE40" s="128">
        <v>-376436000</v>
      </c>
      <c r="BF40" s="128">
        <v>-407811000</v>
      </c>
      <c r="BG40" s="128">
        <v>4116000</v>
      </c>
      <c r="BH40" s="128">
        <v>-33272000</v>
      </c>
      <c r="BI40" s="128">
        <v>-141515000</v>
      </c>
      <c r="BJ40" s="128">
        <v>36693000</v>
      </c>
      <c r="BK40" s="128">
        <v>-59820000</v>
      </c>
      <c r="BL40" s="128">
        <v>-145566000</v>
      </c>
      <c r="BM40" s="128">
        <v>-187200000</v>
      </c>
      <c r="BN40" s="128">
        <v>-43647000</v>
      </c>
      <c r="BO40" s="128">
        <v>-56110000</v>
      </c>
      <c r="BP40" s="128">
        <v>-64205000</v>
      </c>
      <c r="BQ40" s="128">
        <v>-43686000</v>
      </c>
      <c r="BR40" s="128">
        <v>-39443000</v>
      </c>
      <c r="BS40" s="128">
        <v>-3710000</v>
      </c>
      <c r="BT40" s="128">
        <v>-81361000</v>
      </c>
      <c r="BU40" s="128">
        <v>-143514000</v>
      </c>
      <c r="BV40" s="128">
        <v>-4204000</v>
      </c>
      <c r="BW40" s="128">
        <v>-71613000</v>
      </c>
      <c r="BX40" s="128">
        <v>1455423000</v>
      </c>
      <c r="BY40" s="128">
        <v>-4716184000</v>
      </c>
      <c r="BZ40" s="128">
        <v>-100072000</v>
      </c>
      <c r="CA40" s="128">
        <v>1293383000</v>
      </c>
      <c r="CB40" s="128">
        <v>1699606000</v>
      </c>
      <c r="CC40" s="128">
        <v>2176477000</v>
      </c>
      <c r="CD40" s="128">
        <v>6179015000</v>
      </c>
      <c r="CE40" s="128">
        <v>541333000</v>
      </c>
      <c r="CF40" s="128">
        <v>245265000</v>
      </c>
      <c r="CG40" s="128">
        <v>299445000</v>
      </c>
      <c r="CH40" s="128">
        <v>278494000</v>
      </c>
      <c r="CI40" s="128">
        <v>204184000</v>
      </c>
      <c r="CJ40" s="128">
        <v>274842000</v>
      </c>
      <c r="CK40" s="128">
        <v>239010000</v>
      </c>
      <c r="CL40" s="128">
        <v>893327000</v>
      </c>
      <c r="CM40" s="128">
        <v>116810000</v>
      </c>
      <c r="CN40" s="128">
        <v>86309000</v>
      </c>
      <c r="CO40" s="128">
        <v>491137000</v>
      </c>
      <c r="CP40" s="128">
        <v>3813692000</v>
      </c>
      <c r="CQ40" s="128">
        <v>338758000</v>
      </c>
      <c r="CR40" s="128">
        <v>892058000</v>
      </c>
      <c r="CS40" s="128">
        <v>988714000</v>
      </c>
      <c r="CT40" s="128">
        <v>1032175000</v>
      </c>
      <c r="CU40" s="128">
        <v>47411000</v>
      </c>
      <c r="CV40" s="128">
        <v>324860000</v>
      </c>
      <c r="CW40" s="128">
        <v>59000000</v>
      </c>
      <c r="CX40" s="125" t="s">
        <v>340</v>
      </c>
      <c r="CY40" s="128">
        <v>65951000</v>
      </c>
      <c r="CZ40" s="128">
        <v>20290000</v>
      </c>
      <c r="DA40" s="128">
        <v>256801000</v>
      </c>
      <c r="DB40" s="128">
        <v>182610000</v>
      </c>
      <c r="DC40" s="128">
        <v>2339194000</v>
      </c>
      <c r="DD40" s="128">
        <v>2707250000</v>
      </c>
      <c r="DE40" s="128">
        <v>3399414000</v>
      </c>
      <c r="DF40" s="128">
        <v>7206490000</v>
      </c>
      <c r="DG40" s="16">
        <f t="shared" si="2"/>
        <v>2465852000</v>
      </c>
      <c r="DH40" s="16">
        <f t="shared" si="3"/>
        <v>-2183446000</v>
      </c>
      <c r="DI40" s="16">
        <f t="shared" si="4"/>
        <v>-303915000</v>
      </c>
      <c r="DJ40" s="16">
        <f t="shared" si="5"/>
        <v>-59820000</v>
      </c>
      <c r="DK40" s="16">
        <f t="shared" si="6"/>
        <v>-81329000</v>
      </c>
      <c r="DL40" s="57">
        <f t="shared" si="7"/>
        <v>-3.2982109226344487E-2</v>
      </c>
      <c r="DM40" s="57">
        <f t="shared" si="8"/>
        <v>-3.1929022711774308E-2</v>
      </c>
      <c r="DN40" s="58" t="str">
        <f t="shared" si="9"/>
        <v>n.a.</v>
      </c>
      <c r="DO40" s="16">
        <f t="shared" si="10"/>
        <v>393299000</v>
      </c>
      <c r="DP40" s="16">
        <f t="shared" si="11"/>
        <v>43120500</v>
      </c>
      <c r="DQ40" s="61"/>
      <c r="DR40" s="62">
        <f t="shared" si="12"/>
        <v>2556286000</v>
      </c>
      <c r="DS40" s="62">
        <f t="shared" si="13"/>
        <v>-2182769000</v>
      </c>
      <c r="DT40" s="62">
        <f t="shared" si="14"/>
        <v>-443739000</v>
      </c>
      <c r="DU40" s="62">
        <f t="shared" si="15"/>
        <v>-145566000</v>
      </c>
      <c r="DV40" s="62">
        <f t="shared" si="16"/>
        <v>-215788000</v>
      </c>
      <c r="DW40" s="63">
        <f t="shared" si="17"/>
        <v>-8.4414654698261468E-2</v>
      </c>
      <c r="DX40" s="63">
        <f t="shared" si="18"/>
        <v>-7.7843520771812003E-2</v>
      </c>
      <c r="DY40" s="64" t="str">
        <f t="shared" si="19"/>
        <v>n.a.</v>
      </c>
      <c r="DZ40" s="64">
        <f t="shared" si="20"/>
        <v>272355000</v>
      </c>
      <c r="EA40" s="64">
        <f t="shared" si="21"/>
        <v>138545500</v>
      </c>
      <c r="EB40" s="61"/>
      <c r="EC40" s="64">
        <f t="shared" si="22"/>
        <v>3280674000</v>
      </c>
      <c r="ED40" s="64">
        <f t="shared" si="23"/>
        <v>-3086835000</v>
      </c>
      <c r="EE40" s="64">
        <f t="shared" si="24"/>
        <v>-376436000</v>
      </c>
      <c r="EF40" s="64">
        <f t="shared" si="25"/>
        <v>-187200000</v>
      </c>
      <c r="EG40" s="64">
        <f t="shared" si="26"/>
        <v>-369797000</v>
      </c>
      <c r="EH40" s="63">
        <f t="shared" si="27"/>
        <v>-0.11271982525542007</v>
      </c>
      <c r="EI40" s="57">
        <f t="shared" si="28"/>
        <v>-0.10130117456076215</v>
      </c>
      <c r="EJ40" s="64" t="str">
        <f t="shared" si="29"/>
        <v>n.a.</v>
      </c>
      <c r="EK40" s="64">
        <f t="shared" si="30"/>
        <v>288969500</v>
      </c>
      <c r="EL40" s="64">
        <f t="shared" si="31"/>
        <v>219705500</v>
      </c>
      <c r="EM40" s="61"/>
      <c r="EN40" s="66">
        <f t="shared" si="32"/>
        <v>2767604000</v>
      </c>
      <c r="EO40" s="66">
        <f t="shared" si="32"/>
        <v>-2484350000</v>
      </c>
      <c r="EP40" s="66">
        <f t="shared" si="32"/>
        <v>-374696666.66666669</v>
      </c>
      <c r="EQ40" s="66">
        <f t="shared" si="32"/>
        <v>-130862000</v>
      </c>
      <c r="ER40" s="66">
        <f t="shared" si="33"/>
        <v>-222304666.66666669</v>
      </c>
      <c r="ES40" s="63">
        <f t="shared" si="34"/>
        <v>-8.0323870996958632E-2</v>
      </c>
      <c r="ET40" s="67">
        <f t="shared" si="35"/>
        <v>-7.4351658010512259E-2</v>
      </c>
      <c r="EU40" s="66" t="e">
        <f t="shared" si="36"/>
        <v>#VALUE!</v>
      </c>
      <c r="EV40" s="66">
        <f t="shared" si="37"/>
        <v>318207833.33333331</v>
      </c>
      <c r="EW40" s="66">
        <f t="shared" si="37"/>
        <v>133790500</v>
      </c>
      <c r="EX40" s="70"/>
      <c r="EY40" s="151" t="str">
        <f t="shared" si="38"/>
        <v>完整</v>
      </c>
      <c r="EZ40" s="151" t="str">
        <f t="shared" si="39"/>
        <v>完整</v>
      </c>
      <c r="FA40" s="151" t="str">
        <f t="shared" si="40"/>
        <v>完整</v>
      </c>
      <c r="FB40" s="151" t="str">
        <f t="shared" si="41"/>
        <v>选择</v>
      </c>
      <c r="FC40" s="151" t="str">
        <f t="shared" si="42"/>
        <v>删除</v>
      </c>
    </row>
    <row r="41" spans="1:218" s="3" customFormat="1" ht="12.75" customHeight="1" x14ac:dyDescent="0.25">
      <c r="A41" s="28" t="s">
        <v>205</v>
      </c>
      <c r="B41" s="134" t="str">
        <f t="shared" si="0"/>
        <v>HEMAS HOLDINGS PLC</v>
      </c>
      <c r="C41" s="29" t="s">
        <v>328</v>
      </c>
      <c r="D41" s="135" t="s">
        <v>312</v>
      </c>
      <c r="E41" s="29"/>
      <c r="F41" s="135"/>
      <c r="H41" s="31" t="str">
        <f t="shared" si="1"/>
        <v xml:space="preserve"> </v>
      </c>
      <c r="I41" s="29"/>
      <c r="J41" s="29" t="str">
        <f>VLOOKUP(Z:Z,'[1]AP 2022'!FD40:FF181,2,FALSE)</f>
        <v>exclude</v>
      </c>
      <c r="K41" s="47" t="str">
        <f>VLOOKUP(Z:Z,'[1]AP 2022'!FD40:FF181,3,0)</f>
        <v>lev SDA/SDP</v>
      </c>
      <c r="L41" s="48"/>
      <c r="M41" s="125" t="s">
        <v>631</v>
      </c>
      <c r="N41" s="125" t="s">
        <v>632</v>
      </c>
      <c r="O41" s="125" t="s">
        <v>633</v>
      </c>
      <c r="P41" s="125" t="s">
        <v>634</v>
      </c>
      <c r="Q41" s="124"/>
      <c r="R41" s="125" t="s">
        <v>635</v>
      </c>
      <c r="S41" s="125" t="s">
        <v>636</v>
      </c>
      <c r="T41" s="125" t="s">
        <v>335</v>
      </c>
      <c r="U41" s="125" t="s">
        <v>321</v>
      </c>
      <c r="V41" s="125" t="s">
        <v>637</v>
      </c>
      <c r="W41" s="125" t="s">
        <v>638</v>
      </c>
      <c r="X41" s="125" t="s">
        <v>639</v>
      </c>
      <c r="Y41" s="125" t="s">
        <v>640</v>
      </c>
      <c r="Z41" s="125" t="s">
        <v>641</v>
      </c>
      <c r="AA41" s="128">
        <v>114257360000</v>
      </c>
      <c r="AB41" s="128">
        <v>78990956000</v>
      </c>
      <c r="AC41" s="128">
        <v>65039885000</v>
      </c>
      <c r="AD41" s="128">
        <v>61862642000</v>
      </c>
      <c r="AE41" s="128">
        <v>113939574000</v>
      </c>
      <c r="AF41" s="128">
        <v>78830849000</v>
      </c>
      <c r="AG41" s="128">
        <v>64869532000</v>
      </c>
      <c r="AH41" s="128">
        <v>61632071000</v>
      </c>
      <c r="AI41" s="125" t="s">
        <v>340</v>
      </c>
      <c r="AJ41" s="125" t="s">
        <v>340</v>
      </c>
      <c r="AK41" s="125" t="s">
        <v>340</v>
      </c>
      <c r="AL41" s="125" t="s">
        <v>340</v>
      </c>
      <c r="AM41" s="128">
        <v>113939574000</v>
      </c>
      <c r="AN41" s="128">
        <v>78830849000</v>
      </c>
      <c r="AO41" s="128">
        <v>64869532000</v>
      </c>
      <c r="AP41" s="128">
        <v>61632071000</v>
      </c>
      <c r="AQ41" s="128">
        <v>317786000</v>
      </c>
      <c r="AR41" s="128">
        <v>160107000</v>
      </c>
      <c r="AS41" s="128">
        <v>170353000</v>
      </c>
      <c r="AT41" s="128">
        <v>230571000</v>
      </c>
      <c r="AU41" s="128">
        <v>-80285501000</v>
      </c>
      <c r="AV41" s="128">
        <v>-55507945000</v>
      </c>
      <c r="AW41" s="128">
        <v>-43410463000</v>
      </c>
      <c r="AX41" s="128">
        <v>-39129920000</v>
      </c>
      <c r="AY41" s="128">
        <v>0</v>
      </c>
      <c r="AZ41" s="128">
        <v>0</v>
      </c>
      <c r="BA41" s="128">
        <v>0</v>
      </c>
      <c r="BB41" s="128">
        <v>0</v>
      </c>
      <c r="BC41" s="128">
        <v>-21549761000</v>
      </c>
      <c r="BD41" s="128">
        <v>-16165821000</v>
      </c>
      <c r="BE41" s="128">
        <v>-14699768000</v>
      </c>
      <c r="BF41" s="128">
        <v>-17419888000</v>
      </c>
      <c r="BG41" s="128">
        <v>12422098000</v>
      </c>
      <c r="BH41" s="128">
        <v>7317190000</v>
      </c>
      <c r="BI41" s="128">
        <v>6929654000</v>
      </c>
      <c r="BJ41" s="128">
        <v>5312834000</v>
      </c>
      <c r="BK41" s="128">
        <v>-1602440000</v>
      </c>
      <c r="BL41" s="128">
        <v>-1461346000</v>
      </c>
      <c r="BM41" s="128">
        <v>-1596548000</v>
      </c>
      <c r="BN41" s="128">
        <v>-1658512000</v>
      </c>
      <c r="BO41" s="128">
        <v>-1526053000</v>
      </c>
      <c r="BP41" s="128">
        <v>-1384803000</v>
      </c>
      <c r="BQ41" s="128">
        <v>-1512613000</v>
      </c>
      <c r="BR41" s="128">
        <v>-1564718000</v>
      </c>
      <c r="BS41" s="128">
        <v>-76387000</v>
      </c>
      <c r="BT41" s="128">
        <v>-76543000</v>
      </c>
      <c r="BU41" s="128">
        <v>-83935000</v>
      </c>
      <c r="BV41" s="128">
        <v>-93794000</v>
      </c>
      <c r="BW41" s="128">
        <v>4268855000</v>
      </c>
      <c r="BX41" s="128">
        <v>4248553000</v>
      </c>
      <c r="BY41" s="128">
        <v>3253350000</v>
      </c>
      <c r="BZ41" s="128">
        <v>1235717000</v>
      </c>
      <c r="CA41" s="128">
        <v>70875255000</v>
      </c>
      <c r="CB41" s="128">
        <v>51221369000</v>
      </c>
      <c r="CC41" s="128">
        <v>37894554000</v>
      </c>
      <c r="CD41" s="128">
        <v>35653636000</v>
      </c>
      <c r="CE41" s="128">
        <v>28602360000</v>
      </c>
      <c r="CF41" s="128">
        <v>16807120000</v>
      </c>
      <c r="CG41" s="128">
        <v>15450580000</v>
      </c>
      <c r="CH41" s="128">
        <v>13559991000</v>
      </c>
      <c r="CI41" s="128">
        <v>17245243000</v>
      </c>
      <c r="CJ41" s="128">
        <v>13759137000</v>
      </c>
      <c r="CK41" s="128">
        <v>10133764000</v>
      </c>
      <c r="CL41" s="128">
        <v>12114185000</v>
      </c>
      <c r="CM41" s="128">
        <v>5394102000</v>
      </c>
      <c r="CN41" s="128">
        <v>4277716000</v>
      </c>
      <c r="CO41" s="128">
        <v>2899255000</v>
      </c>
      <c r="CP41" s="128">
        <v>3165676000</v>
      </c>
      <c r="CQ41" s="128">
        <v>16330774000</v>
      </c>
      <c r="CR41" s="128">
        <v>13895026000</v>
      </c>
      <c r="CS41" s="128">
        <v>8458209000</v>
      </c>
      <c r="CT41" s="128">
        <v>5617272000</v>
      </c>
      <c r="CU41" s="125" t="s">
        <v>340</v>
      </c>
      <c r="CV41" s="128">
        <v>100000</v>
      </c>
      <c r="CW41" s="128">
        <v>100000</v>
      </c>
      <c r="CX41" s="128">
        <v>300000</v>
      </c>
      <c r="CY41" s="128">
        <v>5981837000</v>
      </c>
      <c r="CZ41" s="128">
        <v>5557187000</v>
      </c>
      <c r="DA41" s="128">
        <v>8621243000</v>
      </c>
      <c r="DB41" s="128">
        <v>8354199000</v>
      </c>
      <c r="DC41" s="128">
        <v>98497883000</v>
      </c>
      <c r="DD41" s="128">
        <v>76307670000</v>
      </c>
      <c r="DE41" s="128">
        <v>63594388000</v>
      </c>
      <c r="DF41" s="128">
        <v>64380417000</v>
      </c>
      <c r="DG41" s="16">
        <f t="shared" si="2"/>
        <v>113939574000</v>
      </c>
      <c r="DH41" s="16">
        <f t="shared" si="3"/>
        <v>-80285501000</v>
      </c>
      <c r="DI41" s="16">
        <f t="shared" si="4"/>
        <v>-21549761000</v>
      </c>
      <c r="DJ41" s="16">
        <f t="shared" si="5"/>
        <v>-1602440000</v>
      </c>
      <c r="DK41" s="16">
        <f t="shared" si="6"/>
        <v>10501872000</v>
      </c>
      <c r="DL41" s="57">
        <f t="shared" si="7"/>
        <v>9.2170539447514521E-2</v>
      </c>
      <c r="DM41" s="57">
        <f t="shared" si="8"/>
        <v>0.10152847363140376</v>
      </c>
      <c r="DN41" s="58">
        <f t="shared" si="9"/>
        <v>0</v>
      </c>
      <c r="DO41" s="16">
        <f t="shared" si="10"/>
        <v>22704740000</v>
      </c>
      <c r="DP41" s="16">
        <f t="shared" si="11"/>
        <v>5769512000</v>
      </c>
      <c r="DQ41" s="61"/>
      <c r="DR41" s="62">
        <f t="shared" si="12"/>
        <v>78830849000</v>
      </c>
      <c r="DS41" s="62">
        <f t="shared" si="13"/>
        <v>-55507945000</v>
      </c>
      <c r="DT41" s="62">
        <f t="shared" si="14"/>
        <v>-16165821000</v>
      </c>
      <c r="DU41" s="62">
        <f t="shared" si="15"/>
        <v>-1461346000</v>
      </c>
      <c r="DV41" s="62">
        <f t="shared" si="16"/>
        <v>5695737000</v>
      </c>
      <c r="DW41" s="63">
        <f t="shared" si="17"/>
        <v>7.2252640587443115E-2</v>
      </c>
      <c r="DX41" s="63">
        <f t="shared" si="18"/>
        <v>7.7879651021796475E-2</v>
      </c>
      <c r="DY41" s="64">
        <f t="shared" si="19"/>
        <v>0</v>
      </c>
      <c r="DZ41" s="64">
        <f t="shared" si="20"/>
        <v>16128850000</v>
      </c>
      <c r="EA41" s="64">
        <f t="shared" si="21"/>
        <v>7089215000</v>
      </c>
      <c r="EB41" s="61"/>
      <c r="EC41" s="64">
        <f t="shared" si="22"/>
        <v>64869532000</v>
      </c>
      <c r="ED41" s="64">
        <f t="shared" si="23"/>
        <v>-43410463000</v>
      </c>
      <c r="EE41" s="64">
        <f t="shared" si="24"/>
        <v>-14699768000</v>
      </c>
      <c r="EF41" s="64">
        <f t="shared" si="25"/>
        <v>-1596548000</v>
      </c>
      <c r="EG41" s="64">
        <f t="shared" si="26"/>
        <v>5162753000</v>
      </c>
      <c r="EH41" s="63">
        <f t="shared" si="27"/>
        <v>7.9586715686495169E-2</v>
      </c>
      <c r="EI41" s="57">
        <f t="shared" si="28"/>
        <v>8.6468456119530412E-2</v>
      </c>
      <c r="EJ41" s="64">
        <f t="shared" si="29"/>
        <v>0</v>
      </c>
      <c r="EK41" s="64">
        <f t="shared" si="30"/>
        <v>14505285500</v>
      </c>
      <c r="EL41" s="64">
        <f t="shared" si="31"/>
        <v>8487721000</v>
      </c>
      <c r="EM41" s="61"/>
      <c r="EN41" s="66">
        <f t="shared" si="32"/>
        <v>85879985000</v>
      </c>
      <c r="EO41" s="66">
        <f t="shared" si="32"/>
        <v>-59734636333.333336</v>
      </c>
      <c r="EP41" s="66">
        <f t="shared" si="32"/>
        <v>-17471783333.333332</v>
      </c>
      <c r="EQ41" s="66">
        <f t="shared" si="32"/>
        <v>-1553444666.6666667</v>
      </c>
      <c r="ER41" s="66">
        <f t="shared" si="33"/>
        <v>7120120666.6666651</v>
      </c>
      <c r="ES41" s="63">
        <f t="shared" si="34"/>
        <v>8.2907800538934248E-2</v>
      </c>
      <c r="ET41" s="67">
        <f t="shared" si="35"/>
        <v>9.0402906695374208E-2</v>
      </c>
      <c r="EU41" s="66">
        <f t="shared" si="36"/>
        <v>0</v>
      </c>
      <c r="EV41" s="66">
        <f t="shared" si="37"/>
        <v>17779625166.666668</v>
      </c>
      <c r="EW41" s="66">
        <f t="shared" si="37"/>
        <v>7115482666.666667</v>
      </c>
      <c r="EX41" s="70"/>
      <c r="EY41" s="71" t="str">
        <f t="shared" si="38"/>
        <v>完整</v>
      </c>
      <c r="EZ41" s="71" t="str">
        <f t="shared" si="39"/>
        <v>完整</v>
      </c>
      <c r="FA41" s="71" t="str">
        <f t="shared" si="40"/>
        <v>完整</v>
      </c>
      <c r="FB41" s="71" t="str">
        <f t="shared" si="41"/>
        <v>选择</v>
      </c>
      <c r="FC41" s="71" t="str">
        <f t="shared" si="42"/>
        <v>选择</v>
      </c>
      <c r="FD41" s="72"/>
      <c r="FE41" s="72"/>
      <c r="FF41" s="72"/>
      <c r="FG41" s="72"/>
      <c r="FH41" s="72"/>
      <c r="FI41" s="72"/>
      <c r="FJ41" s="72"/>
      <c r="FK41" s="72"/>
      <c r="FL41" s="72"/>
      <c r="FM41" s="72"/>
      <c r="FN41" s="72"/>
      <c r="FO41" s="72"/>
      <c r="FP41" s="72"/>
      <c r="FQ41" s="72"/>
      <c r="FR41" s="72"/>
      <c r="FS41" s="72"/>
      <c r="FT41" s="72"/>
      <c r="FU41" s="72"/>
      <c r="FV41" s="72"/>
      <c r="FW41" s="72"/>
      <c r="FX41" s="72"/>
      <c r="FY41" s="72"/>
      <c r="FZ41" s="72"/>
      <c r="GA41" s="72"/>
      <c r="GB41" s="72"/>
      <c r="GC41" s="72"/>
      <c r="GD41" s="72"/>
      <c r="GE41" s="72"/>
      <c r="GF41" s="72"/>
      <c r="GG41" s="72"/>
      <c r="GH41" s="72"/>
      <c r="GI41" s="72"/>
      <c r="GJ41" s="72"/>
      <c r="GK41" s="72"/>
      <c r="GL41" s="72"/>
      <c r="GM41" s="72"/>
      <c r="GN41" s="72"/>
      <c r="GO41" s="72"/>
      <c r="GP41" s="72"/>
      <c r="GQ41" s="72"/>
      <c r="GR41" s="72"/>
      <c r="GS41" s="72"/>
      <c r="GT41" s="72"/>
      <c r="GU41" s="72"/>
      <c r="GV41" s="72"/>
      <c r="GW41" s="72"/>
      <c r="GX41" s="72"/>
      <c r="GY41" s="72"/>
      <c r="GZ41" s="72"/>
      <c r="HA41" s="72"/>
      <c r="HB41" s="72"/>
      <c r="HC41" s="72"/>
      <c r="HD41" s="72"/>
      <c r="HE41" s="72"/>
      <c r="HF41" s="72"/>
      <c r="HG41" s="72"/>
      <c r="HH41" s="72"/>
      <c r="HI41" s="72"/>
    </row>
    <row r="42" spans="1:218" s="3" customFormat="1" ht="12.75" customHeight="1" x14ac:dyDescent="0.25">
      <c r="A42" s="28" t="s">
        <v>206</v>
      </c>
      <c r="B42" s="134" t="str">
        <f t="shared" si="0"/>
        <v>MIWON COMMERCIAL CO.,LTD.</v>
      </c>
      <c r="C42" s="29" t="s">
        <v>328</v>
      </c>
      <c r="D42" s="135" t="s">
        <v>312</v>
      </c>
      <c r="E42" s="29"/>
      <c r="F42" s="135"/>
      <c r="G42" s="9"/>
      <c r="H42" s="31" t="str">
        <f t="shared" si="1"/>
        <v xml:space="preserve"> </v>
      </c>
      <c r="I42" s="29"/>
      <c r="J42" s="29" t="str">
        <f>VLOOKUP(Z:Z,'[1]AP 2022'!FD41:FF181,2,FALSE)</f>
        <v>exclude</v>
      </c>
      <c r="K42" s="47" t="str">
        <f>VLOOKUP(Z:Z,'[1]AP 2022'!FD41:FF181,3,0)</f>
        <v>lev SDA/SDP</v>
      </c>
      <c r="L42" s="48"/>
      <c r="M42" s="125" t="s">
        <v>642</v>
      </c>
      <c r="N42" s="125" t="s">
        <v>643</v>
      </c>
      <c r="O42" s="125" t="s">
        <v>331</v>
      </c>
      <c r="P42" s="125" t="s">
        <v>644</v>
      </c>
      <c r="Q42" s="124"/>
      <c r="R42" s="125" t="s">
        <v>363</v>
      </c>
      <c r="S42" s="125" t="s">
        <v>645</v>
      </c>
      <c r="T42" s="125" t="s">
        <v>335</v>
      </c>
      <c r="U42" s="125" t="s">
        <v>319</v>
      </c>
      <c r="V42" s="125" t="s">
        <v>646</v>
      </c>
      <c r="W42" s="125" t="s">
        <v>647</v>
      </c>
      <c r="X42" s="124"/>
      <c r="Y42" s="124"/>
      <c r="Z42" s="125" t="s">
        <v>648</v>
      </c>
      <c r="AA42" s="128">
        <v>438188004000</v>
      </c>
      <c r="AB42" s="128">
        <v>359794983000</v>
      </c>
      <c r="AC42" s="128">
        <v>294983860000</v>
      </c>
      <c r="AD42" s="128">
        <v>249991190000</v>
      </c>
      <c r="AE42" s="128">
        <v>438188004000</v>
      </c>
      <c r="AF42" s="128">
        <v>359794983000</v>
      </c>
      <c r="AG42" s="128">
        <v>294983860000</v>
      </c>
      <c r="AH42" s="128">
        <v>249991190000</v>
      </c>
      <c r="AI42" s="125" t="s">
        <v>340</v>
      </c>
      <c r="AJ42" s="125" t="s">
        <v>340</v>
      </c>
      <c r="AK42" s="125" t="s">
        <v>340</v>
      </c>
      <c r="AL42" s="125" t="s">
        <v>340</v>
      </c>
      <c r="AM42" s="128">
        <v>438188004000</v>
      </c>
      <c r="AN42" s="128">
        <v>359794983000</v>
      </c>
      <c r="AO42" s="128">
        <v>294983860000</v>
      </c>
      <c r="AP42" s="128">
        <v>249991190000</v>
      </c>
      <c r="AQ42" s="125" t="s">
        <v>340</v>
      </c>
      <c r="AR42" s="125" t="s">
        <v>340</v>
      </c>
      <c r="AS42" s="125" t="s">
        <v>340</v>
      </c>
      <c r="AT42" s="125" t="s">
        <v>340</v>
      </c>
      <c r="AU42" s="128">
        <v>-330046379000</v>
      </c>
      <c r="AV42" s="128">
        <v>-275114763000</v>
      </c>
      <c r="AW42" s="128">
        <v>-226924697000</v>
      </c>
      <c r="AX42" s="128">
        <v>-195143442000</v>
      </c>
      <c r="AY42" s="128">
        <v>-10352987000</v>
      </c>
      <c r="AZ42" s="128">
        <v>-9155303000</v>
      </c>
      <c r="BA42" s="128">
        <v>-8572789000</v>
      </c>
      <c r="BB42" s="128">
        <v>-8113492000</v>
      </c>
      <c r="BC42" s="128">
        <v>-20658543000</v>
      </c>
      <c r="BD42" s="128">
        <v>-18192128000</v>
      </c>
      <c r="BE42" s="128">
        <v>-16389161000</v>
      </c>
      <c r="BF42" s="128">
        <v>-14260428000</v>
      </c>
      <c r="BG42" s="128">
        <v>77130095000</v>
      </c>
      <c r="BH42" s="128">
        <v>57332789000</v>
      </c>
      <c r="BI42" s="128">
        <v>43097213000</v>
      </c>
      <c r="BJ42" s="128">
        <v>32473828000</v>
      </c>
      <c r="BK42" s="128">
        <v>-114509000</v>
      </c>
      <c r="BL42" s="128">
        <v>-178035000</v>
      </c>
      <c r="BM42" s="128">
        <v>-213263000</v>
      </c>
      <c r="BN42" s="128">
        <v>-213403000</v>
      </c>
      <c r="BO42" s="128">
        <v>-111741000</v>
      </c>
      <c r="BP42" s="128">
        <v>-175728000</v>
      </c>
      <c r="BQ42" s="128">
        <v>-213263000</v>
      </c>
      <c r="BR42" s="128">
        <v>-213403000</v>
      </c>
      <c r="BS42" s="128">
        <v>-2768000</v>
      </c>
      <c r="BT42" s="128">
        <v>-2307000</v>
      </c>
      <c r="BU42" s="125" t="s">
        <v>340</v>
      </c>
      <c r="BV42" s="125" t="s">
        <v>340</v>
      </c>
      <c r="BW42" s="128">
        <v>72215529000</v>
      </c>
      <c r="BX42" s="128">
        <v>57743052000</v>
      </c>
      <c r="BY42" s="128">
        <v>51848333000</v>
      </c>
      <c r="BZ42" s="128">
        <v>31123175000</v>
      </c>
      <c r="CA42" s="128">
        <v>197197077000</v>
      </c>
      <c r="CB42" s="128">
        <v>171562461000</v>
      </c>
      <c r="CC42" s="128">
        <v>137696042000</v>
      </c>
      <c r="CD42" s="128">
        <v>120230352000</v>
      </c>
      <c r="CE42" s="128">
        <v>102743683000</v>
      </c>
      <c r="CF42" s="128">
        <v>85524319000</v>
      </c>
      <c r="CG42" s="128">
        <v>62321029000</v>
      </c>
      <c r="CH42" s="128">
        <v>61239016000</v>
      </c>
      <c r="CI42" s="128">
        <v>67286468000</v>
      </c>
      <c r="CJ42" s="128">
        <v>62868939000</v>
      </c>
      <c r="CK42" s="128">
        <v>51492158000</v>
      </c>
      <c r="CL42" s="128">
        <v>47808740000</v>
      </c>
      <c r="CM42" s="128">
        <v>1331445000</v>
      </c>
      <c r="CN42" s="128">
        <v>1171984000</v>
      </c>
      <c r="CO42" s="128">
        <v>1234313000</v>
      </c>
      <c r="CP42" s="128">
        <v>1389794000</v>
      </c>
      <c r="CQ42" s="128">
        <v>25264165000</v>
      </c>
      <c r="CR42" s="128">
        <v>21670615000</v>
      </c>
      <c r="CS42" s="128">
        <v>22220931000</v>
      </c>
      <c r="CT42" s="128">
        <v>9194271000</v>
      </c>
      <c r="CU42" s="125" t="s">
        <v>340</v>
      </c>
      <c r="CV42" s="125" t="s">
        <v>340</v>
      </c>
      <c r="CW42" s="125" t="s">
        <v>340</v>
      </c>
      <c r="CX42" s="125" t="s">
        <v>340</v>
      </c>
      <c r="CY42" s="128">
        <v>14017176000</v>
      </c>
      <c r="CZ42" s="128">
        <v>8251038000</v>
      </c>
      <c r="DA42" s="128">
        <v>10470362000</v>
      </c>
      <c r="DB42" s="128">
        <v>12515210000</v>
      </c>
      <c r="DC42" s="128">
        <v>415619325000</v>
      </c>
      <c r="DD42" s="128">
        <v>372413719000</v>
      </c>
      <c r="DE42" s="128">
        <v>328954823000</v>
      </c>
      <c r="DF42" s="128">
        <v>280693590000</v>
      </c>
      <c r="DG42" s="16">
        <f t="shared" si="2"/>
        <v>438188004000</v>
      </c>
      <c r="DH42" s="16">
        <f t="shared" si="3"/>
        <v>-330046379000</v>
      </c>
      <c r="DI42" s="16">
        <f t="shared" si="4"/>
        <v>-31011530000</v>
      </c>
      <c r="DJ42" s="16">
        <f t="shared" si="5"/>
        <v>-114509000</v>
      </c>
      <c r="DK42" s="16">
        <f t="shared" si="6"/>
        <v>77015586000</v>
      </c>
      <c r="DL42" s="57">
        <f t="shared" si="7"/>
        <v>0.17575922959314971</v>
      </c>
      <c r="DM42" s="57">
        <f t="shared" si="8"/>
        <v>0.213237728469066</v>
      </c>
      <c r="DN42" s="58">
        <f t="shared" si="9"/>
        <v>-10352987000</v>
      </c>
      <c r="DO42" s="16">
        <f t="shared" si="10"/>
        <v>94134001000</v>
      </c>
      <c r="DP42" s="16">
        <f t="shared" si="11"/>
        <v>11134107000</v>
      </c>
      <c r="DQ42" s="61"/>
      <c r="DR42" s="62">
        <f t="shared" si="12"/>
        <v>359794983000</v>
      </c>
      <c r="DS42" s="62">
        <f t="shared" si="13"/>
        <v>-275114763000</v>
      </c>
      <c r="DT42" s="62">
        <f t="shared" si="14"/>
        <v>-27347431000</v>
      </c>
      <c r="DU42" s="62">
        <f t="shared" si="15"/>
        <v>-178035000</v>
      </c>
      <c r="DV42" s="62">
        <f t="shared" si="16"/>
        <v>57154754000</v>
      </c>
      <c r="DW42" s="63">
        <f t="shared" si="17"/>
        <v>0.15885367139763593</v>
      </c>
      <c r="DX42" s="63">
        <f t="shared" si="18"/>
        <v>0.18885378916363429</v>
      </c>
      <c r="DY42" s="64">
        <f t="shared" si="19"/>
        <v>-9155303000</v>
      </c>
      <c r="DZ42" s="64">
        <f t="shared" si="20"/>
        <v>73922674000</v>
      </c>
      <c r="EA42" s="64">
        <f t="shared" si="21"/>
        <v>9360700000</v>
      </c>
      <c r="EB42" s="61"/>
      <c r="EC42" s="64">
        <f t="shared" si="22"/>
        <v>294983860000</v>
      </c>
      <c r="ED42" s="64">
        <f t="shared" si="23"/>
        <v>-226924697000</v>
      </c>
      <c r="EE42" s="64">
        <f t="shared" si="24"/>
        <v>-24961950000</v>
      </c>
      <c r="EF42" s="64">
        <f t="shared" si="25"/>
        <v>-213263000</v>
      </c>
      <c r="EG42" s="64">
        <f t="shared" si="26"/>
        <v>42883950000</v>
      </c>
      <c r="EH42" s="63">
        <f t="shared" si="27"/>
        <v>0.14537727589570493</v>
      </c>
      <c r="EI42" s="57">
        <f t="shared" si="28"/>
        <v>0.17010696275139486</v>
      </c>
      <c r="EJ42" s="64">
        <f t="shared" si="29"/>
        <v>-8572789000</v>
      </c>
      <c r="EK42" s="64">
        <f t="shared" si="30"/>
        <v>61780022500</v>
      </c>
      <c r="EL42" s="64">
        <f t="shared" si="31"/>
        <v>11492786000</v>
      </c>
      <c r="EM42" s="61"/>
      <c r="EN42" s="66">
        <f t="shared" si="32"/>
        <v>364322282333.33331</v>
      </c>
      <c r="EO42" s="66">
        <f t="shared" si="32"/>
        <v>-277361946333.33331</v>
      </c>
      <c r="EP42" s="66">
        <f t="shared" si="32"/>
        <v>-27773637000</v>
      </c>
      <c r="EQ42" s="66">
        <f t="shared" si="32"/>
        <v>-168602333.33333334</v>
      </c>
      <c r="ER42" s="66">
        <f t="shared" si="33"/>
        <v>59018096666.666664</v>
      </c>
      <c r="ES42" s="63">
        <f t="shared" si="34"/>
        <v>0.16199419999424741</v>
      </c>
      <c r="ET42" s="67">
        <f t="shared" si="35"/>
        <v>0.19330916324580974</v>
      </c>
      <c r="EU42" s="66">
        <f t="shared" si="36"/>
        <v>9360359666.666666</v>
      </c>
      <c r="EV42" s="66">
        <f t="shared" si="37"/>
        <v>76612232500</v>
      </c>
      <c r="EW42" s="66">
        <f t="shared" si="37"/>
        <v>10662531000</v>
      </c>
      <c r="EX42" s="70"/>
      <c r="EY42" s="71" t="str">
        <f t="shared" si="38"/>
        <v>完整</v>
      </c>
      <c r="EZ42" s="71" t="str">
        <f t="shared" si="39"/>
        <v>完整</v>
      </c>
      <c r="FA42" s="71" t="str">
        <f t="shared" si="40"/>
        <v>完整</v>
      </c>
      <c r="FB42" s="71" t="str">
        <f t="shared" si="41"/>
        <v>选择</v>
      </c>
      <c r="FC42" s="71" t="str">
        <f t="shared" si="42"/>
        <v>选择</v>
      </c>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0"/>
    </row>
    <row r="43" spans="1:218" s="3" customFormat="1" ht="12.75" customHeight="1" x14ac:dyDescent="0.25">
      <c r="A43" s="28" t="s">
        <v>207</v>
      </c>
      <c r="B43" s="134" t="str">
        <f t="shared" si="0"/>
        <v>MILBON CO LTD</v>
      </c>
      <c r="C43" s="29" t="s">
        <v>328</v>
      </c>
      <c r="D43" s="135" t="s">
        <v>312</v>
      </c>
      <c r="E43" s="29"/>
      <c r="F43" s="135"/>
      <c r="H43" s="31" t="str">
        <f t="shared" si="1"/>
        <v xml:space="preserve"> </v>
      </c>
      <c r="I43" s="29"/>
      <c r="J43" s="29" t="str">
        <f>VLOOKUP(Z:Z,'[1]AP 2022'!FD42:FF181,2,FALSE)</f>
        <v>exclude</v>
      </c>
      <c r="K43" s="47" t="str">
        <f>VLOOKUP(Z:Z,'[1]AP 2022'!FD42:FF181,3,0)</f>
        <v>lev SDA/SDP</v>
      </c>
      <c r="L43" s="48"/>
      <c r="M43" s="125" t="s">
        <v>649</v>
      </c>
      <c r="N43" s="125" t="s">
        <v>650</v>
      </c>
      <c r="O43" s="125" t="s">
        <v>331</v>
      </c>
      <c r="P43" s="125" t="s">
        <v>651</v>
      </c>
      <c r="Q43" s="124"/>
      <c r="R43" s="125" t="s">
        <v>333</v>
      </c>
      <c r="S43" s="125" t="s">
        <v>652</v>
      </c>
      <c r="T43" s="125" t="s">
        <v>335</v>
      </c>
      <c r="U43" s="125" t="s">
        <v>321</v>
      </c>
      <c r="V43" s="125" t="s">
        <v>653</v>
      </c>
      <c r="W43" s="125" t="s">
        <v>654</v>
      </c>
      <c r="X43" s="125" t="s">
        <v>655</v>
      </c>
      <c r="Y43" s="124"/>
      <c r="Z43" s="125" t="s">
        <v>656</v>
      </c>
      <c r="AA43" s="128">
        <v>45238377000</v>
      </c>
      <c r="AB43" s="128">
        <v>41582267000</v>
      </c>
      <c r="AC43" s="128">
        <v>35725069000</v>
      </c>
      <c r="AD43" s="128">
        <v>36266444000</v>
      </c>
      <c r="AE43" s="128">
        <v>45238377000</v>
      </c>
      <c r="AF43" s="128">
        <v>41582267000</v>
      </c>
      <c r="AG43" s="128">
        <v>35725069000</v>
      </c>
      <c r="AH43" s="128">
        <v>36266444000</v>
      </c>
      <c r="AI43" s="125" t="s">
        <v>340</v>
      </c>
      <c r="AJ43" s="125" t="s">
        <v>340</v>
      </c>
      <c r="AK43" s="125" t="s">
        <v>340</v>
      </c>
      <c r="AL43" s="125" t="s">
        <v>340</v>
      </c>
      <c r="AM43" s="128">
        <v>45238377000</v>
      </c>
      <c r="AN43" s="128">
        <v>41582267000</v>
      </c>
      <c r="AO43" s="128">
        <v>35725069000</v>
      </c>
      <c r="AP43" s="128">
        <v>36266444000</v>
      </c>
      <c r="AQ43" s="125" t="s">
        <v>340</v>
      </c>
      <c r="AR43" s="125" t="s">
        <v>340</v>
      </c>
      <c r="AS43" s="125" t="s">
        <v>340</v>
      </c>
      <c r="AT43" s="125" t="s">
        <v>340</v>
      </c>
      <c r="AU43" s="128">
        <v>-13648269000</v>
      </c>
      <c r="AV43" s="128">
        <v>-12306015000</v>
      </c>
      <c r="AW43" s="128">
        <v>-10730746000</v>
      </c>
      <c r="AX43" s="128">
        <v>-11060789000</v>
      </c>
      <c r="AY43" s="128">
        <v>-2074942000</v>
      </c>
      <c r="AZ43" s="128">
        <v>-1741738000</v>
      </c>
      <c r="BA43" s="128">
        <v>-1581055000</v>
      </c>
      <c r="BB43" s="128">
        <v>-1534332000</v>
      </c>
      <c r="BC43" s="128">
        <v>-19882563000</v>
      </c>
      <c r="BD43" s="128">
        <v>-17939492000</v>
      </c>
      <c r="BE43" s="128">
        <v>-15409465000</v>
      </c>
      <c r="BF43" s="128">
        <v>-15425525000</v>
      </c>
      <c r="BG43" s="128">
        <v>9632603000</v>
      </c>
      <c r="BH43" s="128">
        <v>9595022000</v>
      </c>
      <c r="BI43" s="128">
        <v>8003803000</v>
      </c>
      <c r="BJ43" s="128">
        <v>8245798000</v>
      </c>
      <c r="BK43" s="128">
        <v>-2080891000</v>
      </c>
      <c r="BL43" s="128">
        <v>-1777323000</v>
      </c>
      <c r="BM43" s="128">
        <v>-1609008000</v>
      </c>
      <c r="BN43" s="128">
        <v>-1493857000</v>
      </c>
      <c r="BO43" s="128">
        <v>-2080891000</v>
      </c>
      <c r="BP43" s="128">
        <v>-1777323000</v>
      </c>
      <c r="BQ43" s="128">
        <v>-1609008000</v>
      </c>
      <c r="BR43" s="128">
        <v>-1493857000</v>
      </c>
      <c r="BS43" s="128">
        <v>0</v>
      </c>
      <c r="BT43" s="128">
        <v>0</v>
      </c>
      <c r="BU43" s="128">
        <v>0</v>
      </c>
      <c r="BV43" s="128">
        <v>0</v>
      </c>
      <c r="BW43" s="128">
        <v>5577274000</v>
      </c>
      <c r="BX43" s="128">
        <v>5109288000</v>
      </c>
      <c r="BY43" s="128">
        <v>4204139000</v>
      </c>
      <c r="BZ43" s="128">
        <v>4517615000</v>
      </c>
      <c r="CA43" s="128">
        <v>26698631000</v>
      </c>
      <c r="CB43" s="128">
        <v>24900761000</v>
      </c>
      <c r="CC43" s="128">
        <v>22122303000</v>
      </c>
      <c r="CD43" s="128">
        <v>20330346000</v>
      </c>
      <c r="CE43" s="128">
        <v>8358151000</v>
      </c>
      <c r="CF43" s="128">
        <v>5940357000</v>
      </c>
      <c r="CG43" s="128">
        <v>5215353000</v>
      </c>
      <c r="CH43" s="128">
        <v>5067344000</v>
      </c>
      <c r="CI43" s="128">
        <v>5255501000</v>
      </c>
      <c r="CJ43" s="128">
        <v>4669987000</v>
      </c>
      <c r="CK43" s="128">
        <v>4195635000</v>
      </c>
      <c r="CL43" s="128">
        <v>4177001000</v>
      </c>
      <c r="CM43" s="128">
        <v>784926000</v>
      </c>
      <c r="CN43" s="128">
        <v>740270000</v>
      </c>
      <c r="CO43" s="128">
        <v>366291000</v>
      </c>
      <c r="CP43" s="128">
        <v>470611000</v>
      </c>
      <c r="CQ43" s="128">
        <v>12300053000</v>
      </c>
      <c r="CR43" s="128">
        <v>13550147000</v>
      </c>
      <c r="CS43" s="128">
        <v>12345024000</v>
      </c>
      <c r="CT43" s="128">
        <v>10615390000</v>
      </c>
      <c r="CU43" s="125" t="s">
        <v>340</v>
      </c>
      <c r="CV43" s="128">
        <v>200000000</v>
      </c>
      <c r="CW43" s="125" t="s">
        <v>340</v>
      </c>
      <c r="CX43" s="125" t="s">
        <v>340</v>
      </c>
      <c r="CY43" s="128">
        <v>3784895000</v>
      </c>
      <c r="CZ43" s="128">
        <v>3370991000</v>
      </c>
      <c r="DA43" s="128">
        <v>3350490000</v>
      </c>
      <c r="DB43" s="128">
        <v>2803068000</v>
      </c>
      <c r="DC43" s="128">
        <v>52760387000</v>
      </c>
      <c r="DD43" s="128">
        <v>48238490000</v>
      </c>
      <c r="DE43" s="128">
        <v>43075520000</v>
      </c>
      <c r="DF43" s="128">
        <v>41912194000</v>
      </c>
      <c r="DG43" s="16">
        <f t="shared" si="2"/>
        <v>45238377000</v>
      </c>
      <c r="DH43" s="16">
        <f t="shared" si="3"/>
        <v>-13648269000</v>
      </c>
      <c r="DI43" s="16">
        <f t="shared" si="4"/>
        <v>-21957505000</v>
      </c>
      <c r="DJ43" s="16">
        <f t="shared" si="5"/>
        <v>-2080891000</v>
      </c>
      <c r="DK43" s="16">
        <f t="shared" si="6"/>
        <v>7551712000</v>
      </c>
      <c r="DL43" s="57">
        <f t="shared" si="7"/>
        <v>0.16693154133270519</v>
      </c>
      <c r="DM43" s="57">
        <f t="shared" si="8"/>
        <v>0.20038154079168322</v>
      </c>
      <c r="DN43" s="58">
        <f t="shared" si="9"/>
        <v>-2074942000</v>
      </c>
      <c r="DO43" s="16">
        <f t="shared" si="10"/>
        <v>7149254000</v>
      </c>
      <c r="DP43" s="16">
        <f t="shared" si="11"/>
        <v>3577943000</v>
      </c>
      <c r="DQ43" s="61"/>
      <c r="DR43" s="62">
        <f t="shared" si="12"/>
        <v>41582267000</v>
      </c>
      <c r="DS43" s="62">
        <f t="shared" si="13"/>
        <v>-12306015000</v>
      </c>
      <c r="DT43" s="62">
        <f t="shared" si="14"/>
        <v>-19681230000</v>
      </c>
      <c r="DU43" s="62">
        <f t="shared" si="15"/>
        <v>-1777323000</v>
      </c>
      <c r="DV43" s="62">
        <f t="shared" si="16"/>
        <v>7817699000</v>
      </c>
      <c r="DW43" s="63">
        <f t="shared" si="17"/>
        <v>0.18800559863655342</v>
      </c>
      <c r="DX43" s="63">
        <f t="shared" si="18"/>
        <v>0.23153558487702255</v>
      </c>
      <c r="DY43" s="64">
        <f t="shared" si="19"/>
        <v>-1741738000</v>
      </c>
      <c r="DZ43" s="64">
        <f t="shared" si="20"/>
        <v>5577855000</v>
      </c>
      <c r="EA43" s="64">
        <f t="shared" si="21"/>
        <v>3360740500</v>
      </c>
      <c r="EB43" s="61"/>
      <c r="EC43" s="64">
        <f t="shared" si="22"/>
        <v>35725069000</v>
      </c>
      <c r="ED43" s="64">
        <f t="shared" si="23"/>
        <v>-10730746000</v>
      </c>
      <c r="EE43" s="64">
        <f t="shared" si="24"/>
        <v>-16990520000</v>
      </c>
      <c r="EF43" s="64">
        <f t="shared" si="25"/>
        <v>-1609008000</v>
      </c>
      <c r="EG43" s="64">
        <f t="shared" si="26"/>
        <v>6394795000</v>
      </c>
      <c r="EH43" s="63">
        <f t="shared" si="27"/>
        <v>0.17900021410735414</v>
      </c>
      <c r="EI43" s="57">
        <f t="shared" si="28"/>
        <v>0.21802711423698257</v>
      </c>
      <c r="EJ43" s="64">
        <f t="shared" si="29"/>
        <v>-1581055000</v>
      </c>
      <c r="EK43" s="64">
        <f t="shared" si="30"/>
        <v>5141348500</v>
      </c>
      <c r="EL43" s="64">
        <f t="shared" si="31"/>
        <v>3076779000</v>
      </c>
      <c r="EM43" s="61"/>
      <c r="EN43" s="66">
        <f t="shared" si="32"/>
        <v>40848571000</v>
      </c>
      <c r="EO43" s="66">
        <f t="shared" si="32"/>
        <v>-12228343333.333334</v>
      </c>
      <c r="EP43" s="66">
        <f t="shared" si="32"/>
        <v>-19543085000</v>
      </c>
      <c r="EQ43" s="66">
        <f t="shared" si="32"/>
        <v>-1822407333.3333333</v>
      </c>
      <c r="ER43" s="66">
        <f t="shared" si="33"/>
        <v>7254735333.3333311</v>
      </c>
      <c r="ES43" s="63">
        <f t="shared" si="34"/>
        <v>0.17760071296822919</v>
      </c>
      <c r="ET43" s="67">
        <f t="shared" si="35"/>
        <v>0.21595436154769934</v>
      </c>
      <c r="EU43" s="66">
        <f t="shared" si="36"/>
        <v>1799245000</v>
      </c>
      <c r="EV43" s="66">
        <f t="shared" si="37"/>
        <v>5956152500</v>
      </c>
      <c r="EW43" s="66">
        <f t="shared" si="37"/>
        <v>3338487500</v>
      </c>
      <c r="EX43" s="70"/>
      <c r="EY43" s="71" t="str">
        <f t="shared" si="38"/>
        <v>完整</v>
      </c>
      <c r="EZ43" s="71" t="str">
        <f t="shared" si="39"/>
        <v>完整</v>
      </c>
      <c r="FA43" s="71" t="str">
        <f t="shared" si="40"/>
        <v>完整</v>
      </c>
      <c r="FB43" s="71" t="str">
        <f t="shared" si="41"/>
        <v>选择</v>
      </c>
      <c r="FC43" s="71" t="str">
        <f t="shared" si="42"/>
        <v>选择</v>
      </c>
      <c r="FD43" s="72"/>
      <c r="FE43" s="72"/>
      <c r="FF43" s="72"/>
      <c r="FG43" s="72"/>
      <c r="FH43" s="72"/>
      <c r="FI43" s="72"/>
      <c r="FJ43" s="72"/>
      <c r="FK43" s="72"/>
      <c r="FL43" s="72"/>
      <c r="FM43" s="72"/>
      <c r="FN43" s="72"/>
      <c r="FO43" s="72"/>
      <c r="FP43" s="72"/>
      <c r="FQ43" s="72"/>
      <c r="FR43" s="72"/>
      <c r="FS43" s="72"/>
      <c r="FT43" s="72"/>
      <c r="FU43" s="72"/>
      <c r="FV43" s="72"/>
      <c r="FW43" s="72"/>
      <c r="FX43" s="72"/>
      <c r="FY43" s="72"/>
      <c r="FZ43" s="72"/>
      <c r="GA43" s="72"/>
      <c r="GB43" s="72"/>
      <c r="GC43" s="72"/>
      <c r="GD43" s="72"/>
      <c r="GE43" s="72"/>
      <c r="GF43" s="72"/>
      <c r="GG43" s="72"/>
      <c r="GH43" s="72"/>
      <c r="GI43" s="72"/>
      <c r="GJ43" s="72"/>
      <c r="GK43" s="72"/>
      <c r="GL43" s="72"/>
      <c r="GM43" s="72"/>
      <c r="GN43" s="72"/>
      <c r="GO43" s="72"/>
      <c r="GP43" s="72"/>
      <c r="GQ43" s="72"/>
      <c r="GR43" s="72"/>
      <c r="GS43" s="72"/>
      <c r="GT43" s="72"/>
      <c r="GU43" s="72"/>
      <c r="GV43" s="72"/>
      <c r="GW43" s="72"/>
      <c r="GX43" s="72"/>
      <c r="GY43" s="72"/>
      <c r="GZ43" s="72"/>
      <c r="HA43" s="72"/>
      <c r="HB43" s="72"/>
      <c r="HC43" s="72"/>
      <c r="HD43" s="72"/>
      <c r="HE43" s="72"/>
      <c r="HF43" s="72"/>
      <c r="HG43" s="72"/>
      <c r="HH43" s="72"/>
      <c r="HI43" s="72"/>
    </row>
    <row r="44" spans="1:218" s="3" customFormat="1" ht="12.75" customHeight="1" x14ac:dyDescent="0.25">
      <c r="A44" s="28" t="s">
        <v>208</v>
      </c>
      <c r="B44" s="134" t="str">
        <f t="shared" si="0"/>
        <v>YA-MAN LTD</v>
      </c>
      <c r="C44" s="29" t="s">
        <v>328</v>
      </c>
      <c r="D44" s="135" t="s">
        <v>312</v>
      </c>
      <c r="E44" s="29"/>
      <c r="F44" s="135"/>
      <c r="H44" s="31" t="str">
        <f t="shared" si="1"/>
        <v xml:space="preserve"> </v>
      </c>
      <c r="I44" s="29"/>
      <c r="J44" s="29" t="str">
        <f>VLOOKUP(Z:Z,'[1]AP 2022'!FD43:FF181,2,FALSE)</f>
        <v>exclude</v>
      </c>
      <c r="K44" s="47" t="str">
        <f>VLOOKUP(Z:Z,'[1]AP 2022'!FD43:FF181,3,0)</f>
        <v>lev SDA/SDP</v>
      </c>
      <c r="L44" s="48"/>
      <c r="M44" s="125" t="s">
        <v>657</v>
      </c>
      <c r="N44" s="125" t="s">
        <v>658</v>
      </c>
      <c r="O44" s="125" t="s">
        <v>331</v>
      </c>
      <c r="P44" s="125" t="s">
        <v>659</v>
      </c>
      <c r="Q44" s="124"/>
      <c r="R44" s="125" t="s">
        <v>333</v>
      </c>
      <c r="S44" s="125" t="s">
        <v>660</v>
      </c>
      <c r="T44" s="125" t="s">
        <v>335</v>
      </c>
      <c r="U44" s="125" t="s">
        <v>321</v>
      </c>
      <c r="V44" s="125" t="s">
        <v>661</v>
      </c>
      <c r="W44" s="125" t="s">
        <v>662</v>
      </c>
      <c r="X44" s="124"/>
      <c r="Y44" s="124"/>
      <c r="Z44" s="125" t="s">
        <v>663</v>
      </c>
      <c r="AA44" s="128">
        <v>42996308000</v>
      </c>
      <c r="AB44" s="128">
        <v>40943193000</v>
      </c>
      <c r="AC44" s="128">
        <v>36631026000</v>
      </c>
      <c r="AD44" s="128">
        <v>22975758000</v>
      </c>
      <c r="AE44" s="128">
        <v>42996308000</v>
      </c>
      <c r="AF44" s="128">
        <v>40943193000</v>
      </c>
      <c r="AG44" s="128">
        <v>36631026000</v>
      </c>
      <c r="AH44" s="128">
        <v>22975758000</v>
      </c>
      <c r="AI44" s="125" t="s">
        <v>340</v>
      </c>
      <c r="AJ44" s="125" t="s">
        <v>340</v>
      </c>
      <c r="AK44" s="125" t="s">
        <v>340</v>
      </c>
      <c r="AL44" s="125" t="s">
        <v>340</v>
      </c>
      <c r="AM44" s="128">
        <v>42996308000</v>
      </c>
      <c r="AN44" s="128">
        <v>40943193000</v>
      </c>
      <c r="AO44" s="128">
        <v>36631026000</v>
      </c>
      <c r="AP44" s="128">
        <v>22975758000</v>
      </c>
      <c r="AQ44" s="125" t="s">
        <v>340</v>
      </c>
      <c r="AR44" s="125" t="s">
        <v>340</v>
      </c>
      <c r="AS44" s="125" t="s">
        <v>340</v>
      </c>
      <c r="AT44" s="125" t="s">
        <v>340</v>
      </c>
      <c r="AU44" s="128">
        <v>-16676121000</v>
      </c>
      <c r="AV44" s="128">
        <v>-15619516000</v>
      </c>
      <c r="AW44" s="128">
        <v>-12980308000</v>
      </c>
      <c r="AX44" s="128">
        <v>-7997823000</v>
      </c>
      <c r="AY44" s="128">
        <v>-845177000</v>
      </c>
      <c r="AZ44" s="128">
        <v>-515711000</v>
      </c>
      <c r="BA44" s="128">
        <v>-410904000</v>
      </c>
      <c r="BB44" s="128">
        <v>-261871000</v>
      </c>
      <c r="BC44" s="128">
        <v>-18965568000</v>
      </c>
      <c r="BD44" s="128">
        <v>-17504770000</v>
      </c>
      <c r="BE44" s="128">
        <v>-16687775000</v>
      </c>
      <c r="BF44" s="128">
        <v>-11710778000</v>
      </c>
      <c r="BG44" s="128">
        <v>6509442000</v>
      </c>
      <c r="BH44" s="128">
        <v>7303196000</v>
      </c>
      <c r="BI44" s="128">
        <v>6552039000</v>
      </c>
      <c r="BJ44" s="128">
        <v>3005286000</v>
      </c>
      <c r="BK44" s="128">
        <v>-374622000</v>
      </c>
      <c r="BL44" s="128">
        <v>-422517000</v>
      </c>
      <c r="BM44" s="128">
        <v>-435239000</v>
      </c>
      <c r="BN44" s="128">
        <v>-500959000</v>
      </c>
      <c r="BO44" s="128">
        <v>-374622000</v>
      </c>
      <c r="BP44" s="128">
        <v>-422517000</v>
      </c>
      <c r="BQ44" s="128">
        <v>-349577000</v>
      </c>
      <c r="BR44" s="128">
        <v>-329634000</v>
      </c>
      <c r="BS44" s="128">
        <v>0</v>
      </c>
      <c r="BT44" s="128">
        <v>0</v>
      </c>
      <c r="BU44" s="128">
        <v>-85662000</v>
      </c>
      <c r="BV44" s="128">
        <v>-171325000</v>
      </c>
      <c r="BW44" s="128">
        <v>3913141000</v>
      </c>
      <c r="BX44" s="128">
        <v>5586869000</v>
      </c>
      <c r="BY44" s="128">
        <v>3727926000</v>
      </c>
      <c r="BZ44" s="128">
        <v>1322586000</v>
      </c>
      <c r="CA44" s="128">
        <v>28566696000</v>
      </c>
      <c r="CB44" s="128">
        <v>27907512000</v>
      </c>
      <c r="CC44" s="128">
        <v>23538015000</v>
      </c>
      <c r="CD44" s="128">
        <v>15040290000</v>
      </c>
      <c r="CE44" s="128">
        <v>5132500000</v>
      </c>
      <c r="CF44" s="128">
        <v>4118827000</v>
      </c>
      <c r="CG44" s="128">
        <v>3692333000</v>
      </c>
      <c r="CH44" s="128">
        <v>2034176000</v>
      </c>
      <c r="CI44" s="128">
        <v>4935153000</v>
      </c>
      <c r="CJ44" s="128">
        <v>5194775000</v>
      </c>
      <c r="CK44" s="128">
        <v>4000909000</v>
      </c>
      <c r="CL44" s="128">
        <v>3022020000</v>
      </c>
      <c r="CM44" s="128">
        <v>2352901000</v>
      </c>
      <c r="CN44" s="128">
        <v>1944801000</v>
      </c>
      <c r="CO44" s="128">
        <v>2887132000</v>
      </c>
      <c r="CP44" s="128">
        <v>2351587000</v>
      </c>
      <c r="CQ44" s="128">
        <v>16146142000</v>
      </c>
      <c r="CR44" s="128">
        <v>16649109000</v>
      </c>
      <c r="CS44" s="128">
        <v>12957641000</v>
      </c>
      <c r="CT44" s="128">
        <v>7632507000</v>
      </c>
      <c r="CU44" s="125" t="s">
        <v>340</v>
      </c>
      <c r="CV44" s="125" t="s">
        <v>340</v>
      </c>
      <c r="CW44" s="125" t="s">
        <v>340</v>
      </c>
      <c r="CX44" s="125" t="s">
        <v>340</v>
      </c>
      <c r="CY44" s="125" t="s">
        <v>340</v>
      </c>
      <c r="CZ44" s="125" t="s">
        <v>340</v>
      </c>
      <c r="DA44" s="125" t="s">
        <v>340</v>
      </c>
      <c r="DB44" s="125" t="s">
        <v>340</v>
      </c>
      <c r="DC44" s="128">
        <v>30979525000</v>
      </c>
      <c r="DD44" s="128">
        <v>30552173000</v>
      </c>
      <c r="DE44" s="128">
        <v>25855511000</v>
      </c>
      <c r="DF44" s="128">
        <v>17292977000</v>
      </c>
      <c r="DG44" s="16">
        <f t="shared" si="2"/>
        <v>42996308000</v>
      </c>
      <c r="DH44" s="16">
        <f t="shared" si="3"/>
        <v>-16676121000</v>
      </c>
      <c r="DI44" s="16">
        <f t="shared" si="4"/>
        <v>-19810745000</v>
      </c>
      <c r="DJ44" s="16">
        <f t="shared" si="5"/>
        <v>-374622000</v>
      </c>
      <c r="DK44" s="16">
        <f t="shared" si="6"/>
        <v>6134820000</v>
      </c>
      <c r="DL44" s="57">
        <f t="shared" si="7"/>
        <v>0.14268248334252326</v>
      </c>
      <c r="DM44" s="57">
        <f t="shared" si="8"/>
        <v>0.16642898409310009</v>
      </c>
      <c r="DN44" s="58">
        <f t="shared" si="9"/>
        <v>-845177000</v>
      </c>
      <c r="DO44" s="16">
        <f t="shared" si="10"/>
        <v>4625663500</v>
      </c>
      <c r="DP44" s="16" t="e">
        <f t="shared" si="11"/>
        <v>#VALUE!</v>
      </c>
      <c r="DQ44" s="61"/>
      <c r="DR44" s="62">
        <f t="shared" si="12"/>
        <v>40943193000</v>
      </c>
      <c r="DS44" s="62">
        <f t="shared" si="13"/>
        <v>-15619516000</v>
      </c>
      <c r="DT44" s="62">
        <f t="shared" si="14"/>
        <v>-18020481000</v>
      </c>
      <c r="DU44" s="62">
        <f t="shared" si="15"/>
        <v>-422517000</v>
      </c>
      <c r="DV44" s="62">
        <f t="shared" si="16"/>
        <v>6880679000</v>
      </c>
      <c r="DW44" s="63">
        <f t="shared" si="17"/>
        <v>0.16805428438373138</v>
      </c>
      <c r="DX44" s="63">
        <f t="shared" si="18"/>
        <v>0.20200150229663025</v>
      </c>
      <c r="DY44" s="64">
        <f t="shared" si="19"/>
        <v>-515711000</v>
      </c>
      <c r="DZ44" s="64">
        <f t="shared" si="20"/>
        <v>3905580000</v>
      </c>
      <c r="EA44" s="64" t="e">
        <f t="shared" si="21"/>
        <v>#VALUE!</v>
      </c>
      <c r="EB44" s="61"/>
      <c r="EC44" s="64">
        <f t="shared" si="22"/>
        <v>36631026000</v>
      </c>
      <c r="ED44" s="64">
        <f t="shared" si="23"/>
        <v>-12980308000</v>
      </c>
      <c r="EE44" s="64">
        <f t="shared" si="24"/>
        <v>-17098679000</v>
      </c>
      <c r="EF44" s="64">
        <f t="shared" si="25"/>
        <v>-435239000</v>
      </c>
      <c r="EG44" s="64">
        <f t="shared" si="26"/>
        <v>6116800000</v>
      </c>
      <c r="EH44" s="63">
        <f t="shared" si="27"/>
        <v>0.16698412979205116</v>
      </c>
      <c r="EI44" s="57">
        <f t="shared" si="28"/>
        <v>0.20045732111966399</v>
      </c>
      <c r="EJ44" s="64">
        <f t="shared" si="29"/>
        <v>-410904000</v>
      </c>
      <c r="EK44" s="64">
        <f t="shared" si="30"/>
        <v>2863254500</v>
      </c>
      <c r="EL44" s="64" t="e">
        <f t="shared" si="31"/>
        <v>#VALUE!</v>
      </c>
      <c r="EM44" s="61"/>
      <c r="EN44" s="66">
        <f t="shared" si="32"/>
        <v>40190175666.666664</v>
      </c>
      <c r="EO44" s="66">
        <f t="shared" si="32"/>
        <v>-15091981666.666666</v>
      </c>
      <c r="EP44" s="66">
        <f t="shared" si="32"/>
        <v>-18309968333.333332</v>
      </c>
      <c r="EQ44" s="66">
        <f t="shared" si="32"/>
        <v>-410792666.66666669</v>
      </c>
      <c r="ER44" s="66">
        <f t="shared" si="33"/>
        <v>6377433000.000001</v>
      </c>
      <c r="ES44" s="63">
        <f t="shared" si="34"/>
        <v>0.15868139151452829</v>
      </c>
      <c r="ET44" s="67">
        <f t="shared" si="35"/>
        <v>0.18861034323273079</v>
      </c>
      <c r="EU44" s="66">
        <f t="shared" si="36"/>
        <v>590597333.33333337</v>
      </c>
      <c r="EV44" s="66">
        <f t="shared" si="37"/>
        <v>3798166000</v>
      </c>
      <c r="EW44" s="66" t="e">
        <f t="shared" si="37"/>
        <v>#VALUE!</v>
      </c>
      <c r="EX44" s="70"/>
      <c r="EY44" s="71" t="str">
        <f t="shared" si="38"/>
        <v>完整</v>
      </c>
      <c r="EZ44" s="71" t="str">
        <f t="shared" si="39"/>
        <v>完整</v>
      </c>
      <c r="FA44" s="71" t="str">
        <f t="shared" si="40"/>
        <v>完整</v>
      </c>
      <c r="FB44" s="71" t="str">
        <f t="shared" si="41"/>
        <v>选择</v>
      </c>
      <c r="FC44" s="71" t="str">
        <f t="shared" si="42"/>
        <v>选择</v>
      </c>
      <c r="FD44" s="72"/>
      <c r="FE44" s="72"/>
      <c r="FF44" s="72"/>
      <c r="FG44" s="72"/>
      <c r="FH44" s="72"/>
      <c r="FI44" s="72"/>
      <c r="FJ44" s="72"/>
      <c r="FK44" s="72"/>
      <c r="FL44" s="72"/>
      <c r="FM44" s="72"/>
      <c r="FN44" s="72"/>
      <c r="FO44" s="72"/>
      <c r="FP44" s="72"/>
      <c r="FQ44" s="72"/>
      <c r="FR44" s="72"/>
      <c r="FS44" s="72"/>
      <c r="FT44" s="72"/>
      <c r="FU44" s="72"/>
      <c r="FV44" s="72"/>
      <c r="FW44" s="72"/>
      <c r="FX44" s="72"/>
      <c r="FY44" s="72"/>
      <c r="FZ44" s="72"/>
      <c r="GA44" s="72"/>
      <c r="GB44" s="72"/>
      <c r="GC44" s="72"/>
      <c r="GD44" s="72"/>
      <c r="GE44" s="72"/>
      <c r="GF44" s="72"/>
      <c r="GG44" s="72"/>
      <c r="GH44" s="72"/>
      <c r="GI44" s="72"/>
      <c r="GJ44" s="72"/>
      <c r="GK44" s="72"/>
      <c r="GL44" s="72"/>
      <c r="GM44" s="72"/>
      <c r="GN44" s="72"/>
      <c r="GO44" s="72"/>
      <c r="GP44" s="72"/>
      <c r="GQ44" s="72"/>
      <c r="GR44" s="72"/>
      <c r="GS44" s="72"/>
      <c r="GT44" s="72"/>
      <c r="GU44" s="72"/>
      <c r="GV44" s="72"/>
      <c r="GW44" s="72"/>
      <c r="GX44" s="72"/>
      <c r="GY44" s="72"/>
      <c r="GZ44" s="72"/>
      <c r="HA44" s="72"/>
      <c r="HB44" s="72"/>
      <c r="HC44" s="72"/>
      <c r="HD44" s="72"/>
      <c r="HE44" s="72"/>
      <c r="HF44" s="72"/>
      <c r="HG44" s="72"/>
      <c r="HH44" s="72"/>
      <c r="HI44" s="72"/>
    </row>
    <row r="45" spans="1:218" s="3" customFormat="1" ht="12.75" customHeight="1" x14ac:dyDescent="0.25">
      <c r="A45" s="28" t="s">
        <v>209</v>
      </c>
      <c r="B45" s="134" t="str">
        <f t="shared" si="0"/>
        <v>ARTNATURE INC</v>
      </c>
      <c r="C45" s="29" t="s">
        <v>328</v>
      </c>
      <c r="D45" s="135" t="s">
        <v>312</v>
      </c>
      <c r="E45" s="29"/>
      <c r="F45" s="135"/>
      <c r="H45" s="31" t="str">
        <f t="shared" si="1"/>
        <v xml:space="preserve"> </v>
      </c>
      <c r="I45" s="29"/>
      <c r="J45" s="29" t="str">
        <f>VLOOKUP(Z:Z,'[1]AP 2022'!FD44:FF181,2,FALSE)</f>
        <v>exclude</v>
      </c>
      <c r="K45" s="47" t="str">
        <f>VLOOKUP(Z:Z,'[1]AP 2022'!FD44:FF181,3,0)</f>
        <v>lev SDA/SDP</v>
      </c>
      <c r="L45" s="48"/>
      <c r="M45" s="125" t="s">
        <v>664</v>
      </c>
      <c r="N45" s="125" t="s">
        <v>665</v>
      </c>
      <c r="O45" s="125" t="s">
        <v>331</v>
      </c>
      <c r="P45" s="125" t="s">
        <v>666</v>
      </c>
      <c r="Q45" s="124"/>
      <c r="R45" s="125" t="s">
        <v>333</v>
      </c>
      <c r="S45" s="125" t="s">
        <v>667</v>
      </c>
      <c r="T45" s="125" t="s">
        <v>335</v>
      </c>
      <c r="U45" s="125" t="s">
        <v>321</v>
      </c>
      <c r="V45" s="125" t="s">
        <v>668</v>
      </c>
      <c r="W45" s="125" t="s">
        <v>669</v>
      </c>
      <c r="X45" s="124"/>
      <c r="Y45" s="124"/>
      <c r="Z45" s="125" t="s">
        <v>670</v>
      </c>
      <c r="AA45" s="128">
        <v>43209000000</v>
      </c>
      <c r="AB45" s="128">
        <v>40437000000</v>
      </c>
      <c r="AC45" s="128">
        <v>35868000000</v>
      </c>
      <c r="AD45" s="128">
        <v>39484000000</v>
      </c>
      <c r="AE45" s="128">
        <v>43209000000</v>
      </c>
      <c r="AF45" s="128">
        <v>40437000000</v>
      </c>
      <c r="AG45" s="128">
        <v>35868000000</v>
      </c>
      <c r="AH45" s="128">
        <v>39484000000</v>
      </c>
      <c r="AI45" s="125" t="s">
        <v>340</v>
      </c>
      <c r="AJ45" s="125" t="s">
        <v>340</v>
      </c>
      <c r="AK45" s="125" t="s">
        <v>340</v>
      </c>
      <c r="AL45" s="125" t="s">
        <v>340</v>
      </c>
      <c r="AM45" s="128">
        <v>43209000000</v>
      </c>
      <c r="AN45" s="128">
        <v>40437000000</v>
      </c>
      <c r="AO45" s="128">
        <v>35868000000</v>
      </c>
      <c r="AP45" s="128">
        <v>39484000000</v>
      </c>
      <c r="AQ45" s="125" t="s">
        <v>340</v>
      </c>
      <c r="AR45" s="125" t="s">
        <v>340</v>
      </c>
      <c r="AS45" s="125" t="s">
        <v>340</v>
      </c>
      <c r="AT45" s="125" t="s">
        <v>340</v>
      </c>
      <c r="AU45" s="128">
        <v>-13887000000</v>
      </c>
      <c r="AV45" s="128">
        <v>-12442000000</v>
      </c>
      <c r="AW45" s="128">
        <v>-11747000000</v>
      </c>
      <c r="AX45" s="128">
        <v>-12181000000</v>
      </c>
      <c r="AY45" s="128">
        <v>-197000000</v>
      </c>
      <c r="AZ45" s="128">
        <v>-156000000</v>
      </c>
      <c r="BA45" s="128">
        <v>-153000000</v>
      </c>
      <c r="BB45" s="128">
        <v>-163000000</v>
      </c>
      <c r="BC45" s="128">
        <v>-24556000000</v>
      </c>
      <c r="BD45" s="128">
        <v>-23736000000</v>
      </c>
      <c r="BE45" s="128">
        <v>-20926000000</v>
      </c>
      <c r="BF45" s="128">
        <v>-23159000000</v>
      </c>
      <c r="BG45" s="128">
        <v>4569000000</v>
      </c>
      <c r="BH45" s="128">
        <v>4103000000</v>
      </c>
      <c r="BI45" s="128">
        <v>3042000000</v>
      </c>
      <c r="BJ45" s="128">
        <v>3981000000</v>
      </c>
      <c r="BK45" s="128">
        <v>-1355000000</v>
      </c>
      <c r="BL45" s="128">
        <v>-1628000000</v>
      </c>
      <c r="BM45" s="128">
        <v>-1468000000</v>
      </c>
      <c r="BN45" s="128">
        <v>-1498000000</v>
      </c>
      <c r="BO45" s="128">
        <v>-1262000000</v>
      </c>
      <c r="BP45" s="128">
        <v>-1260000000</v>
      </c>
      <c r="BQ45" s="128">
        <v>-1296000000</v>
      </c>
      <c r="BR45" s="128">
        <v>-1408000000</v>
      </c>
      <c r="BS45" s="128">
        <v>-93000000</v>
      </c>
      <c r="BT45" s="128">
        <v>-368000000</v>
      </c>
      <c r="BU45" s="128">
        <v>-172000000</v>
      </c>
      <c r="BV45" s="128">
        <v>-90000000</v>
      </c>
      <c r="BW45" s="128">
        <v>1874000000</v>
      </c>
      <c r="BX45" s="128">
        <v>1204000000</v>
      </c>
      <c r="BY45" s="128">
        <v>840000000</v>
      </c>
      <c r="BZ45" s="128">
        <v>1542000000</v>
      </c>
      <c r="CA45" s="128">
        <v>29310000000</v>
      </c>
      <c r="CB45" s="128">
        <v>28021000000</v>
      </c>
      <c r="CC45" s="128">
        <v>26586000000</v>
      </c>
      <c r="CD45" s="128">
        <v>24553000000</v>
      </c>
      <c r="CE45" s="128">
        <v>4946000000</v>
      </c>
      <c r="CF45" s="128">
        <v>4427000000</v>
      </c>
      <c r="CG45" s="128">
        <v>3650000000</v>
      </c>
      <c r="CH45" s="128">
        <v>3550000000</v>
      </c>
      <c r="CI45" s="128">
        <v>3040000000</v>
      </c>
      <c r="CJ45" s="128">
        <v>3061000000</v>
      </c>
      <c r="CK45" s="128">
        <v>2909000000</v>
      </c>
      <c r="CL45" s="128">
        <v>2881000000</v>
      </c>
      <c r="CM45" s="128">
        <v>1119000000</v>
      </c>
      <c r="CN45" s="128">
        <v>964000000</v>
      </c>
      <c r="CO45" s="128">
        <v>932000000</v>
      </c>
      <c r="CP45" s="128">
        <v>1004000000</v>
      </c>
      <c r="CQ45" s="128">
        <v>20205000000</v>
      </c>
      <c r="CR45" s="128">
        <v>19569000000</v>
      </c>
      <c r="CS45" s="128">
        <v>19095000000</v>
      </c>
      <c r="CT45" s="128">
        <v>17118000000</v>
      </c>
      <c r="CU45" s="128">
        <v>25000000</v>
      </c>
      <c r="CV45" s="128">
        <v>23000000</v>
      </c>
      <c r="CW45" s="128">
        <v>22000000</v>
      </c>
      <c r="CX45" s="128">
        <v>22000000</v>
      </c>
      <c r="CY45" s="128">
        <v>3535000000</v>
      </c>
      <c r="CZ45" s="128">
        <v>3190000000</v>
      </c>
      <c r="DA45" s="128">
        <v>3074000000</v>
      </c>
      <c r="DB45" s="128">
        <v>3026000000</v>
      </c>
      <c r="DC45" s="128">
        <v>47956000000</v>
      </c>
      <c r="DD45" s="128">
        <v>46510000000</v>
      </c>
      <c r="DE45" s="128">
        <v>44919000000</v>
      </c>
      <c r="DF45" s="128">
        <v>43163000000</v>
      </c>
      <c r="DG45" s="16">
        <f t="shared" si="2"/>
        <v>43209000000</v>
      </c>
      <c r="DH45" s="16">
        <f t="shared" si="3"/>
        <v>-13887000000</v>
      </c>
      <c r="DI45" s="16">
        <f t="shared" si="4"/>
        <v>-24753000000</v>
      </c>
      <c r="DJ45" s="16">
        <f t="shared" si="5"/>
        <v>-1355000000</v>
      </c>
      <c r="DK45" s="16">
        <f t="shared" si="6"/>
        <v>3214000000</v>
      </c>
      <c r="DL45" s="57">
        <f t="shared" si="7"/>
        <v>7.4382651762364319E-2</v>
      </c>
      <c r="DM45" s="57">
        <f t="shared" si="8"/>
        <v>8.0360045005625699E-2</v>
      </c>
      <c r="DN45" s="58">
        <f t="shared" si="9"/>
        <v>-197000000</v>
      </c>
      <c r="DO45" s="16">
        <f t="shared" si="10"/>
        <v>4686500000</v>
      </c>
      <c r="DP45" s="16">
        <f t="shared" si="11"/>
        <v>3362500000</v>
      </c>
      <c r="DQ45" s="61"/>
      <c r="DR45" s="62">
        <f t="shared" si="12"/>
        <v>40437000000</v>
      </c>
      <c r="DS45" s="62">
        <f t="shared" si="13"/>
        <v>-12442000000</v>
      </c>
      <c r="DT45" s="62">
        <f t="shared" si="14"/>
        <v>-23892000000</v>
      </c>
      <c r="DU45" s="62">
        <f t="shared" si="15"/>
        <v>-1628000000</v>
      </c>
      <c r="DV45" s="62">
        <f t="shared" si="16"/>
        <v>2475000000</v>
      </c>
      <c r="DW45" s="63">
        <f t="shared" si="17"/>
        <v>6.1206320943690183E-2</v>
      </c>
      <c r="DX45" s="63">
        <f t="shared" si="18"/>
        <v>6.5196775723091516E-2</v>
      </c>
      <c r="DY45" s="64">
        <f t="shared" si="19"/>
        <v>-156000000</v>
      </c>
      <c r="DZ45" s="64">
        <f t="shared" si="20"/>
        <v>4038500000</v>
      </c>
      <c r="EA45" s="64">
        <f t="shared" si="21"/>
        <v>3132000000</v>
      </c>
      <c r="EB45" s="61"/>
      <c r="EC45" s="64">
        <f t="shared" si="22"/>
        <v>35868000000</v>
      </c>
      <c r="ED45" s="64">
        <f t="shared" si="23"/>
        <v>-11747000000</v>
      </c>
      <c r="EE45" s="64">
        <f t="shared" si="24"/>
        <v>-21079000000</v>
      </c>
      <c r="EF45" s="64">
        <f t="shared" si="25"/>
        <v>-1468000000</v>
      </c>
      <c r="EG45" s="64">
        <f t="shared" si="26"/>
        <v>1574000000</v>
      </c>
      <c r="EH45" s="63">
        <f t="shared" si="27"/>
        <v>4.3883127021300324E-2</v>
      </c>
      <c r="EI45" s="57">
        <f t="shared" si="28"/>
        <v>4.5897241499970841E-2</v>
      </c>
      <c r="EJ45" s="64">
        <f t="shared" si="29"/>
        <v>-153000000</v>
      </c>
      <c r="EK45" s="64">
        <f t="shared" si="30"/>
        <v>3600000000</v>
      </c>
      <c r="EL45" s="64">
        <f t="shared" si="31"/>
        <v>3050000000</v>
      </c>
      <c r="EM45" s="61"/>
      <c r="EN45" s="66">
        <f t="shared" si="32"/>
        <v>39838000000</v>
      </c>
      <c r="EO45" s="66">
        <f t="shared" si="32"/>
        <v>-12692000000</v>
      </c>
      <c r="EP45" s="66">
        <f t="shared" si="32"/>
        <v>-23241333333.333332</v>
      </c>
      <c r="EQ45" s="66">
        <f t="shared" si="32"/>
        <v>-1483666666.6666667</v>
      </c>
      <c r="ER45" s="66">
        <f t="shared" si="33"/>
        <v>2421000000.000001</v>
      </c>
      <c r="ES45" s="63">
        <f t="shared" si="34"/>
        <v>6.0771123048345824E-2</v>
      </c>
      <c r="ET45" s="67">
        <f t="shared" si="35"/>
        <v>6.4703209770959766E-2</v>
      </c>
      <c r="EU45" s="66">
        <f t="shared" si="36"/>
        <v>168666666.66666666</v>
      </c>
      <c r="EV45" s="66">
        <f t="shared" si="37"/>
        <v>4108333333.3333335</v>
      </c>
      <c r="EW45" s="66">
        <f t="shared" si="37"/>
        <v>3181500000</v>
      </c>
      <c r="EX45" s="70"/>
      <c r="EY45" s="71" t="str">
        <f t="shared" si="38"/>
        <v>完整</v>
      </c>
      <c r="EZ45" s="71" t="str">
        <f t="shared" si="39"/>
        <v>完整</v>
      </c>
      <c r="FA45" s="71" t="str">
        <f t="shared" si="40"/>
        <v>完整</v>
      </c>
      <c r="FB45" s="71" t="str">
        <f t="shared" si="41"/>
        <v>选择</v>
      </c>
      <c r="FC45" s="71" t="str">
        <f t="shared" si="42"/>
        <v>选择</v>
      </c>
      <c r="FD45" s="72"/>
      <c r="FE45" s="72"/>
      <c r="FF45" s="72"/>
      <c r="FG45" s="72"/>
      <c r="FH45" s="72"/>
      <c r="FI45" s="72"/>
      <c r="FJ45" s="72"/>
      <c r="FK45" s="72"/>
      <c r="FL45" s="72"/>
      <c r="FM45" s="72"/>
      <c r="FN45" s="72"/>
      <c r="FO45" s="72"/>
      <c r="FP45" s="72"/>
      <c r="FQ45" s="72"/>
      <c r="FR45" s="72"/>
      <c r="FS45" s="72"/>
      <c r="FT45" s="72"/>
      <c r="FU45" s="72"/>
      <c r="FV45" s="72"/>
      <c r="FW45" s="72"/>
      <c r="FX45" s="72"/>
      <c r="FY45" s="72"/>
      <c r="FZ45" s="72"/>
      <c r="GA45" s="72"/>
      <c r="GB45" s="72"/>
      <c r="GC45" s="72"/>
      <c r="GD45" s="72"/>
      <c r="GE45" s="72"/>
      <c r="GF45" s="72"/>
      <c r="GG45" s="72"/>
      <c r="GH45" s="72"/>
      <c r="GI45" s="72"/>
      <c r="GJ45" s="72"/>
      <c r="GK45" s="72"/>
      <c r="GL45" s="72"/>
      <c r="GM45" s="72"/>
      <c r="GN45" s="72"/>
      <c r="GO45" s="72"/>
      <c r="GP45" s="72"/>
      <c r="GQ45" s="72"/>
      <c r="GR45" s="72"/>
      <c r="GS45" s="72"/>
      <c r="GT45" s="72"/>
      <c r="GU45" s="72"/>
      <c r="GV45" s="72"/>
      <c r="GW45" s="72"/>
      <c r="GX45" s="72"/>
      <c r="GY45" s="72"/>
      <c r="GZ45" s="72"/>
      <c r="HA45" s="72"/>
      <c r="HB45" s="72"/>
      <c r="HC45" s="72"/>
      <c r="HD45" s="72"/>
      <c r="HE45" s="72"/>
      <c r="HF45" s="72"/>
      <c r="HG45" s="72"/>
      <c r="HH45" s="72"/>
      <c r="HI45" s="72"/>
    </row>
    <row r="46" spans="1:218" s="3" customFormat="1" ht="12.75" customHeight="1" x14ac:dyDescent="0.25">
      <c r="A46" s="28" t="s">
        <v>210</v>
      </c>
      <c r="B46" s="134" t="str">
        <f t="shared" si="0"/>
        <v>COLGATE-PALMOLIVE (PAKISTAN) LTD</v>
      </c>
      <c r="C46" s="29" t="s">
        <v>328</v>
      </c>
      <c r="D46" s="136" t="s">
        <v>309</v>
      </c>
      <c r="E46" s="33"/>
      <c r="H46" s="31" t="str">
        <f t="shared" si="1"/>
        <v xml:space="preserve"> </v>
      </c>
      <c r="I46" s="29"/>
      <c r="J46" s="29" t="str">
        <f>VLOOKUP(Z:Z,'[1]AP 2022'!FD45:FF181,2,FALSE)</f>
        <v>exclude</v>
      </c>
      <c r="K46" s="47" t="str">
        <f>VLOOKUP(Z:Z,'[1]AP 2022'!FD45:FF181,3,0)</f>
        <v>Independence(A+, A, A-, U)</v>
      </c>
      <c r="L46" s="48"/>
      <c r="M46" s="125" t="s">
        <v>671</v>
      </c>
      <c r="N46" s="125" t="s">
        <v>672</v>
      </c>
      <c r="O46" s="125" t="s">
        <v>331</v>
      </c>
      <c r="P46" s="125" t="s">
        <v>673</v>
      </c>
      <c r="Q46" s="124"/>
      <c r="R46" s="125" t="s">
        <v>674</v>
      </c>
      <c r="S46" s="125" t="s">
        <v>675</v>
      </c>
      <c r="T46" s="125" t="s">
        <v>365</v>
      </c>
      <c r="U46" s="125" t="s">
        <v>321</v>
      </c>
      <c r="V46" s="125" t="s">
        <v>676</v>
      </c>
      <c r="W46" s="125" t="s">
        <v>677</v>
      </c>
      <c r="X46" s="125" t="s">
        <v>678</v>
      </c>
      <c r="Y46" s="125" t="s">
        <v>679</v>
      </c>
      <c r="Z46" s="125" t="s">
        <v>680</v>
      </c>
      <c r="AA46" s="128">
        <v>62346959000</v>
      </c>
      <c r="AB46" s="128">
        <v>50661043000</v>
      </c>
      <c r="AC46" s="128">
        <v>43600915000</v>
      </c>
      <c r="AD46" s="128">
        <v>37050620000</v>
      </c>
      <c r="AE46" s="128">
        <v>82398332000</v>
      </c>
      <c r="AF46" s="128">
        <v>67567680000</v>
      </c>
      <c r="AG46" s="128">
        <v>57870219000</v>
      </c>
      <c r="AH46" s="128">
        <v>48718781000</v>
      </c>
      <c r="AI46" s="128">
        <v>-20068106000</v>
      </c>
      <c r="AJ46" s="128">
        <v>-17004658000</v>
      </c>
      <c r="AK46" s="128">
        <v>-14339897000</v>
      </c>
      <c r="AL46" s="128">
        <v>-11757739000</v>
      </c>
      <c r="AM46" s="128">
        <v>62330226000</v>
      </c>
      <c r="AN46" s="128">
        <v>50563022000</v>
      </c>
      <c r="AO46" s="128">
        <v>43530322000</v>
      </c>
      <c r="AP46" s="128">
        <v>36961042000</v>
      </c>
      <c r="AQ46" s="128">
        <v>16733000</v>
      </c>
      <c r="AR46" s="128">
        <v>98021000</v>
      </c>
      <c r="AS46" s="128">
        <v>70593000</v>
      </c>
      <c r="AT46" s="128">
        <v>89578000</v>
      </c>
      <c r="AU46" s="128">
        <v>-45514410000</v>
      </c>
      <c r="AV46" s="128">
        <v>-34972242000</v>
      </c>
      <c r="AW46" s="128">
        <v>-30188323000</v>
      </c>
      <c r="AX46" s="128">
        <v>-25710474000</v>
      </c>
      <c r="AY46" s="128">
        <v>0</v>
      </c>
      <c r="AZ46" s="128">
        <v>0</v>
      </c>
      <c r="BA46" s="128">
        <v>0</v>
      </c>
      <c r="BB46" s="128">
        <v>0</v>
      </c>
      <c r="BC46" s="128">
        <v>-8134205000</v>
      </c>
      <c r="BD46" s="128">
        <v>-7522154000</v>
      </c>
      <c r="BE46" s="128">
        <v>-6723134000</v>
      </c>
      <c r="BF46" s="128">
        <v>-6042086000</v>
      </c>
      <c r="BG46" s="128">
        <v>8698344000</v>
      </c>
      <c r="BH46" s="128">
        <v>8166647000</v>
      </c>
      <c r="BI46" s="128">
        <v>6689458000</v>
      </c>
      <c r="BJ46" s="128">
        <v>5298060000</v>
      </c>
      <c r="BK46" s="128">
        <v>-863753000</v>
      </c>
      <c r="BL46" s="128">
        <v>-843562000</v>
      </c>
      <c r="BM46" s="128">
        <v>-811493000</v>
      </c>
      <c r="BN46" s="128">
        <v>-818956000</v>
      </c>
      <c r="BO46" s="128">
        <v>-858596000</v>
      </c>
      <c r="BP46" s="128">
        <v>-834694000</v>
      </c>
      <c r="BQ46" s="128">
        <v>-798100000</v>
      </c>
      <c r="BR46" s="128">
        <v>-806006000</v>
      </c>
      <c r="BS46" s="128">
        <v>-5157000</v>
      </c>
      <c r="BT46" s="128">
        <v>-8868000</v>
      </c>
      <c r="BU46" s="128">
        <v>-13393000</v>
      </c>
      <c r="BV46" s="128">
        <v>-12950000</v>
      </c>
      <c r="BW46" s="128">
        <v>5871580000</v>
      </c>
      <c r="BX46" s="128">
        <v>5676749000</v>
      </c>
      <c r="BY46" s="128">
        <v>4864816000</v>
      </c>
      <c r="BZ46" s="128">
        <v>3510803000</v>
      </c>
      <c r="CA46" s="128">
        <v>25279273000</v>
      </c>
      <c r="CB46" s="128">
        <v>21304813000</v>
      </c>
      <c r="CC46" s="128">
        <v>17337687000</v>
      </c>
      <c r="CD46" s="128">
        <v>14751657000</v>
      </c>
      <c r="CE46" s="128">
        <v>13551123000</v>
      </c>
      <c r="CF46" s="128">
        <v>7667874000</v>
      </c>
      <c r="CG46" s="128">
        <v>6522511000</v>
      </c>
      <c r="CH46" s="128">
        <v>5242567000</v>
      </c>
      <c r="CI46" s="128">
        <v>1407106000</v>
      </c>
      <c r="CJ46" s="128">
        <v>1155879000</v>
      </c>
      <c r="CK46" s="128">
        <v>837141000</v>
      </c>
      <c r="CL46" s="128">
        <v>749509000</v>
      </c>
      <c r="CM46" s="128">
        <v>498892000</v>
      </c>
      <c r="CN46" s="128">
        <v>335134000</v>
      </c>
      <c r="CO46" s="128">
        <v>487157000</v>
      </c>
      <c r="CP46" s="128">
        <v>254356000</v>
      </c>
      <c r="CQ46" s="128">
        <v>9445024000</v>
      </c>
      <c r="CR46" s="128">
        <v>12003356000</v>
      </c>
      <c r="CS46" s="128">
        <v>8370243000</v>
      </c>
      <c r="CT46" s="128">
        <v>6760918000</v>
      </c>
      <c r="CU46" s="128">
        <v>6543716000</v>
      </c>
      <c r="CV46" s="128">
        <v>9881592000</v>
      </c>
      <c r="CW46" s="128">
        <v>6030408000</v>
      </c>
      <c r="CX46" s="128">
        <v>5546618000</v>
      </c>
      <c r="CY46" s="128">
        <v>1935356000</v>
      </c>
      <c r="CZ46" s="128">
        <v>3608953000</v>
      </c>
      <c r="DA46" s="128">
        <v>2274915000</v>
      </c>
      <c r="DB46" s="128">
        <v>1310628000</v>
      </c>
      <c r="DC46" s="128">
        <v>33005165000</v>
      </c>
      <c r="DD46" s="128">
        <v>28138659000</v>
      </c>
      <c r="DE46" s="128">
        <v>22508614000</v>
      </c>
      <c r="DF46" s="128">
        <v>18995435000</v>
      </c>
      <c r="DG46" s="16">
        <f t="shared" si="2"/>
        <v>62330226000</v>
      </c>
      <c r="DH46" s="16">
        <f t="shared" si="3"/>
        <v>-45514410000</v>
      </c>
      <c r="DI46" s="16">
        <f t="shared" si="4"/>
        <v>-8134205000</v>
      </c>
      <c r="DJ46" s="16">
        <f t="shared" si="5"/>
        <v>-863753000</v>
      </c>
      <c r="DK46" s="16">
        <f t="shared" si="6"/>
        <v>7817858000</v>
      </c>
      <c r="DL46" s="57">
        <f t="shared" si="7"/>
        <v>0.12542643435947112</v>
      </c>
      <c r="DM46" s="57">
        <f t="shared" si="8"/>
        <v>0.14341438992340233</v>
      </c>
      <c r="DN46" s="58">
        <f t="shared" si="9"/>
        <v>0</v>
      </c>
      <c r="DO46" s="16">
        <f t="shared" si="10"/>
        <v>10609498500</v>
      </c>
      <c r="DP46" s="16">
        <f t="shared" si="11"/>
        <v>2772154500</v>
      </c>
      <c r="DQ46" s="61"/>
      <c r="DR46" s="62">
        <f t="shared" si="12"/>
        <v>50563022000</v>
      </c>
      <c r="DS46" s="62">
        <f t="shared" si="13"/>
        <v>-34972242000</v>
      </c>
      <c r="DT46" s="62">
        <f t="shared" si="14"/>
        <v>-7522154000</v>
      </c>
      <c r="DU46" s="62">
        <f t="shared" si="15"/>
        <v>-843562000</v>
      </c>
      <c r="DV46" s="62">
        <f t="shared" si="16"/>
        <v>7225064000</v>
      </c>
      <c r="DW46" s="63">
        <f t="shared" si="17"/>
        <v>0.14289225038804049</v>
      </c>
      <c r="DX46" s="63">
        <f t="shared" si="18"/>
        <v>0.16671445387436112</v>
      </c>
      <c r="DY46" s="64">
        <f t="shared" si="19"/>
        <v>0</v>
      </c>
      <c r="DZ46" s="64">
        <f t="shared" si="20"/>
        <v>7095192500</v>
      </c>
      <c r="EA46" s="64">
        <f t="shared" si="21"/>
        <v>2941934000</v>
      </c>
      <c r="EB46" s="61"/>
      <c r="EC46" s="64">
        <f t="shared" si="22"/>
        <v>43530322000</v>
      </c>
      <c r="ED46" s="64">
        <f t="shared" si="23"/>
        <v>-30188323000</v>
      </c>
      <c r="EE46" s="64">
        <f t="shared" si="24"/>
        <v>-6723134000</v>
      </c>
      <c r="EF46" s="64">
        <f t="shared" si="25"/>
        <v>-811493000</v>
      </c>
      <c r="EG46" s="64">
        <f t="shared" si="26"/>
        <v>5807372000</v>
      </c>
      <c r="EH46" s="63">
        <f t="shared" si="27"/>
        <v>0.13340981029269666</v>
      </c>
      <c r="EI46" s="57">
        <f t="shared" si="28"/>
        <v>0.15394798126869716</v>
      </c>
      <c r="EJ46" s="64">
        <f t="shared" si="29"/>
        <v>0</v>
      </c>
      <c r="EK46" s="64">
        <f t="shared" si="30"/>
        <v>5882539000</v>
      </c>
      <c r="EL46" s="64">
        <f t="shared" si="31"/>
        <v>1792771500</v>
      </c>
      <c r="EM46" s="61"/>
      <c r="EN46" s="66">
        <f t="shared" si="32"/>
        <v>52141190000</v>
      </c>
      <c r="EO46" s="66">
        <f t="shared" si="32"/>
        <v>-36891658333.333336</v>
      </c>
      <c r="EP46" s="66">
        <f t="shared" si="32"/>
        <v>-7459831000</v>
      </c>
      <c r="EQ46" s="66">
        <f t="shared" si="32"/>
        <v>-839602666.66666663</v>
      </c>
      <c r="ER46" s="66">
        <f t="shared" si="33"/>
        <v>6950097999.9999971</v>
      </c>
      <c r="ES46" s="63">
        <f t="shared" si="34"/>
        <v>0.1332938124350441</v>
      </c>
      <c r="ET46" s="67">
        <f t="shared" si="35"/>
        <v>0.15379353966485246</v>
      </c>
      <c r="EU46" s="66">
        <f t="shared" si="36"/>
        <v>0</v>
      </c>
      <c r="EV46" s="66">
        <f t="shared" si="37"/>
        <v>7862410000</v>
      </c>
      <c r="EW46" s="66">
        <f t="shared" si="37"/>
        <v>2502286666.6666665</v>
      </c>
      <c r="EX46" s="70"/>
      <c r="EY46" s="71" t="str">
        <f t="shared" si="38"/>
        <v>完整</v>
      </c>
      <c r="EZ46" s="71" t="str">
        <f t="shared" si="39"/>
        <v>完整</v>
      </c>
      <c r="FA46" s="71" t="str">
        <f t="shared" si="40"/>
        <v>完整</v>
      </c>
      <c r="FB46" s="71" t="str">
        <f t="shared" si="41"/>
        <v>选择</v>
      </c>
      <c r="FC46" s="71" t="str">
        <f t="shared" si="42"/>
        <v>选择</v>
      </c>
    </row>
    <row r="47" spans="1:218" s="3" customFormat="1" ht="12.75" customHeight="1" x14ac:dyDescent="0.25">
      <c r="A47" s="28" t="s">
        <v>211</v>
      </c>
      <c r="B47" s="134" t="str">
        <f t="shared" si="0"/>
        <v>COSMECCA KOREA CO.,LTD.</v>
      </c>
      <c r="C47" s="29" t="s">
        <v>328</v>
      </c>
      <c r="D47" s="136" t="s">
        <v>309</v>
      </c>
      <c r="E47" s="33"/>
      <c r="F47" s="34"/>
      <c r="H47" s="31" t="str">
        <f t="shared" si="1"/>
        <v xml:space="preserve"> </v>
      </c>
      <c r="I47" s="29"/>
      <c r="J47" s="29" t="str">
        <f>VLOOKUP(Z:Z,'[1]AP 2022'!FD46:FF181,2,FALSE)</f>
        <v>exclude</v>
      </c>
      <c r="K47" s="47" t="str">
        <f>VLOOKUP(Z:Z,'[1]AP 2022'!FD46:FF181,3,0)</f>
        <v>Independence(A+, A, A-, U)</v>
      </c>
      <c r="L47" s="48"/>
      <c r="M47" s="125" t="s">
        <v>681</v>
      </c>
      <c r="N47" s="125" t="s">
        <v>682</v>
      </c>
      <c r="O47" s="125" t="s">
        <v>331</v>
      </c>
      <c r="P47" s="125" t="s">
        <v>683</v>
      </c>
      <c r="Q47" s="124"/>
      <c r="R47" s="125" t="s">
        <v>363</v>
      </c>
      <c r="S47" s="125" t="s">
        <v>684</v>
      </c>
      <c r="T47" s="125" t="s">
        <v>365</v>
      </c>
      <c r="U47" s="125" t="s">
        <v>321</v>
      </c>
      <c r="V47" s="125" t="s">
        <v>685</v>
      </c>
      <c r="W47" s="125" t="s">
        <v>686</v>
      </c>
      <c r="X47" s="124"/>
      <c r="Y47" s="124"/>
      <c r="Z47" s="125" t="s">
        <v>687</v>
      </c>
      <c r="AA47" s="128">
        <v>399399238000</v>
      </c>
      <c r="AB47" s="128">
        <v>396465786000</v>
      </c>
      <c r="AC47" s="128">
        <v>339055734000</v>
      </c>
      <c r="AD47" s="128">
        <v>347017988000</v>
      </c>
      <c r="AE47" s="128">
        <v>399399238000</v>
      </c>
      <c r="AF47" s="128">
        <v>396465786000</v>
      </c>
      <c r="AG47" s="128">
        <v>339055734000</v>
      </c>
      <c r="AH47" s="128">
        <v>347017988000</v>
      </c>
      <c r="AI47" s="125" t="s">
        <v>340</v>
      </c>
      <c r="AJ47" s="125" t="s">
        <v>340</v>
      </c>
      <c r="AK47" s="125" t="s">
        <v>340</v>
      </c>
      <c r="AL47" s="125" t="s">
        <v>340</v>
      </c>
      <c r="AM47" s="128">
        <v>399399238000</v>
      </c>
      <c r="AN47" s="128">
        <v>396465786000</v>
      </c>
      <c r="AO47" s="128">
        <v>339055734000</v>
      </c>
      <c r="AP47" s="128">
        <v>347017988000</v>
      </c>
      <c r="AQ47" s="125" t="s">
        <v>340</v>
      </c>
      <c r="AR47" s="125" t="s">
        <v>340</v>
      </c>
      <c r="AS47" s="125" t="s">
        <v>340</v>
      </c>
      <c r="AT47" s="125" t="s">
        <v>340</v>
      </c>
      <c r="AU47" s="128">
        <v>-334315544000</v>
      </c>
      <c r="AV47" s="128">
        <v>-323726024000</v>
      </c>
      <c r="AW47" s="128">
        <v>-278273582000</v>
      </c>
      <c r="AX47" s="128">
        <v>-283335084000</v>
      </c>
      <c r="AY47" s="128">
        <v>-13628467000</v>
      </c>
      <c r="AZ47" s="128">
        <v>-11792565000</v>
      </c>
      <c r="BA47" s="128">
        <v>-11094197000</v>
      </c>
      <c r="BB47" s="128">
        <v>-9746712000</v>
      </c>
      <c r="BC47" s="128">
        <v>-35847277000</v>
      </c>
      <c r="BD47" s="128">
        <v>-35799993000</v>
      </c>
      <c r="BE47" s="128">
        <v>-34452235000</v>
      </c>
      <c r="BF47" s="128">
        <v>-38392057000</v>
      </c>
      <c r="BG47" s="128">
        <v>15607950000</v>
      </c>
      <c r="BH47" s="128">
        <v>25147204000</v>
      </c>
      <c r="BI47" s="128">
        <v>15235720000</v>
      </c>
      <c r="BJ47" s="128">
        <v>15544135000</v>
      </c>
      <c r="BK47" s="128">
        <v>-5240513000</v>
      </c>
      <c r="BL47" s="128">
        <v>-5045513000</v>
      </c>
      <c r="BM47" s="128">
        <v>-5333121000</v>
      </c>
      <c r="BN47" s="128">
        <v>-7277099000</v>
      </c>
      <c r="BO47" s="128">
        <v>-2323969000</v>
      </c>
      <c r="BP47" s="128">
        <v>-2197269000</v>
      </c>
      <c r="BQ47" s="128">
        <v>-2600980000</v>
      </c>
      <c r="BR47" s="128">
        <v>-2706626000</v>
      </c>
      <c r="BS47" s="128">
        <v>-2916544000</v>
      </c>
      <c r="BT47" s="128">
        <v>-2848244000</v>
      </c>
      <c r="BU47" s="128">
        <v>-2732141000</v>
      </c>
      <c r="BV47" s="128">
        <v>-4570473000</v>
      </c>
      <c r="BW47" s="128">
        <v>2656042000</v>
      </c>
      <c r="BX47" s="128">
        <v>8904077000</v>
      </c>
      <c r="BY47" s="128">
        <v>2621759000</v>
      </c>
      <c r="BZ47" s="128">
        <v>4865586000</v>
      </c>
      <c r="CA47" s="128">
        <v>186758079000</v>
      </c>
      <c r="CB47" s="128">
        <v>183733559000</v>
      </c>
      <c r="CC47" s="128">
        <v>149800287000</v>
      </c>
      <c r="CD47" s="128">
        <v>138459672000</v>
      </c>
      <c r="CE47" s="128">
        <v>71176259000</v>
      </c>
      <c r="CF47" s="128">
        <v>66958658000</v>
      </c>
      <c r="CG47" s="128">
        <v>59782866000</v>
      </c>
      <c r="CH47" s="128">
        <v>49253904000</v>
      </c>
      <c r="CI47" s="128">
        <v>83156800000</v>
      </c>
      <c r="CJ47" s="128">
        <v>78546841000</v>
      </c>
      <c r="CK47" s="128">
        <v>53427782000</v>
      </c>
      <c r="CL47" s="128">
        <v>57662376000</v>
      </c>
      <c r="CM47" s="128">
        <v>926044000</v>
      </c>
      <c r="CN47" s="128">
        <v>1047507000</v>
      </c>
      <c r="CO47" s="128">
        <v>2009773000</v>
      </c>
      <c r="CP47" s="128">
        <v>11115332000</v>
      </c>
      <c r="CQ47" s="128">
        <v>26017634000</v>
      </c>
      <c r="CR47" s="128">
        <v>30097012000</v>
      </c>
      <c r="CS47" s="128">
        <v>31435596000</v>
      </c>
      <c r="CT47" s="128">
        <v>15586748000</v>
      </c>
      <c r="CU47" s="125" t="s">
        <v>340</v>
      </c>
      <c r="CV47" s="125" t="s">
        <v>340</v>
      </c>
      <c r="CW47" s="125" t="s">
        <v>340</v>
      </c>
      <c r="CX47" s="125" t="s">
        <v>340</v>
      </c>
      <c r="CY47" s="128">
        <v>16857820000</v>
      </c>
      <c r="CZ47" s="128">
        <v>12096292000</v>
      </c>
      <c r="DA47" s="128">
        <v>10493642000</v>
      </c>
      <c r="DB47" s="128">
        <v>20644063000</v>
      </c>
      <c r="DC47" s="128">
        <v>392755634000</v>
      </c>
      <c r="DD47" s="128">
        <v>391569471000</v>
      </c>
      <c r="DE47" s="128">
        <v>358963343000</v>
      </c>
      <c r="DF47" s="128">
        <v>350909520000</v>
      </c>
      <c r="DG47" s="16">
        <f t="shared" si="2"/>
        <v>399399238000</v>
      </c>
      <c r="DH47" s="16">
        <f t="shared" si="3"/>
        <v>-334315544000</v>
      </c>
      <c r="DI47" s="16">
        <f t="shared" si="4"/>
        <v>-49475744000</v>
      </c>
      <c r="DJ47" s="16">
        <f t="shared" si="5"/>
        <v>-5240513000</v>
      </c>
      <c r="DK47" s="16">
        <f t="shared" si="6"/>
        <v>10367437000</v>
      </c>
      <c r="DL47" s="57">
        <f t="shared" si="7"/>
        <v>2.5957578316661685E-2</v>
      </c>
      <c r="DM47" s="57">
        <f t="shared" si="8"/>
        <v>2.6649330397542487E-2</v>
      </c>
      <c r="DN47" s="58">
        <f t="shared" si="9"/>
        <v>-13628467000</v>
      </c>
      <c r="DO47" s="16">
        <f t="shared" si="10"/>
        <v>69067458500</v>
      </c>
      <c r="DP47" s="16">
        <f t="shared" si="11"/>
        <v>14477056000</v>
      </c>
      <c r="DQ47" s="61"/>
      <c r="DR47" s="62">
        <f t="shared" si="12"/>
        <v>396465786000</v>
      </c>
      <c r="DS47" s="62">
        <f t="shared" si="13"/>
        <v>-323726024000</v>
      </c>
      <c r="DT47" s="62">
        <f t="shared" si="14"/>
        <v>-47592558000</v>
      </c>
      <c r="DU47" s="62">
        <f t="shared" si="15"/>
        <v>-5045513000</v>
      </c>
      <c r="DV47" s="62">
        <f t="shared" si="16"/>
        <v>20101691000</v>
      </c>
      <c r="DW47" s="63">
        <f t="shared" si="17"/>
        <v>5.0702208639007249E-2</v>
      </c>
      <c r="DX47" s="63">
        <f t="shared" si="18"/>
        <v>5.3410225010969765E-2</v>
      </c>
      <c r="DY47" s="64">
        <f t="shared" si="19"/>
        <v>-11792565000</v>
      </c>
      <c r="DZ47" s="64">
        <f t="shared" si="20"/>
        <v>63370762000</v>
      </c>
      <c r="EA47" s="64">
        <f t="shared" si="21"/>
        <v>11294967000</v>
      </c>
      <c r="EB47" s="61"/>
      <c r="EC47" s="64">
        <f t="shared" si="22"/>
        <v>339055734000</v>
      </c>
      <c r="ED47" s="64">
        <f t="shared" si="23"/>
        <v>-278273582000</v>
      </c>
      <c r="EE47" s="64">
        <f t="shared" si="24"/>
        <v>-45546432000</v>
      </c>
      <c r="EF47" s="64">
        <f t="shared" si="25"/>
        <v>-5333121000</v>
      </c>
      <c r="EG47" s="64">
        <f t="shared" si="26"/>
        <v>9902599000</v>
      </c>
      <c r="EH47" s="63">
        <f t="shared" si="27"/>
        <v>2.9206404749963614E-2</v>
      </c>
      <c r="EI47" s="57">
        <f t="shared" si="28"/>
        <v>3.0085081826730892E-2</v>
      </c>
      <c r="EJ47" s="64">
        <f t="shared" si="29"/>
        <v>-11094197000</v>
      </c>
      <c r="EK47" s="64">
        <f t="shared" si="30"/>
        <v>54518385000</v>
      </c>
      <c r="EL47" s="64">
        <f t="shared" si="31"/>
        <v>15568852500</v>
      </c>
      <c r="EM47" s="61"/>
      <c r="EN47" s="66">
        <f t="shared" si="32"/>
        <v>378306919333.33331</v>
      </c>
      <c r="EO47" s="66">
        <f t="shared" si="32"/>
        <v>-312105050000</v>
      </c>
      <c r="EP47" s="66">
        <f t="shared" si="32"/>
        <v>-47538244666.666664</v>
      </c>
      <c r="EQ47" s="66">
        <f t="shared" si="32"/>
        <v>-5206382333.333333</v>
      </c>
      <c r="ER47" s="66">
        <f t="shared" si="33"/>
        <v>13457242333.333317</v>
      </c>
      <c r="ES47" s="63">
        <f t="shared" si="34"/>
        <v>3.5572287065349414E-2</v>
      </c>
      <c r="ET47" s="67">
        <f t="shared" si="35"/>
        <v>3.6884347668843673E-2</v>
      </c>
      <c r="EU47" s="66">
        <f t="shared" si="36"/>
        <v>12171743000</v>
      </c>
      <c r="EV47" s="66">
        <f t="shared" si="37"/>
        <v>62318868500</v>
      </c>
      <c r="EW47" s="66">
        <f t="shared" si="37"/>
        <v>13780291833.333334</v>
      </c>
      <c r="EX47" s="70"/>
      <c r="EY47" s="71" t="str">
        <f t="shared" si="38"/>
        <v>完整</v>
      </c>
      <c r="EZ47" s="71" t="str">
        <f t="shared" si="39"/>
        <v>完整</v>
      </c>
      <c r="FA47" s="71" t="str">
        <f t="shared" si="40"/>
        <v>完整</v>
      </c>
      <c r="FB47" s="71" t="str">
        <f t="shared" si="41"/>
        <v>选择</v>
      </c>
      <c r="FC47" s="71" t="str">
        <f t="shared" si="42"/>
        <v>选择</v>
      </c>
      <c r="FD47" s="72"/>
      <c r="FE47" s="72"/>
      <c r="FF47" s="72"/>
      <c r="FG47" s="72"/>
      <c r="FH47" s="72"/>
      <c r="FI47" s="72"/>
      <c r="FJ47" s="72"/>
      <c r="FK47" s="72"/>
      <c r="FL47" s="72"/>
      <c r="FM47" s="72"/>
      <c r="FN47" s="72"/>
      <c r="FO47" s="72"/>
      <c r="FP47" s="72"/>
      <c r="FQ47" s="72"/>
      <c r="FR47" s="72"/>
      <c r="FS47" s="72"/>
      <c r="FT47" s="72"/>
      <c r="FU47" s="72"/>
      <c r="FV47" s="72"/>
      <c r="FW47" s="72"/>
      <c r="FX47" s="72"/>
      <c r="FY47" s="72"/>
      <c r="FZ47" s="72"/>
      <c r="GA47" s="72"/>
      <c r="GB47" s="72"/>
      <c r="GC47" s="72"/>
      <c r="GD47" s="72"/>
      <c r="GE47" s="72"/>
      <c r="GF47" s="72"/>
      <c r="GG47" s="72"/>
      <c r="GH47" s="72"/>
      <c r="GI47" s="72"/>
      <c r="GJ47" s="72"/>
      <c r="GK47" s="72"/>
      <c r="GL47" s="72"/>
      <c r="GM47" s="72"/>
      <c r="GN47" s="72"/>
      <c r="GO47" s="72"/>
      <c r="GP47" s="72"/>
      <c r="GQ47" s="72"/>
      <c r="GR47" s="72"/>
      <c r="GS47" s="72"/>
      <c r="GT47" s="72"/>
      <c r="GU47" s="72"/>
      <c r="GV47" s="72"/>
      <c r="GW47" s="72"/>
      <c r="GX47" s="72"/>
      <c r="GY47" s="72"/>
      <c r="GZ47" s="72"/>
      <c r="HA47" s="72"/>
      <c r="HB47" s="72"/>
      <c r="HC47" s="72"/>
      <c r="HD47" s="72"/>
      <c r="HE47" s="72"/>
      <c r="HF47" s="72"/>
      <c r="HG47" s="72"/>
      <c r="HH47" s="72"/>
      <c r="HI47" s="72"/>
    </row>
    <row r="48" spans="1:218" s="3" customFormat="1" ht="12.75" customHeight="1" x14ac:dyDescent="0.25">
      <c r="A48" s="28" t="s">
        <v>212</v>
      </c>
      <c r="B48" s="134" t="str">
        <f t="shared" si="0"/>
        <v>JYOTHY LABS LIMITED</v>
      </c>
      <c r="C48" s="29" t="s">
        <v>328</v>
      </c>
      <c r="D48" s="136" t="s">
        <v>309</v>
      </c>
      <c r="E48" s="33"/>
      <c r="F48" s="34"/>
      <c r="H48" s="31" t="str">
        <f t="shared" si="1"/>
        <v xml:space="preserve"> </v>
      </c>
      <c r="I48" s="29"/>
      <c r="J48" s="29" t="str">
        <f>VLOOKUP(Z:Z,'[1]AP 2022'!FD47:FF181,2,FALSE)</f>
        <v>exclude</v>
      </c>
      <c r="K48" s="47" t="str">
        <f>VLOOKUP(Z:Z,'[1]AP 2022'!FD47:FF181,3,0)</f>
        <v>Independence(A+, A, A-, U)</v>
      </c>
      <c r="L48" s="48"/>
      <c r="M48" s="125" t="s">
        <v>688</v>
      </c>
      <c r="N48" s="125" t="s">
        <v>689</v>
      </c>
      <c r="O48" s="125" t="s">
        <v>381</v>
      </c>
      <c r="P48" s="125" t="s">
        <v>690</v>
      </c>
      <c r="Q48" s="124"/>
      <c r="R48" s="125" t="s">
        <v>353</v>
      </c>
      <c r="S48" s="125" t="s">
        <v>691</v>
      </c>
      <c r="T48" s="125" t="s">
        <v>365</v>
      </c>
      <c r="U48" s="125" t="s">
        <v>315</v>
      </c>
      <c r="V48" s="125" t="s">
        <v>692</v>
      </c>
      <c r="W48" s="125" t="s">
        <v>693</v>
      </c>
      <c r="X48" s="125" t="s">
        <v>694</v>
      </c>
      <c r="Y48" s="124"/>
      <c r="Z48" s="125" t="s">
        <v>695</v>
      </c>
      <c r="AA48" s="128">
        <v>24980274000</v>
      </c>
      <c r="AB48" s="128">
        <v>22075626000</v>
      </c>
      <c r="AC48" s="128">
        <v>19222002000</v>
      </c>
      <c r="AD48" s="128">
        <v>17247173000</v>
      </c>
      <c r="AE48" s="128">
        <v>24841762000</v>
      </c>
      <c r="AF48" s="128">
        <v>21950990000</v>
      </c>
      <c r="AG48" s="128">
        <v>19079824000</v>
      </c>
      <c r="AH48" s="128">
        <v>17097229000</v>
      </c>
      <c r="AI48" s="125" t="s">
        <v>340</v>
      </c>
      <c r="AJ48" s="125" t="s">
        <v>340</v>
      </c>
      <c r="AK48" s="125" t="s">
        <v>340</v>
      </c>
      <c r="AL48" s="125" t="s">
        <v>340</v>
      </c>
      <c r="AM48" s="128">
        <v>24841762000</v>
      </c>
      <c r="AN48" s="128">
        <v>21950990000</v>
      </c>
      <c r="AO48" s="128">
        <v>19079824000</v>
      </c>
      <c r="AP48" s="128">
        <v>17097229000</v>
      </c>
      <c r="AQ48" s="128">
        <v>138512000</v>
      </c>
      <c r="AR48" s="128">
        <v>124636000</v>
      </c>
      <c r="AS48" s="128">
        <v>142178000</v>
      </c>
      <c r="AT48" s="128">
        <v>149944000</v>
      </c>
      <c r="AU48" s="128">
        <v>-14416014000</v>
      </c>
      <c r="AV48" s="128">
        <v>-12887152000</v>
      </c>
      <c r="AW48" s="128">
        <v>-10155903000</v>
      </c>
      <c r="AX48" s="128">
        <v>-9056336000</v>
      </c>
      <c r="AY48" s="128">
        <v>0</v>
      </c>
      <c r="AZ48" s="128">
        <v>0</v>
      </c>
      <c r="BA48" s="128">
        <v>0</v>
      </c>
      <c r="BB48" s="128">
        <v>0</v>
      </c>
      <c r="BC48" s="128">
        <v>-7285469000</v>
      </c>
      <c r="BD48" s="128">
        <v>-6593371000</v>
      </c>
      <c r="BE48" s="128">
        <v>-5834678000</v>
      </c>
      <c r="BF48" s="128">
        <v>-5540027000</v>
      </c>
      <c r="BG48" s="128">
        <v>3278791000</v>
      </c>
      <c r="BH48" s="128">
        <v>2595103000</v>
      </c>
      <c r="BI48" s="128">
        <v>3231421000</v>
      </c>
      <c r="BJ48" s="128">
        <v>2650810000</v>
      </c>
      <c r="BK48" s="128">
        <v>-501232000</v>
      </c>
      <c r="BL48" s="128">
        <v>-581672000</v>
      </c>
      <c r="BM48" s="128">
        <v>-555881000</v>
      </c>
      <c r="BN48" s="128">
        <v>-529194000</v>
      </c>
      <c r="BO48" s="128">
        <v>-490777000</v>
      </c>
      <c r="BP48" s="128">
        <v>-569086000</v>
      </c>
      <c r="BQ48" s="128">
        <v>-542130000</v>
      </c>
      <c r="BR48" s="128">
        <v>-517111000</v>
      </c>
      <c r="BS48" s="128">
        <v>-10455000</v>
      </c>
      <c r="BT48" s="128">
        <v>-12586000</v>
      </c>
      <c r="BU48" s="128">
        <v>-13751000</v>
      </c>
      <c r="BV48" s="128">
        <v>-12083000</v>
      </c>
      <c r="BW48" s="128">
        <v>2397210000</v>
      </c>
      <c r="BX48" s="128">
        <v>1619735000</v>
      </c>
      <c r="BY48" s="128">
        <v>1994496000</v>
      </c>
      <c r="BZ48" s="128">
        <v>1703421000</v>
      </c>
      <c r="CA48" s="128">
        <v>7751467000</v>
      </c>
      <c r="CB48" s="128">
        <v>7241424000</v>
      </c>
      <c r="CC48" s="128">
        <v>6247952000</v>
      </c>
      <c r="CD48" s="128">
        <v>4487141000</v>
      </c>
      <c r="CE48" s="128">
        <v>3018626000</v>
      </c>
      <c r="CF48" s="128">
        <v>2972262000</v>
      </c>
      <c r="CG48" s="128">
        <v>2786398000</v>
      </c>
      <c r="CH48" s="128">
        <v>2250678000</v>
      </c>
      <c r="CI48" s="128">
        <v>1378150000</v>
      </c>
      <c r="CJ48" s="128">
        <v>1430839000</v>
      </c>
      <c r="CK48" s="128">
        <v>943484000</v>
      </c>
      <c r="CL48" s="128">
        <v>1223841000</v>
      </c>
      <c r="CM48" s="128">
        <v>317966000</v>
      </c>
      <c r="CN48" s="128">
        <v>523429000</v>
      </c>
      <c r="CO48" s="128">
        <v>401551000</v>
      </c>
      <c r="CP48" s="128">
        <v>511558000</v>
      </c>
      <c r="CQ48" s="128">
        <v>2834690000</v>
      </c>
      <c r="CR48" s="128">
        <v>2112006000</v>
      </c>
      <c r="CS48" s="128">
        <v>1938313000</v>
      </c>
      <c r="CT48" s="128">
        <v>289426000</v>
      </c>
      <c r="CU48" s="125" t="s">
        <v>340</v>
      </c>
      <c r="CV48" s="125" t="s">
        <v>340</v>
      </c>
      <c r="CW48" s="125" t="s">
        <v>340</v>
      </c>
      <c r="CX48" s="125" t="s">
        <v>340</v>
      </c>
      <c r="CY48" s="128">
        <v>399346000</v>
      </c>
      <c r="CZ48" s="128">
        <v>303554000</v>
      </c>
      <c r="DA48" s="128">
        <v>303151000</v>
      </c>
      <c r="DB48" s="128">
        <v>426240000</v>
      </c>
      <c r="DC48" s="128">
        <v>20617122000</v>
      </c>
      <c r="DD48" s="128">
        <v>20227811000</v>
      </c>
      <c r="DE48" s="128">
        <v>19559938000</v>
      </c>
      <c r="DF48" s="128">
        <v>18361905000</v>
      </c>
      <c r="DG48" s="16">
        <f t="shared" si="2"/>
        <v>24841762000</v>
      </c>
      <c r="DH48" s="16">
        <f t="shared" si="3"/>
        <v>-14416014000</v>
      </c>
      <c r="DI48" s="16">
        <f t="shared" si="4"/>
        <v>-7285469000</v>
      </c>
      <c r="DJ48" s="16">
        <f t="shared" si="5"/>
        <v>-501232000</v>
      </c>
      <c r="DK48" s="16">
        <f t="shared" si="6"/>
        <v>2639047000</v>
      </c>
      <c r="DL48" s="57">
        <f t="shared" si="7"/>
        <v>0.10623429207638331</v>
      </c>
      <c r="DM48" s="57">
        <f t="shared" si="8"/>
        <v>0.11886145455634592</v>
      </c>
      <c r="DN48" s="58">
        <f t="shared" si="9"/>
        <v>0</v>
      </c>
      <c r="DO48" s="16">
        <f t="shared" si="10"/>
        <v>2995444000</v>
      </c>
      <c r="DP48" s="16">
        <f t="shared" si="11"/>
        <v>351450000</v>
      </c>
      <c r="DQ48" s="61"/>
      <c r="DR48" s="62">
        <f t="shared" si="12"/>
        <v>21950990000</v>
      </c>
      <c r="DS48" s="62">
        <f t="shared" si="13"/>
        <v>-12887152000</v>
      </c>
      <c r="DT48" s="62">
        <f t="shared" si="14"/>
        <v>-6593371000</v>
      </c>
      <c r="DU48" s="62">
        <f t="shared" si="15"/>
        <v>-581672000</v>
      </c>
      <c r="DV48" s="62">
        <f t="shared" si="16"/>
        <v>1888795000</v>
      </c>
      <c r="DW48" s="63">
        <f t="shared" si="17"/>
        <v>8.6046005214343413E-2</v>
      </c>
      <c r="DX48" s="63">
        <f t="shared" si="18"/>
        <v>9.4146976440015656E-2</v>
      </c>
      <c r="DY48" s="64">
        <f t="shared" si="19"/>
        <v>0</v>
      </c>
      <c r="DZ48" s="64">
        <f t="shared" si="20"/>
        <v>2879330000</v>
      </c>
      <c r="EA48" s="64">
        <f t="shared" si="21"/>
        <v>303352500</v>
      </c>
      <c r="EB48" s="61"/>
      <c r="EC48" s="64">
        <f t="shared" si="22"/>
        <v>19079824000</v>
      </c>
      <c r="ED48" s="64">
        <f t="shared" si="23"/>
        <v>-10155903000</v>
      </c>
      <c r="EE48" s="64">
        <f t="shared" si="24"/>
        <v>-5834678000</v>
      </c>
      <c r="EF48" s="64">
        <f t="shared" si="25"/>
        <v>-555881000</v>
      </c>
      <c r="EG48" s="64">
        <f t="shared" si="26"/>
        <v>2533362000</v>
      </c>
      <c r="EH48" s="63">
        <f t="shared" si="27"/>
        <v>0.13277701094098143</v>
      </c>
      <c r="EI48" s="57">
        <f t="shared" si="28"/>
        <v>0.15310596307536922</v>
      </c>
      <c r="EJ48" s="64">
        <f t="shared" si="29"/>
        <v>0</v>
      </c>
      <c r="EK48" s="64">
        <f t="shared" si="30"/>
        <v>2518538000</v>
      </c>
      <c r="EL48" s="64">
        <f t="shared" si="31"/>
        <v>364695500</v>
      </c>
      <c r="EM48" s="61"/>
      <c r="EN48" s="66">
        <f t="shared" si="32"/>
        <v>21957525333.333332</v>
      </c>
      <c r="EO48" s="66">
        <f t="shared" si="32"/>
        <v>-12486356333.333334</v>
      </c>
      <c r="EP48" s="66">
        <f t="shared" si="32"/>
        <v>-6571172666.666667</v>
      </c>
      <c r="EQ48" s="66">
        <f t="shared" si="32"/>
        <v>-546261666.66666663</v>
      </c>
      <c r="ER48" s="66">
        <f t="shared" si="33"/>
        <v>2353734666.6666646</v>
      </c>
      <c r="ES48" s="63">
        <f t="shared" si="34"/>
        <v>0.10719489700843025</v>
      </c>
      <c r="ET48" s="67">
        <f t="shared" si="35"/>
        <v>0.12006528261234908</v>
      </c>
      <c r="EU48" s="66">
        <f t="shared" si="36"/>
        <v>0</v>
      </c>
      <c r="EV48" s="66">
        <f t="shared" si="37"/>
        <v>2797770666.6666665</v>
      </c>
      <c r="EW48" s="66">
        <f t="shared" si="37"/>
        <v>339832666.66666669</v>
      </c>
      <c r="EX48" s="70"/>
      <c r="EY48" s="71" t="str">
        <f t="shared" si="38"/>
        <v>完整</v>
      </c>
      <c r="EZ48" s="71" t="str">
        <f t="shared" si="39"/>
        <v>完整</v>
      </c>
      <c r="FA48" s="71" t="str">
        <f t="shared" si="40"/>
        <v>完整</v>
      </c>
      <c r="FB48" s="71" t="str">
        <f t="shared" si="41"/>
        <v>选择</v>
      </c>
      <c r="FC48" s="71" t="str">
        <f t="shared" si="42"/>
        <v>选择</v>
      </c>
      <c r="FD48" s="72"/>
      <c r="FE48" s="72"/>
      <c r="FF48" s="72"/>
      <c r="FG48" s="72"/>
      <c r="FH48" s="72"/>
      <c r="FI48" s="72"/>
      <c r="FJ48" s="72"/>
      <c r="FK48" s="72"/>
      <c r="FL48" s="72"/>
      <c r="FM48" s="72"/>
      <c r="FN48" s="72"/>
      <c r="FO48" s="72"/>
      <c r="FP48" s="72"/>
      <c r="FQ48" s="72"/>
      <c r="FR48" s="72"/>
      <c r="FS48" s="72"/>
      <c r="FT48" s="72"/>
      <c r="FU48" s="72"/>
      <c r="FV48" s="72"/>
      <c r="FW48" s="72"/>
      <c r="FX48" s="72"/>
      <c r="FY48" s="72"/>
      <c r="FZ48" s="72"/>
      <c r="GA48" s="72"/>
      <c r="GB48" s="72"/>
      <c r="GC48" s="72"/>
      <c r="GD48" s="72"/>
      <c r="GE48" s="72"/>
      <c r="GF48" s="72"/>
      <c r="GG48" s="72"/>
      <c r="GH48" s="72"/>
      <c r="GI48" s="72"/>
      <c r="GJ48" s="72"/>
      <c r="GK48" s="72"/>
      <c r="GL48" s="72"/>
      <c r="GM48" s="72"/>
      <c r="GN48" s="72"/>
      <c r="GO48" s="72"/>
      <c r="GP48" s="72"/>
      <c r="GQ48" s="72"/>
      <c r="GR48" s="72"/>
      <c r="GS48" s="72"/>
      <c r="GT48" s="72"/>
      <c r="GU48" s="72"/>
      <c r="GV48" s="72"/>
      <c r="GW48" s="72"/>
      <c r="GX48" s="72"/>
      <c r="GY48" s="72"/>
      <c r="GZ48" s="72"/>
      <c r="HA48" s="72"/>
      <c r="HB48" s="72"/>
      <c r="HC48" s="72"/>
      <c r="HD48" s="72"/>
      <c r="HE48" s="72"/>
      <c r="HF48" s="72"/>
      <c r="HG48" s="72"/>
      <c r="HH48" s="72"/>
      <c r="HI48" s="72"/>
    </row>
    <row r="49" spans="1:218" s="3" customFormat="1" ht="12.75" customHeight="1" x14ac:dyDescent="0.25">
      <c r="A49" s="28" t="s">
        <v>213</v>
      </c>
      <c r="B49" s="134" t="str">
        <f t="shared" si="0"/>
        <v>SOFT99CORPORATION</v>
      </c>
      <c r="C49" s="29" t="s">
        <v>328</v>
      </c>
      <c r="D49" s="135" t="s">
        <v>312</v>
      </c>
      <c r="E49" s="29"/>
      <c r="F49" s="135"/>
      <c r="H49" s="31" t="str">
        <f t="shared" si="1"/>
        <v xml:space="preserve"> </v>
      </c>
      <c r="I49" s="29"/>
      <c r="J49" s="29" t="str">
        <f>VLOOKUP(Z:Z,'[1]AP 2022'!FD48:FF181,2,FALSE)</f>
        <v>exclude</v>
      </c>
      <c r="K49" s="47" t="str">
        <f>VLOOKUP(Z:Z,'[1]AP 2022'!FD48:FF181,3,0)</f>
        <v>lev SDA/SDP</v>
      </c>
      <c r="L49" s="48"/>
      <c r="M49" s="125" t="s">
        <v>696</v>
      </c>
      <c r="N49" s="125" t="s">
        <v>697</v>
      </c>
      <c r="O49" s="125" t="s">
        <v>331</v>
      </c>
      <c r="P49" s="125" t="s">
        <v>698</v>
      </c>
      <c r="Q49" s="124"/>
      <c r="R49" s="125" t="s">
        <v>333</v>
      </c>
      <c r="S49" s="125" t="s">
        <v>699</v>
      </c>
      <c r="T49" s="125" t="s">
        <v>335</v>
      </c>
      <c r="U49" s="125" t="s">
        <v>317</v>
      </c>
      <c r="V49" s="125" t="s">
        <v>700</v>
      </c>
      <c r="W49" s="125" t="s">
        <v>701</v>
      </c>
      <c r="X49" s="124"/>
      <c r="Y49" s="124"/>
      <c r="Z49" s="125" t="s">
        <v>702</v>
      </c>
      <c r="AA49" s="128">
        <v>30170498000</v>
      </c>
      <c r="AB49" s="128">
        <v>28435638000</v>
      </c>
      <c r="AC49" s="128">
        <v>26802707000</v>
      </c>
      <c r="AD49" s="128">
        <v>24434278000</v>
      </c>
      <c r="AE49" s="128">
        <v>30170498000</v>
      </c>
      <c r="AF49" s="128">
        <v>28435638000</v>
      </c>
      <c r="AG49" s="128">
        <v>26802707000</v>
      </c>
      <c r="AH49" s="128">
        <v>24434278000</v>
      </c>
      <c r="AI49" s="125" t="s">
        <v>340</v>
      </c>
      <c r="AJ49" s="125" t="s">
        <v>340</v>
      </c>
      <c r="AK49" s="125" t="s">
        <v>340</v>
      </c>
      <c r="AL49" s="125" t="s">
        <v>340</v>
      </c>
      <c r="AM49" s="128">
        <v>30170498000</v>
      </c>
      <c r="AN49" s="128">
        <v>28435638000</v>
      </c>
      <c r="AO49" s="128">
        <v>26802707000</v>
      </c>
      <c r="AP49" s="128">
        <v>24434278000</v>
      </c>
      <c r="AQ49" s="125" t="s">
        <v>340</v>
      </c>
      <c r="AR49" s="125" t="s">
        <v>340</v>
      </c>
      <c r="AS49" s="125" t="s">
        <v>340</v>
      </c>
      <c r="AT49" s="125" t="s">
        <v>340</v>
      </c>
      <c r="AU49" s="128">
        <v>-18788123000</v>
      </c>
      <c r="AV49" s="128">
        <v>-16756702000</v>
      </c>
      <c r="AW49" s="128">
        <v>-16177849000</v>
      </c>
      <c r="AX49" s="128">
        <v>-14876283000</v>
      </c>
      <c r="AY49" s="128">
        <v>-609460000</v>
      </c>
      <c r="AZ49" s="128">
        <v>-651204000</v>
      </c>
      <c r="BA49" s="128">
        <v>-570976000</v>
      </c>
      <c r="BB49" s="128">
        <v>-573833000</v>
      </c>
      <c r="BC49" s="128">
        <v>-6570920000</v>
      </c>
      <c r="BD49" s="128">
        <v>-6359274000</v>
      </c>
      <c r="BE49" s="128">
        <v>-5986274000</v>
      </c>
      <c r="BF49" s="128">
        <v>-5760482000</v>
      </c>
      <c r="BG49" s="128">
        <v>4201995000</v>
      </c>
      <c r="BH49" s="128">
        <v>4668458000</v>
      </c>
      <c r="BI49" s="128">
        <v>4067608000</v>
      </c>
      <c r="BJ49" s="128">
        <v>3223680000</v>
      </c>
      <c r="BK49" s="128">
        <v>-1298764000</v>
      </c>
      <c r="BL49" s="128">
        <v>-919281000</v>
      </c>
      <c r="BM49" s="128">
        <v>-2087138000</v>
      </c>
      <c r="BN49" s="128">
        <v>-810598000</v>
      </c>
      <c r="BO49" s="128">
        <v>-1156024000</v>
      </c>
      <c r="BP49" s="128">
        <v>-776541000</v>
      </c>
      <c r="BQ49" s="128">
        <v>-2012893000</v>
      </c>
      <c r="BR49" s="128">
        <v>-799264000</v>
      </c>
      <c r="BS49" s="128">
        <v>-142740000</v>
      </c>
      <c r="BT49" s="128">
        <v>-142740000</v>
      </c>
      <c r="BU49" s="128">
        <v>-74245000</v>
      </c>
      <c r="BV49" s="128">
        <v>-11334000</v>
      </c>
      <c r="BW49" s="128">
        <v>2063803000</v>
      </c>
      <c r="BX49" s="128">
        <v>2755473000</v>
      </c>
      <c r="BY49" s="128">
        <v>1539988000</v>
      </c>
      <c r="BZ49" s="128">
        <v>1824141000</v>
      </c>
      <c r="CA49" s="128">
        <v>29990964000</v>
      </c>
      <c r="CB49" s="128">
        <v>29330996000</v>
      </c>
      <c r="CC49" s="128">
        <v>27950249000</v>
      </c>
      <c r="CD49" s="128">
        <v>25725363000</v>
      </c>
      <c r="CE49" s="128">
        <v>4364678000</v>
      </c>
      <c r="CF49" s="128">
        <v>3988176000</v>
      </c>
      <c r="CG49" s="128">
        <v>3436907000</v>
      </c>
      <c r="CH49" s="128">
        <v>3333950000</v>
      </c>
      <c r="CI49" s="128">
        <v>4588115000</v>
      </c>
      <c r="CJ49" s="128">
        <v>4412368000</v>
      </c>
      <c r="CK49" s="128">
        <v>4512043000</v>
      </c>
      <c r="CL49" s="128">
        <v>3700355000</v>
      </c>
      <c r="CM49" s="128">
        <v>913718000</v>
      </c>
      <c r="CN49" s="128">
        <v>432863000</v>
      </c>
      <c r="CO49" s="128">
        <v>229600000</v>
      </c>
      <c r="CP49" s="128">
        <v>215514000</v>
      </c>
      <c r="CQ49" s="128">
        <v>20124453000</v>
      </c>
      <c r="CR49" s="128">
        <v>20497589000</v>
      </c>
      <c r="CS49" s="128">
        <v>19771699000</v>
      </c>
      <c r="CT49" s="128">
        <v>18475544000</v>
      </c>
      <c r="CU49" s="125" t="s">
        <v>340</v>
      </c>
      <c r="CV49" s="128">
        <v>300160000</v>
      </c>
      <c r="CW49" s="128">
        <v>601457000</v>
      </c>
      <c r="CX49" s="128">
        <v>200549000</v>
      </c>
      <c r="CY49" s="125" t="s">
        <v>340</v>
      </c>
      <c r="CZ49" s="125" t="s">
        <v>340</v>
      </c>
      <c r="DA49" s="125" t="s">
        <v>340</v>
      </c>
      <c r="DB49" s="128">
        <v>2076554000</v>
      </c>
      <c r="DC49" s="128">
        <v>60377314000</v>
      </c>
      <c r="DD49" s="128">
        <v>59231129000</v>
      </c>
      <c r="DE49" s="128">
        <v>57286291000</v>
      </c>
      <c r="DF49" s="128">
        <v>55255234000</v>
      </c>
      <c r="DG49" s="16">
        <f t="shared" si="2"/>
        <v>30170498000</v>
      </c>
      <c r="DH49" s="16">
        <f t="shared" si="3"/>
        <v>-18788123000</v>
      </c>
      <c r="DI49" s="16">
        <f t="shared" si="4"/>
        <v>-7180380000</v>
      </c>
      <c r="DJ49" s="16">
        <f t="shared" si="5"/>
        <v>-1298764000</v>
      </c>
      <c r="DK49" s="16">
        <f t="shared" si="6"/>
        <v>2903231000</v>
      </c>
      <c r="DL49" s="57">
        <f t="shared" si="7"/>
        <v>9.6227480235825072E-2</v>
      </c>
      <c r="DM49" s="57">
        <f t="shared" si="8"/>
        <v>0.10647312031675195</v>
      </c>
      <c r="DN49" s="58">
        <f t="shared" si="9"/>
        <v>-609460000</v>
      </c>
      <c r="DO49" s="16">
        <f t="shared" si="10"/>
        <v>4176427000</v>
      </c>
      <c r="DP49" s="16" t="e">
        <f t="shared" si="11"/>
        <v>#VALUE!</v>
      </c>
      <c r="DQ49" s="61"/>
      <c r="DR49" s="62">
        <f t="shared" si="12"/>
        <v>28435638000</v>
      </c>
      <c r="DS49" s="62">
        <f t="shared" si="13"/>
        <v>-16756702000</v>
      </c>
      <c r="DT49" s="62">
        <f t="shared" si="14"/>
        <v>-7010478000</v>
      </c>
      <c r="DU49" s="62">
        <f t="shared" si="15"/>
        <v>-919281000</v>
      </c>
      <c r="DV49" s="62">
        <f t="shared" si="16"/>
        <v>3749177000</v>
      </c>
      <c r="DW49" s="63">
        <f t="shared" si="17"/>
        <v>0.13184782419863411</v>
      </c>
      <c r="DX49" s="63">
        <f t="shared" si="18"/>
        <v>0.15187178915600741</v>
      </c>
      <c r="DY49" s="64">
        <f t="shared" si="19"/>
        <v>-651204000</v>
      </c>
      <c r="DZ49" s="64">
        <f t="shared" si="20"/>
        <v>3712541500</v>
      </c>
      <c r="EA49" s="64" t="e">
        <f t="shared" si="21"/>
        <v>#VALUE!</v>
      </c>
      <c r="EB49" s="61"/>
      <c r="EC49" s="64">
        <f t="shared" si="22"/>
        <v>26802707000</v>
      </c>
      <c r="ED49" s="64">
        <f t="shared" si="23"/>
        <v>-16177849000</v>
      </c>
      <c r="EE49" s="64">
        <f t="shared" si="24"/>
        <v>-6557250000</v>
      </c>
      <c r="EF49" s="64">
        <f t="shared" si="25"/>
        <v>-2087138000</v>
      </c>
      <c r="EG49" s="64">
        <f t="shared" si="26"/>
        <v>1980470000</v>
      </c>
      <c r="EH49" s="63">
        <f t="shared" si="27"/>
        <v>7.3890670819182561E-2</v>
      </c>
      <c r="EI49" s="57">
        <f t="shared" si="28"/>
        <v>7.9786120807725749E-2</v>
      </c>
      <c r="EJ49" s="64">
        <f t="shared" si="29"/>
        <v>-570976000</v>
      </c>
      <c r="EK49" s="64">
        <f t="shared" si="30"/>
        <v>3385428500</v>
      </c>
      <c r="EL49" s="64" t="e">
        <f t="shared" si="31"/>
        <v>#VALUE!</v>
      </c>
      <c r="EM49" s="61"/>
      <c r="EN49" s="66">
        <f t="shared" si="32"/>
        <v>28469614333.333332</v>
      </c>
      <c r="EO49" s="66">
        <f t="shared" si="32"/>
        <v>-17240891333.333332</v>
      </c>
      <c r="EP49" s="66">
        <f t="shared" si="32"/>
        <v>-6916036000</v>
      </c>
      <c r="EQ49" s="66">
        <f t="shared" si="32"/>
        <v>-1435061000</v>
      </c>
      <c r="ER49" s="66">
        <f t="shared" si="33"/>
        <v>2877626000</v>
      </c>
      <c r="ES49" s="63">
        <f t="shared" si="34"/>
        <v>0.10107709807051245</v>
      </c>
      <c r="ET49" s="67">
        <f t="shared" si="35"/>
        <v>0.11244245513553623</v>
      </c>
      <c r="EU49" s="66">
        <f t="shared" si="36"/>
        <v>610546666.66666663</v>
      </c>
      <c r="EV49" s="66">
        <f t="shared" si="37"/>
        <v>3758132333.3333335</v>
      </c>
      <c r="EW49" s="66" t="e">
        <f t="shared" si="37"/>
        <v>#VALUE!</v>
      </c>
      <c r="EX49" s="70"/>
      <c r="EY49" s="71" t="str">
        <f t="shared" si="38"/>
        <v>完整</v>
      </c>
      <c r="EZ49" s="71" t="str">
        <f t="shared" si="39"/>
        <v>完整</v>
      </c>
      <c r="FA49" s="71" t="str">
        <f t="shared" si="40"/>
        <v>完整</v>
      </c>
      <c r="FB49" s="71" t="str">
        <f t="shared" si="41"/>
        <v>选择</v>
      </c>
      <c r="FC49" s="71" t="str">
        <f t="shared" si="42"/>
        <v>选择</v>
      </c>
    </row>
    <row r="50" spans="1:218" s="3" customFormat="1" ht="12.75" customHeight="1" x14ac:dyDescent="0.25">
      <c r="A50" s="28" t="s">
        <v>214</v>
      </c>
      <c r="B50" s="134" t="str">
        <f t="shared" si="0"/>
        <v>CLIO COSMETICS CO.,LTD.</v>
      </c>
      <c r="C50" s="29" t="s">
        <v>328</v>
      </c>
      <c r="D50" s="136" t="s">
        <v>309</v>
      </c>
      <c r="E50" s="33"/>
      <c r="F50" s="34"/>
      <c r="H50" s="31" t="str">
        <f t="shared" si="1"/>
        <v xml:space="preserve"> </v>
      </c>
      <c r="I50" s="29"/>
      <c r="J50" s="29" t="str">
        <f>VLOOKUP(Z:Z,'[1]AP 2022'!FD49:FF181,2,FALSE)</f>
        <v>exclude</v>
      </c>
      <c r="K50" s="47" t="str">
        <f>VLOOKUP(Z:Z,'[1]AP 2022'!FD49:FF181,3,0)</f>
        <v>Independence(A+, A, A-, U)</v>
      </c>
      <c r="L50" s="48"/>
      <c r="M50" s="125" t="s">
        <v>703</v>
      </c>
      <c r="N50" s="125" t="s">
        <v>704</v>
      </c>
      <c r="O50" s="125" t="s">
        <v>331</v>
      </c>
      <c r="P50" s="125" t="s">
        <v>705</v>
      </c>
      <c r="Q50" s="124"/>
      <c r="R50" s="125" t="s">
        <v>363</v>
      </c>
      <c r="S50" s="125" t="s">
        <v>706</v>
      </c>
      <c r="T50" s="125" t="s">
        <v>365</v>
      </c>
      <c r="U50" s="125" t="s">
        <v>321</v>
      </c>
      <c r="V50" s="125" t="s">
        <v>620</v>
      </c>
      <c r="W50" s="125" t="s">
        <v>707</v>
      </c>
      <c r="X50" s="125" t="s">
        <v>708</v>
      </c>
      <c r="Y50" s="124"/>
      <c r="Z50" s="125" t="s">
        <v>709</v>
      </c>
      <c r="AA50" s="128">
        <v>272455447000</v>
      </c>
      <c r="AB50" s="128">
        <v>232744015000</v>
      </c>
      <c r="AC50" s="128">
        <v>218215953000</v>
      </c>
      <c r="AD50" s="128">
        <v>250382613000</v>
      </c>
      <c r="AE50" s="128">
        <v>272455447000</v>
      </c>
      <c r="AF50" s="128">
        <v>232744015000</v>
      </c>
      <c r="AG50" s="128">
        <v>218215953000</v>
      </c>
      <c r="AH50" s="128">
        <v>250382613000</v>
      </c>
      <c r="AI50" s="125" t="s">
        <v>340</v>
      </c>
      <c r="AJ50" s="125" t="s">
        <v>340</v>
      </c>
      <c r="AK50" s="125" t="s">
        <v>340</v>
      </c>
      <c r="AL50" s="125" t="s">
        <v>340</v>
      </c>
      <c r="AM50" s="128">
        <v>272455447000</v>
      </c>
      <c r="AN50" s="128">
        <v>232744015000</v>
      </c>
      <c r="AO50" s="128">
        <v>218215953000</v>
      </c>
      <c r="AP50" s="128">
        <v>250382613000</v>
      </c>
      <c r="AQ50" s="125" t="s">
        <v>340</v>
      </c>
      <c r="AR50" s="125" t="s">
        <v>340</v>
      </c>
      <c r="AS50" s="125" t="s">
        <v>340</v>
      </c>
      <c r="AT50" s="125" t="s">
        <v>340</v>
      </c>
      <c r="AU50" s="128">
        <v>-137615936000</v>
      </c>
      <c r="AV50" s="128">
        <v>-120397746000</v>
      </c>
      <c r="AW50" s="128">
        <v>-106397367000</v>
      </c>
      <c r="AX50" s="128">
        <v>-113675085000</v>
      </c>
      <c r="AY50" s="128">
        <v>-4949483000</v>
      </c>
      <c r="AZ50" s="128">
        <v>-4492039000</v>
      </c>
      <c r="BA50" s="128">
        <v>-4190797000</v>
      </c>
      <c r="BB50" s="128">
        <v>-4455264000</v>
      </c>
      <c r="BC50" s="128">
        <v>-108867914000</v>
      </c>
      <c r="BD50" s="128">
        <v>-88371710000</v>
      </c>
      <c r="BE50" s="128">
        <v>-89885813000</v>
      </c>
      <c r="BF50" s="128">
        <v>-101187860000</v>
      </c>
      <c r="BG50" s="128">
        <v>21022114000</v>
      </c>
      <c r="BH50" s="128">
        <v>19482520000</v>
      </c>
      <c r="BI50" s="128">
        <v>17741976000</v>
      </c>
      <c r="BJ50" s="128">
        <v>31064404000</v>
      </c>
      <c r="BK50" s="128">
        <v>-3139784000</v>
      </c>
      <c r="BL50" s="128">
        <v>-5579653000</v>
      </c>
      <c r="BM50" s="128">
        <v>-11513619000</v>
      </c>
      <c r="BN50" s="128">
        <v>-12465881000</v>
      </c>
      <c r="BO50" s="128">
        <v>-2790384000</v>
      </c>
      <c r="BP50" s="128">
        <v>-5229617000</v>
      </c>
      <c r="BQ50" s="128">
        <v>-11234988000</v>
      </c>
      <c r="BR50" s="128">
        <v>-12169585000</v>
      </c>
      <c r="BS50" s="128">
        <v>-349400000</v>
      </c>
      <c r="BT50" s="128">
        <v>-350036000</v>
      </c>
      <c r="BU50" s="128">
        <v>-278631000</v>
      </c>
      <c r="BV50" s="128">
        <v>-296296000</v>
      </c>
      <c r="BW50" s="128">
        <v>10128871000</v>
      </c>
      <c r="BX50" s="128">
        <v>9267371000</v>
      </c>
      <c r="BY50" s="128">
        <v>9585394000</v>
      </c>
      <c r="BZ50" s="128">
        <v>2942265000</v>
      </c>
      <c r="CA50" s="128">
        <v>129713677000</v>
      </c>
      <c r="CB50" s="128">
        <v>131190260000</v>
      </c>
      <c r="CC50" s="128">
        <v>114392079000</v>
      </c>
      <c r="CD50" s="128">
        <v>140657411000</v>
      </c>
      <c r="CE50" s="128">
        <v>18636477000</v>
      </c>
      <c r="CF50" s="128">
        <v>20869709000</v>
      </c>
      <c r="CG50" s="128">
        <v>22709713000</v>
      </c>
      <c r="CH50" s="128">
        <v>23727211000</v>
      </c>
      <c r="CI50" s="128">
        <v>15151414000</v>
      </c>
      <c r="CJ50" s="128">
        <v>16756990000</v>
      </c>
      <c r="CK50" s="128">
        <v>25444733000</v>
      </c>
      <c r="CL50" s="128">
        <v>25806054000</v>
      </c>
      <c r="CM50" s="128">
        <v>2891235000</v>
      </c>
      <c r="CN50" s="128">
        <v>4997747000</v>
      </c>
      <c r="CO50" s="128">
        <v>8337018000</v>
      </c>
      <c r="CP50" s="128">
        <v>5359322000</v>
      </c>
      <c r="CQ50" s="128">
        <v>91090891000</v>
      </c>
      <c r="CR50" s="128">
        <v>87247493000</v>
      </c>
      <c r="CS50" s="128">
        <v>55201410000</v>
      </c>
      <c r="CT50" s="128">
        <v>83411530000</v>
      </c>
      <c r="CU50" s="128">
        <v>46969550000</v>
      </c>
      <c r="CV50" s="128">
        <v>61054345000</v>
      </c>
      <c r="CW50" s="128">
        <v>24350200000</v>
      </c>
      <c r="CX50" s="128">
        <v>57677017000</v>
      </c>
      <c r="CY50" s="128">
        <v>2845608000</v>
      </c>
      <c r="CZ50" s="128">
        <v>5953746000</v>
      </c>
      <c r="DA50" s="128">
        <v>3114383000</v>
      </c>
      <c r="DB50" s="128">
        <v>766289000</v>
      </c>
      <c r="DC50" s="128">
        <v>243885492000</v>
      </c>
      <c r="DD50" s="128">
        <v>234228417000</v>
      </c>
      <c r="DE50" s="128">
        <v>215007844000</v>
      </c>
      <c r="DF50" s="128">
        <v>236650518000</v>
      </c>
      <c r="DG50" s="16">
        <f t="shared" si="2"/>
        <v>272455447000</v>
      </c>
      <c r="DH50" s="16">
        <f t="shared" si="3"/>
        <v>-137615936000</v>
      </c>
      <c r="DI50" s="16">
        <f t="shared" si="4"/>
        <v>-113817397000</v>
      </c>
      <c r="DJ50" s="16">
        <f t="shared" si="5"/>
        <v>-3139784000</v>
      </c>
      <c r="DK50" s="16">
        <f t="shared" si="6"/>
        <v>17882330000</v>
      </c>
      <c r="DL50" s="57">
        <f t="shared" si="7"/>
        <v>6.5633960329668145E-2</v>
      </c>
      <c r="DM50" s="57">
        <f t="shared" si="8"/>
        <v>7.0244376981879048E-2</v>
      </c>
      <c r="DN50" s="58">
        <f t="shared" si="9"/>
        <v>-4949483000</v>
      </c>
      <c r="DO50" s="16">
        <f t="shared" si="10"/>
        <v>19753093000</v>
      </c>
      <c r="DP50" s="16">
        <f t="shared" si="11"/>
        <v>4399677000</v>
      </c>
      <c r="DQ50" s="61"/>
      <c r="DR50" s="62">
        <f t="shared" si="12"/>
        <v>232744015000</v>
      </c>
      <c r="DS50" s="62">
        <f t="shared" si="13"/>
        <v>-120397746000</v>
      </c>
      <c r="DT50" s="62">
        <f t="shared" si="14"/>
        <v>-92863749000</v>
      </c>
      <c r="DU50" s="62">
        <f t="shared" si="15"/>
        <v>-5579653000</v>
      </c>
      <c r="DV50" s="62">
        <f t="shared" si="16"/>
        <v>13902867000</v>
      </c>
      <c r="DW50" s="63">
        <f t="shared" si="17"/>
        <v>5.9734584367292967E-2</v>
      </c>
      <c r="DX50" s="63">
        <f t="shared" si="18"/>
        <v>6.3529492177586272E-2</v>
      </c>
      <c r="DY50" s="64">
        <f t="shared" si="19"/>
        <v>-4492039000</v>
      </c>
      <c r="DZ50" s="64">
        <f t="shared" si="20"/>
        <v>21789711000</v>
      </c>
      <c r="EA50" s="64">
        <f t="shared" si="21"/>
        <v>4534064500</v>
      </c>
      <c r="EB50" s="61"/>
      <c r="EC50" s="64">
        <f t="shared" si="22"/>
        <v>218215953000</v>
      </c>
      <c r="ED50" s="64">
        <f t="shared" si="23"/>
        <v>-106397367000</v>
      </c>
      <c r="EE50" s="64">
        <f t="shared" si="24"/>
        <v>-94076610000</v>
      </c>
      <c r="EF50" s="64">
        <f t="shared" si="25"/>
        <v>-11513619000</v>
      </c>
      <c r="EG50" s="64">
        <f t="shared" si="26"/>
        <v>6228357000</v>
      </c>
      <c r="EH50" s="63">
        <f t="shared" si="27"/>
        <v>2.8542170791701925E-2</v>
      </c>
      <c r="EI50" s="57">
        <f t="shared" si="28"/>
        <v>2.9380761504555201E-2</v>
      </c>
      <c r="EJ50" s="64">
        <f t="shared" si="29"/>
        <v>-4190797000</v>
      </c>
      <c r="EK50" s="64">
        <f t="shared" si="30"/>
        <v>23218462000</v>
      </c>
      <c r="EL50" s="64">
        <f t="shared" si="31"/>
        <v>1940336000</v>
      </c>
      <c r="EM50" s="61"/>
      <c r="EN50" s="66">
        <f t="shared" si="32"/>
        <v>241138471666.66666</v>
      </c>
      <c r="EO50" s="66">
        <f t="shared" si="32"/>
        <v>-121470349666.66667</v>
      </c>
      <c r="EP50" s="66">
        <f t="shared" si="32"/>
        <v>-100252585333.33333</v>
      </c>
      <c r="EQ50" s="66">
        <f t="shared" si="32"/>
        <v>-6744352000</v>
      </c>
      <c r="ER50" s="66">
        <f t="shared" si="33"/>
        <v>12671184666.666656</v>
      </c>
      <c r="ES50" s="63">
        <f t="shared" si="34"/>
        <v>5.2547337548785815E-2</v>
      </c>
      <c r="ET50" s="67">
        <f t="shared" si="35"/>
        <v>5.5461702342824493E-2</v>
      </c>
      <c r="EU50" s="66">
        <f t="shared" si="36"/>
        <v>4544106333.333333</v>
      </c>
      <c r="EV50" s="66">
        <f t="shared" si="37"/>
        <v>21587088666.666668</v>
      </c>
      <c r="EW50" s="66">
        <f t="shared" si="37"/>
        <v>3624692500</v>
      </c>
      <c r="EX50" s="70"/>
      <c r="EY50" s="71" t="str">
        <f t="shared" si="38"/>
        <v>完整</v>
      </c>
      <c r="EZ50" s="71" t="str">
        <f t="shared" si="39"/>
        <v>完整</v>
      </c>
      <c r="FA50" s="71" t="str">
        <f t="shared" si="40"/>
        <v>完整</v>
      </c>
      <c r="FB50" s="71" t="str">
        <f t="shared" si="41"/>
        <v>选择</v>
      </c>
      <c r="FC50" s="71" t="str">
        <f t="shared" si="42"/>
        <v>选择</v>
      </c>
      <c r="FD50" s="72"/>
      <c r="FE50" s="72"/>
      <c r="FF50" s="72"/>
      <c r="FG50" s="72"/>
      <c r="FH50" s="72"/>
      <c r="FI50" s="72"/>
      <c r="FJ50" s="72"/>
      <c r="FK50" s="72"/>
      <c r="FL50" s="72"/>
      <c r="FM50" s="72"/>
      <c r="FN50" s="72"/>
      <c r="FO50" s="72"/>
      <c r="FP50" s="72"/>
      <c r="FQ50" s="72"/>
      <c r="FR50" s="72"/>
      <c r="FS50" s="72"/>
      <c r="FT50" s="72"/>
      <c r="FU50" s="72"/>
      <c r="FV50" s="72"/>
      <c r="FW50" s="72"/>
      <c r="FX50" s="72"/>
      <c r="FY50" s="72"/>
      <c r="FZ50" s="72"/>
      <c r="GA50" s="72"/>
      <c r="GB50" s="72"/>
      <c r="GC50" s="72"/>
      <c r="GD50" s="72"/>
      <c r="GE50" s="72"/>
      <c r="GF50" s="72"/>
      <c r="GG50" s="72"/>
      <c r="GH50" s="72"/>
      <c r="GI50" s="72"/>
      <c r="GJ50" s="72"/>
      <c r="GK50" s="72"/>
      <c r="GL50" s="72"/>
      <c r="GM50" s="72"/>
      <c r="GN50" s="72"/>
      <c r="GO50" s="72"/>
      <c r="GP50" s="72"/>
      <c r="GQ50" s="72"/>
      <c r="GR50" s="72"/>
      <c r="GS50" s="72"/>
      <c r="GT50" s="72"/>
      <c r="GU50" s="72"/>
      <c r="GV50" s="72"/>
      <c r="GW50" s="72"/>
      <c r="GX50" s="72"/>
      <c r="GY50" s="72"/>
      <c r="GZ50" s="72"/>
      <c r="HA50" s="72"/>
      <c r="HB50" s="72"/>
      <c r="HC50" s="72"/>
      <c r="HD50" s="72"/>
      <c r="HE50" s="72"/>
      <c r="HF50" s="72"/>
      <c r="HG50" s="72"/>
      <c r="HH50" s="72"/>
      <c r="HI50" s="72"/>
    </row>
    <row r="51" spans="1:218" s="3" customFormat="1" ht="12.75" customHeight="1" x14ac:dyDescent="0.25">
      <c r="A51" s="28" t="s">
        <v>215</v>
      </c>
      <c r="B51" s="134" t="str">
        <f t="shared" si="0"/>
        <v>ABLE C &amp; C CO.,LTD.</v>
      </c>
      <c r="C51" s="29" t="s">
        <v>328</v>
      </c>
      <c r="D51" s="136" t="s">
        <v>309</v>
      </c>
      <c r="E51" s="33"/>
      <c r="F51" s="8"/>
      <c r="G51" s="9"/>
      <c r="H51" s="31" t="str">
        <f t="shared" si="1"/>
        <v xml:space="preserve"> </v>
      </c>
      <c r="I51" s="29"/>
      <c r="J51" s="29" t="str">
        <f>VLOOKUP(Z:Z,'[1]AP 2022'!FD50:FF181,2,FALSE)</f>
        <v>exclude</v>
      </c>
      <c r="K51" s="47" t="str">
        <f>VLOOKUP(Z:Z,'[1]AP 2022'!FD50:FF181,3,0)</f>
        <v>Independence(A+, A, A-, U)</v>
      </c>
      <c r="L51" s="48"/>
      <c r="M51" s="125" t="s">
        <v>710</v>
      </c>
      <c r="N51" s="125" t="s">
        <v>711</v>
      </c>
      <c r="O51" s="125" t="s">
        <v>381</v>
      </c>
      <c r="P51" s="125" t="s">
        <v>712</v>
      </c>
      <c r="Q51" s="124"/>
      <c r="R51" s="125" t="s">
        <v>363</v>
      </c>
      <c r="S51" s="125" t="s">
        <v>713</v>
      </c>
      <c r="T51" s="125" t="s">
        <v>374</v>
      </c>
      <c r="U51" s="125" t="s">
        <v>321</v>
      </c>
      <c r="V51" s="125" t="s">
        <v>714</v>
      </c>
      <c r="W51" s="125" t="s">
        <v>715</v>
      </c>
      <c r="X51" s="124"/>
      <c r="Y51" s="124"/>
      <c r="Z51" s="125" t="s">
        <v>716</v>
      </c>
      <c r="AA51" s="128">
        <v>247873188000</v>
      </c>
      <c r="AB51" s="128">
        <v>262945931000</v>
      </c>
      <c r="AC51" s="128">
        <v>307517402000</v>
      </c>
      <c r="AD51" s="128">
        <v>422205555000</v>
      </c>
      <c r="AE51" s="128">
        <v>247873188000</v>
      </c>
      <c r="AF51" s="128">
        <v>262945931000</v>
      </c>
      <c r="AG51" s="128">
        <v>307517402000</v>
      </c>
      <c r="AH51" s="128">
        <v>422205555000</v>
      </c>
      <c r="AI51" s="125" t="s">
        <v>340</v>
      </c>
      <c r="AJ51" s="125" t="s">
        <v>340</v>
      </c>
      <c r="AK51" s="125" t="s">
        <v>340</v>
      </c>
      <c r="AL51" s="125" t="s">
        <v>340</v>
      </c>
      <c r="AM51" s="128">
        <v>247873188000</v>
      </c>
      <c r="AN51" s="128">
        <v>262945931000</v>
      </c>
      <c r="AO51" s="128">
        <v>307517402000</v>
      </c>
      <c r="AP51" s="128">
        <v>422205555000</v>
      </c>
      <c r="AQ51" s="125" t="s">
        <v>340</v>
      </c>
      <c r="AR51" s="125" t="s">
        <v>340</v>
      </c>
      <c r="AS51" s="125" t="s">
        <v>340</v>
      </c>
      <c r="AT51" s="125" t="s">
        <v>340</v>
      </c>
      <c r="AU51" s="128">
        <v>-105725376000</v>
      </c>
      <c r="AV51" s="128">
        <v>-133073640000</v>
      </c>
      <c r="AW51" s="128">
        <v>-161015275000</v>
      </c>
      <c r="AX51" s="128">
        <v>-168852823000</v>
      </c>
      <c r="AY51" s="128">
        <v>-1943282000</v>
      </c>
      <c r="AZ51" s="128">
        <v>-2284811000</v>
      </c>
      <c r="BA51" s="128">
        <v>-3264939000</v>
      </c>
      <c r="BB51" s="128">
        <v>-3347898000</v>
      </c>
      <c r="BC51" s="128">
        <v>-120246989000</v>
      </c>
      <c r="BD51" s="128">
        <v>-139803142000</v>
      </c>
      <c r="BE51" s="128">
        <v>-177473011000</v>
      </c>
      <c r="BF51" s="128">
        <v>-217536636000</v>
      </c>
      <c r="BG51" s="128">
        <v>19957541000</v>
      </c>
      <c r="BH51" s="128">
        <v>-12215662000</v>
      </c>
      <c r="BI51" s="128">
        <v>-34235823000</v>
      </c>
      <c r="BJ51" s="128">
        <v>32468198000</v>
      </c>
      <c r="BK51" s="128">
        <v>-9981678000</v>
      </c>
      <c r="BL51" s="128">
        <v>-10163661000</v>
      </c>
      <c r="BM51" s="128">
        <v>-33759679000</v>
      </c>
      <c r="BN51" s="128">
        <v>-30634086000</v>
      </c>
      <c r="BO51" s="128">
        <v>-6519488000</v>
      </c>
      <c r="BP51" s="128">
        <v>-7485486000</v>
      </c>
      <c r="BQ51" s="128">
        <v>-29592071000</v>
      </c>
      <c r="BR51" s="128">
        <v>-26887966000</v>
      </c>
      <c r="BS51" s="128">
        <v>-3462190000</v>
      </c>
      <c r="BT51" s="128">
        <v>-2678175000</v>
      </c>
      <c r="BU51" s="128">
        <v>-4167608000</v>
      </c>
      <c r="BV51" s="128">
        <v>-3746120000</v>
      </c>
      <c r="BW51" s="128">
        <v>935466000</v>
      </c>
      <c r="BX51" s="128">
        <v>-43338180000</v>
      </c>
      <c r="BY51" s="128">
        <v>-88256513000</v>
      </c>
      <c r="BZ51" s="128">
        <v>-11151598000</v>
      </c>
      <c r="CA51" s="128">
        <v>122000891000</v>
      </c>
      <c r="CB51" s="128">
        <v>116388271000</v>
      </c>
      <c r="CC51" s="128">
        <v>138307898000</v>
      </c>
      <c r="CD51" s="128">
        <v>199999433000</v>
      </c>
      <c r="CE51" s="128">
        <v>43046844000</v>
      </c>
      <c r="CF51" s="128">
        <v>40562394000</v>
      </c>
      <c r="CG51" s="128">
        <v>53819086000</v>
      </c>
      <c r="CH51" s="128">
        <v>87262687000</v>
      </c>
      <c r="CI51" s="128">
        <v>21484605000</v>
      </c>
      <c r="CJ51" s="128">
        <v>24547355000</v>
      </c>
      <c r="CK51" s="128">
        <v>27024532000</v>
      </c>
      <c r="CL51" s="128">
        <v>42665201000</v>
      </c>
      <c r="CM51" s="128">
        <v>23633132000</v>
      </c>
      <c r="CN51" s="128">
        <v>26958520000</v>
      </c>
      <c r="CO51" s="128">
        <v>15010739000</v>
      </c>
      <c r="CP51" s="128">
        <v>10857164000</v>
      </c>
      <c r="CQ51" s="128">
        <v>30080681000</v>
      </c>
      <c r="CR51" s="128">
        <v>23122540000</v>
      </c>
      <c r="CS51" s="128">
        <v>40074854000</v>
      </c>
      <c r="CT51" s="128">
        <v>54558466000</v>
      </c>
      <c r="CU51" s="125" t="s">
        <v>340</v>
      </c>
      <c r="CV51" s="125" t="s">
        <v>340</v>
      </c>
      <c r="CW51" s="128">
        <v>3000000000</v>
      </c>
      <c r="CX51" s="125" t="s">
        <v>340</v>
      </c>
      <c r="CY51" s="128">
        <v>14171208000</v>
      </c>
      <c r="CZ51" s="128">
        <v>17876417000</v>
      </c>
      <c r="DA51" s="128">
        <v>26095593000</v>
      </c>
      <c r="DB51" s="128">
        <v>28925102000</v>
      </c>
      <c r="DC51" s="128">
        <v>195431757000</v>
      </c>
      <c r="DD51" s="128">
        <v>193817470000</v>
      </c>
      <c r="DE51" s="128">
        <v>254779587000</v>
      </c>
      <c r="DF51" s="128">
        <v>433270432000</v>
      </c>
      <c r="DG51" s="16">
        <f t="shared" si="2"/>
        <v>247873188000</v>
      </c>
      <c r="DH51" s="16">
        <f t="shared" si="3"/>
        <v>-105725376000</v>
      </c>
      <c r="DI51" s="16">
        <f t="shared" si="4"/>
        <v>-122190271000</v>
      </c>
      <c r="DJ51" s="16">
        <f t="shared" si="5"/>
        <v>-9981678000</v>
      </c>
      <c r="DK51" s="16">
        <f t="shared" si="6"/>
        <v>9975863000</v>
      </c>
      <c r="DL51" s="57">
        <f t="shared" si="7"/>
        <v>4.0245833284719763E-2</v>
      </c>
      <c r="DM51" s="57">
        <f t="shared" si="8"/>
        <v>4.1933481177226353E-2</v>
      </c>
      <c r="DN51" s="58">
        <f t="shared" si="9"/>
        <v>-1943282000</v>
      </c>
      <c r="DO51" s="16">
        <f t="shared" si="10"/>
        <v>41804619000</v>
      </c>
      <c r="DP51" s="16">
        <f t="shared" si="11"/>
        <v>16023812500</v>
      </c>
      <c r="DQ51" s="61"/>
      <c r="DR51" s="62">
        <f t="shared" si="12"/>
        <v>262945931000</v>
      </c>
      <c r="DS51" s="62">
        <f t="shared" si="13"/>
        <v>-133073640000</v>
      </c>
      <c r="DT51" s="62">
        <f t="shared" si="14"/>
        <v>-142087953000</v>
      </c>
      <c r="DU51" s="62">
        <f t="shared" si="15"/>
        <v>-10163661000</v>
      </c>
      <c r="DV51" s="62">
        <f t="shared" si="16"/>
        <v>-22379323000</v>
      </c>
      <c r="DW51" s="63">
        <f t="shared" si="17"/>
        <v>-8.5109980271951796E-2</v>
      </c>
      <c r="DX51" s="63">
        <f t="shared" si="18"/>
        <v>-7.8434427679507118E-2</v>
      </c>
      <c r="DY51" s="64">
        <f t="shared" si="19"/>
        <v>-2284811000</v>
      </c>
      <c r="DZ51" s="64">
        <f t="shared" si="20"/>
        <v>47190740000</v>
      </c>
      <c r="EA51" s="64">
        <f t="shared" si="21"/>
        <v>21986005000</v>
      </c>
      <c r="EB51" s="61"/>
      <c r="EC51" s="64">
        <f t="shared" si="22"/>
        <v>307517402000</v>
      </c>
      <c r="ED51" s="64">
        <f t="shared" si="23"/>
        <v>-161015275000</v>
      </c>
      <c r="EE51" s="64">
        <f t="shared" si="24"/>
        <v>-180737950000</v>
      </c>
      <c r="EF51" s="64">
        <f t="shared" si="25"/>
        <v>-33759679000</v>
      </c>
      <c r="EG51" s="64">
        <f t="shared" si="26"/>
        <v>-67995502000</v>
      </c>
      <c r="EH51" s="63">
        <f t="shared" si="27"/>
        <v>-0.22111107065088953</v>
      </c>
      <c r="EI51" s="57">
        <f t="shared" si="28"/>
        <v>-0.1810736762324418</v>
      </c>
      <c r="EJ51" s="64">
        <f t="shared" si="29"/>
        <v>-3264939000</v>
      </c>
      <c r="EK51" s="64">
        <f t="shared" si="30"/>
        <v>70540886500</v>
      </c>
      <c r="EL51" s="64">
        <f t="shared" si="31"/>
        <v>27510347500</v>
      </c>
      <c r="EM51" s="61"/>
      <c r="EN51" s="66">
        <f t="shared" si="32"/>
        <v>272778840333.33334</v>
      </c>
      <c r="EO51" s="66">
        <f t="shared" si="32"/>
        <v>-133271430333.33333</v>
      </c>
      <c r="EP51" s="66">
        <f t="shared" si="32"/>
        <v>-148338724666.66666</v>
      </c>
      <c r="EQ51" s="66">
        <f t="shared" si="32"/>
        <v>-17968339333.333332</v>
      </c>
      <c r="ER51" s="66">
        <f t="shared" si="33"/>
        <v>-26799653999.999989</v>
      </c>
      <c r="ES51" s="63">
        <f t="shared" si="34"/>
        <v>-9.8246821370935683E-2</v>
      </c>
      <c r="ET51" s="67">
        <f t="shared" si="35"/>
        <v>-8.9457869997105671E-2</v>
      </c>
      <c r="EU51" s="66">
        <f t="shared" si="36"/>
        <v>2497677333.3333335</v>
      </c>
      <c r="EV51" s="66">
        <f t="shared" si="37"/>
        <v>53178748500</v>
      </c>
      <c r="EW51" s="66">
        <f t="shared" si="37"/>
        <v>21840055000</v>
      </c>
      <c r="EX51" s="70"/>
      <c r="EY51" s="71" t="str">
        <f t="shared" si="38"/>
        <v>完整</v>
      </c>
      <c r="EZ51" s="71" t="str">
        <f t="shared" si="39"/>
        <v>完整</v>
      </c>
      <c r="FA51" s="71" t="str">
        <f t="shared" si="40"/>
        <v>完整</v>
      </c>
      <c r="FB51" s="71" t="str">
        <f t="shared" si="41"/>
        <v>选择</v>
      </c>
      <c r="FC51" s="71" t="str">
        <f t="shared" si="42"/>
        <v>选择</v>
      </c>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0"/>
    </row>
    <row r="52" spans="1:218" s="3" customFormat="1" ht="12.75" customHeight="1" x14ac:dyDescent="0.25">
      <c r="A52" s="28" t="s">
        <v>216</v>
      </c>
      <c r="B52" s="134" t="str">
        <f t="shared" si="0"/>
        <v>AFC-HD AMS LIFE SCIENCE CO.,LTD.</v>
      </c>
      <c r="C52" s="29" t="s">
        <v>341</v>
      </c>
      <c r="D52" s="29"/>
      <c r="E52" s="33"/>
      <c r="H52" s="31">
        <f t="shared" si="1"/>
        <v>7.6216525861436513E-2</v>
      </c>
      <c r="I52" s="29"/>
      <c r="J52" s="29" t="str">
        <f>VLOOKUP(Z:Z,'[1]AP 2022'!FD51:FF181,2,FALSE)</f>
        <v>Include before</v>
      </c>
      <c r="K52" s="47">
        <f>VLOOKUP(Z:Z,'[1]AP 2022'!FD51:FF181,3,0)</f>
        <v>0</v>
      </c>
      <c r="L52" s="48"/>
      <c r="M52" s="125" t="s">
        <v>717</v>
      </c>
      <c r="N52" s="125" t="s">
        <v>718</v>
      </c>
      <c r="O52" s="125" t="s">
        <v>331</v>
      </c>
      <c r="P52" s="142" t="s">
        <v>719</v>
      </c>
      <c r="Q52" s="124"/>
      <c r="R52" s="125" t="s">
        <v>333</v>
      </c>
      <c r="S52" s="125" t="s">
        <v>720</v>
      </c>
      <c r="T52" s="125" t="s">
        <v>335</v>
      </c>
      <c r="U52" s="125" t="s">
        <v>321</v>
      </c>
      <c r="V52" s="125" t="s">
        <v>721</v>
      </c>
      <c r="W52" s="125" t="s">
        <v>722</v>
      </c>
      <c r="X52" s="125" t="s">
        <v>723</v>
      </c>
      <c r="Y52" s="124"/>
      <c r="Z52" s="125" t="s">
        <v>724</v>
      </c>
      <c r="AA52" s="128">
        <v>22997127000</v>
      </c>
      <c r="AB52" s="128">
        <v>22368076000</v>
      </c>
      <c r="AC52" s="128">
        <v>15819281000</v>
      </c>
      <c r="AD52" s="128">
        <v>16252889000</v>
      </c>
      <c r="AE52" s="128">
        <v>22997127000</v>
      </c>
      <c r="AF52" s="128">
        <v>22368076000</v>
      </c>
      <c r="AG52" s="128">
        <v>15819281000</v>
      </c>
      <c r="AH52" s="128">
        <v>16252889000</v>
      </c>
      <c r="AI52" s="125" t="s">
        <v>340</v>
      </c>
      <c r="AJ52" s="125" t="s">
        <v>340</v>
      </c>
      <c r="AK52" s="125" t="s">
        <v>340</v>
      </c>
      <c r="AL52" s="125" t="s">
        <v>340</v>
      </c>
      <c r="AM52" s="128">
        <v>22997127000</v>
      </c>
      <c r="AN52" s="128">
        <v>22368076000</v>
      </c>
      <c r="AO52" s="128">
        <v>15819281000</v>
      </c>
      <c r="AP52" s="128">
        <v>16252889000</v>
      </c>
      <c r="AQ52" s="125" t="s">
        <v>340</v>
      </c>
      <c r="AR52" s="125" t="s">
        <v>340</v>
      </c>
      <c r="AS52" s="125" t="s">
        <v>340</v>
      </c>
      <c r="AT52" s="125" t="s">
        <v>340</v>
      </c>
      <c r="AU52" s="128">
        <v>-13564535000</v>
      </c>
      <c r="AV52" s="128">
        <v>-14891436000</v>
      </c>
      <c r="AW52" s="128">
        <v>-10755754000</v>
      </c>
      <c r="AX52" s="128">
        <v>-11259830000</v>
      </c>
      <c r="AY52" s="128">
        <v>-153029000</v>
      </c>
      <c r="AZ52" s="128">
        <v>-163700000</v>
      </c>
      <c r="BA52" s="128">
        <v>-166359000</v>
      </c>
      <c r="BB52" s="128">
        <v>-156620000</v>
      </c>
      <c r="BC52" s="128">
        <v>-7261795000</v>
      </c>
      <c r="BD52" s="128">
        <v>-4417821000</v>
      </c>
      <c r="BE52" s="128">
        <v>-3293543000</v>
      </c>
      <c r="BF52" s="128">
        <v>-3381945000</v>
      </c>
      <c r="BG52" s="128">
        <v>2017768000</v>
      </c>
      <c r="BH52" s="128">
        <v>2895119000</v>
      </c>
      <c r="BI52" s="128">
        <v>1603625000</v>
      </c>
      <c r="BJ52" s="128">
        <v>1454494000</v>
      </c>
      <c r="BK52" s="128">
        <v>-1022039000</v>
      </c>
      <c r="BL52" s="128">
        <v>-650608000</v>
      </c>
      <c r="BM52" s="128">
        <v>-510844000</v>
      </c>
      <c r="BN52" s="128">
        <v>-474251000</v>
      </c>
      <c r="BO52" s="128">
        <v>-869048000</v>
      </c>
      <c r="BP52" s="128">
        <v>-612361000</v>
      </c>
      <c r="BQ52" s="128">
        <v>-509824000</v>
      </c>
      <c r="BR52" s="128">
        <v>-473794000</v>
      </c>
      <c r="BS52" s="128">
        <v>-152991000</v>
      </c>
      <c r="BT52" s="128">
        <v>-38247000</v>
      </c>
      <c r="BU52" s="128">
        <v>-1020000</v>
      </c>
      <c r="BV52" s="128">
        <v>-457000</v>
      </c>
      <c r="BW52" s="128">
        <v>735353000</v>
      </c>
      <c r="BX52" s="128">
        <v>1495554000</v>
      </c>
      <c r="BY52" s="128">
        <v>676683000</v>
      </c>
      <c r="BZ52" s="128">
        <v>783292000</v>
      </c>
      <c r="CA52" s="128">
        <v>17125257000</v>
      </c>
      <c r="CB52" s="128">
        <v>15852396000</v>
      </c>
      <c r="CC52" s="128">
        <v>10009188000</v>
      </c>
      <c r="CD52" s="128">
        <v>9629550000</v>
      </c>
      <c r="CE52" s="128">
        <v>3728004000</v>
      </c>
      <c r="CF52" s="128">
        <v>3851429000</v>
      </c>
      <c r="CG52" s="128">
        <v>2995118000</v>
      </c>
      <c r="CH52" s="128">
        <v>2823308000</v>
      </c>
      <c r="CI52" s="128">
        <v>2379550000</v>
      </c>
      <c r="CJ52" s="128">
        <v>2184296000</v>
      </c>
      <c r="CK52" s="128">
        <v>2127698000</v>
      </c>
      <c r="CL52" s="128">
        <v>2132079000</v>
      </c>
      <c r="CM52" s="128">
        <v>639925000</v>
      </c>
      <c r="CN52" s="128">
        <v>594535000</v>
      </c>
      <c r="CO52" s="128">
        <v>160730000</v>
      </c>
      <c r="CP52" s="128">
        <v>236962000</v>
      </c>
      <c r="CQ52" s="128">
        <v>10377778000</v>
      </c>
      <c r="CR52" s="128">
        <v>9222136000</v>
      </c>
      <c r="CS52" s="128">
        <v>4725642000</v>
      </c>
      <c r="CT52" s="128">
        <v>4437201000</v>
      </c>
      <c r="CU52" s="125" t="s">
        <v>340</v>
      </c>
      <c r="CV52" s="125" t="s">
        <v>340</v>
      </c>
      <c r="CW52" s="125" t="s">
        <v>340</v>
      </c>
      <c r="CX52" s="125" t="s">
        <v>340</v>
      </c>
      <c r="CY52" s="128">
        <v>1209773000</v>
      </c>
      <c r="CZ52" s="128">
        <v>1037027000</v>
      </c>
      <c r="DA52" s="128">
        <v>651379000</v>
      </c>
      <c r="DB52" s="128">
        <v>614181000</v>
      </c>
      <c r="DC52" s="128">
        <v>37348660000</v>
      </c>
      <c r="DD52" s="128">
        <v>35752403000</v>
      </c>
      <c r="DE52" s="128">
        <v>18548888000</v>
      </c>
      <c r="DF52" s="128">
        <v>18327080000</v>
      </c>
      <c r="DG52" s="16">
        <f t="shared" si="2"/>
        <v>22997127000</v>
      </c>
      <c r="DH52" s="16">
        <f t="shared" si="3"/>
        <v>-13564535000</v>
      </c>
      <c r="DI52" s="16">
        <f t="shared" si="4"/>
        <v>-7414824000</v>
      </c>
      <c r="DJ52" s="16">
        <f t="shared" si="5"/>
        <v>-1022039000</v>
      </c>
      <c r="DK52" s="16">
        <f t="shared" si="6"/>
        <v>995729000</v>
      </c>
      <c r="DL52" s="57">
        <f t="shared" si="7"/>
        <v>4.3297973699062499E-2</v>
      </c>
      <c r="DM52" s="57">
        <f t="shared" si="8"/>
        <v>4.5257533180391538E-2</v>
      </c>
      <c r="DN52" s="58">
        <f t="shared" si="9"/>
        <v>-153029000</v>
      </c>
      <c r="DO52" s="16">
        <f t="shared" si="10"/>
        <v>3789716500</v>
      </c>
      <c r="DP52" s="16">
        <f t="shared" si="11"/>
        <v>1123400000</v>
      </c>
      <c r="DQ52" s="61"/>
      <c r="DR52" s="62">
        <f t="shared" si="12"/>
        <v>22368076000</v>
      </c>
      <c r="DS52" s="62">
        <f t="shared" si="13"/>
        <v>-14891436000</v>
      </c>
      <c r="DT52" s="62">
        <f t="shared" si="14"/>
        <v>-4581521000</v>
      </c>
      <c r="DU52" s="62">
        <f t="shared" si="15"/>
        <v>-650608000</v>
      </c>
      <c r="DV52" s="62">
        <f t="shared" si="16"/>
        <v>2244511000</v>
      </c>
      <c r="DW52" s="63">
        <f t="shared" si="17"/>
        <v>0.10034439260667748</v>
      </c>
      <c r="DX52" s="63">
        <f t="shared" si="18"/>
        <v>0.1115364499282309</v>
      </c>
      <c r="DY52" s="64">
        <f t="shared" si="19"/>
        <v>-163700000</v>
      </c>
      <c r="DZ52" s="64">
        <f t="shared" si="20"/>
        <v>3423273500</v>
      </c>
      <c r="EA52" s="64">
        <f t="shared" si="21"/>
        <v>844203000</v>
      </c>
      <c r="EB52" s="61"/>
      <c r="EC52" s="64">
        <f t="shared" si="22"/>
        <v>15819281000</v>
      </c>
      <c r="ED52" s="64">
        <f t="shared" si="23"/>
        <v>-10755754000</v>
      </c>
      <c r="EE52" s="64">
        <f t="shared" si="24"/>
        <v>-3459902000</v>
      </c>
      <c r="EF52" s="64">
        <f t="shared" si="25"/>
        <v>-510844000</v>
      </c>
      <c r="EG52" s="64">
        <f t="shared" si="26"/>
        <v>1092781000</v>
      </c>
      <c r="EH52" s="63">
        <f t="shared" si="27"/>
        <v>6.907905612145078E-2</v>
      </c>
      <c r="EI52" s="57">
        <f t="shared" si="28"/>
        <v>7.4205072488371299E-2</v>
      </c>
      <c r="EJ52" s="64">
        <f t="shared" si="29"/>
        <v>-166359000</v>
      </c>
      <c r="EK52" s="64">
        <f t="shared" si="30"/>
        <v>2909213000</v>
      </c>
      <c r="EL52" s="64">
        <f t="shared" si="31"/>
        <v>632780000</v>
      </c>
      <c r="EM52" s="61"/>
      <c r="EN52" s="66">
        <f t="shared" si="32"/>
        <v>20394828000</v>
      </c>
      <c r="EO52" s="66">
        <f t="shared" si="32"/>
        <v>-13070575000</v>
      </c>
      <c r="EP52" s="66">
        <f t="shared" si="32"/>
        <v>-5152082333.333333</v>
      </c>
      <c r="EQ52" s="66">
        <f t="shared" si="32"/>
        <v>-727830333.33333337</v>
      </c>
      <c r="ER52" s="66">
        <f t="shared" si="33"/>
        <v>1444340333.3333335</v>
      </c>
      <c r="ES52" s="63">
        <f t="shared" si="34"/>
        <v>7.0818951419121229E-2</v>
      </c>
      <c r="ET52" s="67">
        <f t="shared" si="35"/>
        <v>7.6216525861436513E-2</v>
      </c>
      <c r="EU52" s="66">
        <f t="shared" si="36"/>
        <v>161029333.33333334</v>
      </c>
      <c r="EV52" s="66">
        <f t="shared" si="37"/>
        <v>3374067666.6666665</v>
      </c>
      <c r="EW52" s="66">
        <f t="shared" si="37"/>
        <v>866794333.33333337</v>
      </c>
      <c r="EX52" s="70"/>
      <c r="EY52" s="71" t="str">
        <f t="shared" si="38"/>
        <v>完整</v>
      </c>
      <c r="EZ52" s="71" t="str">
        <f t="shared" si="39"/>
        <v>完整</v>
      </c>
      <c r="FA52" s="71" t="str">
        <f t="shared" si="40"/>
        <v>完整</v>
      </c>
      <c r="FB52" s="71" t="str">
        <f t="shared" si="41"/>
        <v>选择</v>
      </c>
      <c r="FC52" s="71" t="str">
        <f t="shared" si="42"/>
        <v>选择</v>
      </c>
    </row>
    <row r="53" spans="1:218" s="3" customFormat="1" ht="12.75" customHeight="1" x14ac:dyDescent="0.25">
      <c r="A53" s="28" t="s">
        <v>217</v>
      </c>
      <c r="B53" s="134" t="str">
        <f t="shared" si="0"/>
        <v>S &amp; J INTERNATIONAL ENTERPRISES PCL</v>
      </c>
      <c r="C53" s="29" t="s">
        <v>341</v>
      </c>
      <c r="D53" s="29"/>
      <c r="E53" s="33"/>
      <c r="H53" s="31">
        <f t="shared" si="1"/>
        <v>6.0534881501715508E-2</v>
      </c>
      <c r="I53" s="29"/>
      <c r="J53" s="29" t="str">
        <f>VLOOKUP(Z:Z,'[1]AP 2022'!FD52:FF181,2,FALSE)</f>
        <v>include before</v>
      </c>
      <c r="K53" s="47">
        <f>VLOOKUP(Z:Z,'[1]AP 2022'!FD52:FF181,3,0)</f>
        <v>0</v>
      </c>
      <c r="L53" s="48"/>
      <c r="M53" s="125" t="s">
        <v>725</v>
      </c>
      <c r="N53" s="125" t="s">
        <v>726</v>
      </c>
      <c r="O53" s="125" t="s">
        <v>633</v>
      </c>
      <c r="P53" s="142" t="s">
        <v>727</v>
      </c>
      <c r="Q53" s="124"/>
      <c r="R53" s="125" t="s">
        <v>498</v>
      </c>
      <c r="S53" s="125" t="s">
        <v>728</v>
      </c>
      <c r="T53" s="125" t="s">
        <v>335</v>
      </c>
      <c r="U53" s="125" t="s">
        <v>321</v>
      </c>
      <c r="V53" s="125" t="s">
        <v>729</v>
      </c>
      <c r="W53" s="125" t="s">
        <v>730</v>
      </c>
      <c r="X53" s="125" t="s">
        <v>731</v>
      </c>
      <c r="Y53" s="124"/>
      <c r="Z53" s="125" t="s">
        <v>732</v>
      </c>
      <c r="AA53" s="128">
        <v>6057243000</v>
      </c>
      <c r="AB53" s="128">
        <v>5013377000</v>
      </c>
      <c r="AC53" s="128">
        <v>4395318000</v>
      </c>
      <c r="AD53" s="128">
        <v>4743357000</v>
      </c>
      <c r="AE53" s="128">
        <v>5959969000</v>
      </c>
      <c r="AF53" s="128">
        <v>4905707000</v>
      </c>
      <c r="AG53" s="128">
        <v>4315586000</v>
      </c>
      <c r="AH53" s="128">
        <v>4634030000</v>
      </c>
      <c r="AI53" s="125" t="s">
        <v>340</v>
      </c>
      <c r="AJ53" s="125" t="s">
        <v>340</v>
      </c>
      <c r="AK53" s="125" t="s">
        <v>340</v>
      </c>
      <c r="AL53" s="125" t="s">
        <v>340</v>
      </c>
      <c r="AM53" s="128">
        <v>5959969000</v>
      </c>
      <c r="AN53" s="128">
        <v>4905707000</v>
      </c>
      <c r="AO53" s="128">
        <v>4315586000</v>
      </c>
      <c r="AP53" s="128">
        <v>4634030000</v>
      </c>
      <c r="AQ53" s="128">
        <v>97274000</v>
      </c>
      <c r="AR53" s="128">
        <v>107670000</v>
      </c>
      <c r="AS53" s="128">
        <v>79732000</v>
      </c>
      <c r="AT53" s="128">
        <v>109327000</v>
      </c>
      <c r="AU53" s="128">
        <v>-2563769000</v>
      </c>
      <c r="AV53" s="128">
        <v>-1995112000</v>
      </c>
      <c r="AW53" s="128">
        <v>-1656701000</v>
      </c>
      <c r="AX53" s="128">
        <v>-2094983000</v>
      </c>
      <c r="AY53" s="128">
        <v>0</v>
      </c>
      <c r="AZ53" s="128">
        <v>0</v>
      </c>
      <c r="BA53" s="128">
        <v>0</v>
      </c>
      <c r="BB53" s="128">
        <v>0</v>
      </c>
      <c r="BC53" s="128">
        <v>-2659420000</v>
      </c>
      <c r="BD53" s="128">
        <v>-2375959000</v>
      </c>
      <c r="BE53" s="128">
        <v>-2199673000</v>
      </c>
      <c r="BF53" s="128">
        <v>-2199270000</v>
      </c>
      <c r="BG53" s="128">
        <v>834054000</v>
      </c>
      <c r="BH53" s="128">
        <v>642306000</v>
      </c>
      <c r="BI53" s="128">
        <v>538944000</v>
      </c>
      <c r="BJ53" s="128">
        <v>449104000</v>
      </c>
      <c r="BK53" s="128">
        <v>-278492000</v>
      </c>
      <c r="BL53" s="128">
        <v>-289825000</v>
      </c>
      <c r="BM53" s="128">
        <v>-295771000</v>
      </c>
      <c r="BN53" s="128">
        <v>-225472000</v>
      </c>
      <c r="BO53" s="128">
        <v>-272555000</v>
      </c>
      <c r="BP53" s="128">
        <v>-283002000</v>
      </c>
      <c r="BQ53" s="128">
        <v>-295771000</v>
      </c>
      <c r="BR53" s="128">
        <v>-218966000</v>
      </c>
      <c r="BS53" s="128">
        <v>-5937000</v>
      </c>
      <c r="BT53" s="128">
        <v>-6823000</v>
      </c>
      <c r="BU53" s="128">
        <v>0</v>
      </c>
      <c r="BV53" s="128">
        <v>-6506000</v>
      </c>
      <c r="BW53" s="128">
        <v>504298000</v>
      </c>
      <c r="BX53" s="128">
        <v>373167000</v>
      </c>
      <c r="BY53" s="128">
        <v>275907000</v>
      </c>
      <c r="BZ53" s="128">
        <v>258247000</v>
      </c>
      <c r="CA53" s="128">
        <v>2939640000</v>
      </c>
      <c r="CB53" s="128">
        <v>2516284000</v>
      </c>
      <c r="CC53" s="128">
        <v>1985044000</v>
      </c>
      <c r="CD53" s="128">
        <v>1880989000</v>
      </c>
      <c r="CE53" s="128">
        <v>841065000</v>
      </c>
      <c r="CF53" s="128">
        <v>863714000</v>
      </c>
      <c r="CG53" s="128">
        <v>771045000</v>
      </c>
      <c r="CH53" s="128">
        <v>764294000</v>
      </c>
      <c r="CI53" s="128">
        <v>1036325000</v>
      </c>
      <c r="CJ53" s="128">
        <v>784356000</v>
      </c>
      <c r="CK53" s="128">
        <v>830652000</v>
      </c>
      <c r="CL53" s="128">
        <v>643520000</v>
      </c>
      <c r="CM53" s="128">
        <v>96043000</v>
      </c>
      <c r="CN53" s="128">
        <v>202146000</v>
      </c>
      <c r="CO53" s="128">
        <v>70071000</v>
      </c>
      <c r="CP53" s="128">
        <v>312764000</v>
      </c>
      <c r="CQ53" s="128">
        <v>928506000</v>
      </c>
      <c r="CR53" s="128">
        <v>632686000</v>
      </c>
      <c r="CS53" s="128">
        <v>287806000</v>
      </c>
      <c r="CT53" s="128">
        <v>131189000</v>
      </c>
      <c r="CU53" s="128">
        <v>11129000</v>
      </c>
      <c r="CV53" s="128">
        <v>8507000</v>
      </c>
      <c r="CW53" s="128">
        <v>18809000</v>
      </c>
      <c r="CX53" s="128">
        <v>4000000</v>
      </c>
      <c r="CY53" s="128">
        <v>668869000</v>
      </c>
      <c r="CZ53" s="128">
        <v>659466000</v>
      </c>
      <c r="DA53" s="128">
        <v>581852000</v>
      </c>
      <c r="DB53" s="128">
        <v>593691000</v>
      </c>
      <c r="DC53" s="128">
        <v>6377371000</v>
      </c>
      <c r="DD53" s="128">
        <v>5979279000</v>
      </c>
      <c r="DE53" s="128">
        <v>5115102000</v>
      </c>
      <c r="DF53" s="128">
        <v>4945873000</v>
      </c>
      <c r="DG53" s="16">
        <f t="shared" si="2"/>
        <v>5959969000</v>
      </c>
      <c r="DH53" s="16">
        <f t="shared" si="3"/>
        <v>-2563769000</v>
      </c>
      <c r="DI53" s="16">
        <f t="shared" si="4"/>
        <v>-2659420000</v>
      </c>
      <c r="DJ53" s="16">
        <f t="shared" si="5"/>
        <v>-278492000</v>
      </c>
      <c r="DK53" s="16">
        <f t="shared" si="6"/>
        <v>458288000</v>
      </c>
      <c r="DL53" s="57">
        <f t="shared" si="7"/>
        <v>7.689435968542789E-2</v>
      </c>
      <c r="DM53" s="57">
        <f t="shared" si="8"/>
        <v>8.3299631512623137E-2</v>
      </c>
      <c r="DN53" s="58">
        <f t="shared" si="9"/>
        <v>0</v>
      </c>
      <c r="DO53" s="16">
        <f t="shared" si="10"/>
        <v>852389500</v>
      </c>
      <c r="DP53" s="16">
        <f t="shared" si="11"/>
        <v>664167500</v>
      </c>
      <c r="DQ53" s="61"/>
      <c r="DR53" s="62">
        <f t="shared" si="12"/>
        <v>4905707000</v>
      </c>
      <c r="DS53" s="62">
        <f t="shared" si="13"/>
        <v>-1995112000</v>
      </c>
      <c r="DT53" s="62">
        <f t="shared" si="14"/>
        <v>-2375959000</v>
      </c>
      <c r="DU53" s="62">
        <f t="shared" si="15"/>
        <v>-289825000</v>
      </c>
      <c r="DV53" s="62">
        <f t="shared" si="16"/>
        <v>244811000</v>
      </c>
      <c r="DW53" s="63">
        <f t="shared" si="17"/>
        <v>4.9903306495883266E-2</v>
      </c>
      <c r="DX53" s="63">
        <f t="shared" si="18"/>
        <v>5.2524450234461353E-2</v>
      </c>
      <c r="DY53" s="64">
        <f t="shared" si="19"/>
        <v>0</v>
      </c>
      <c r="DZ53" s="64">
        <f t="shared" si="20"/>
        <v>817379500</v>
      </c>
      <c r="EA53" s="64">
        <f t="shared" si="21"/>
        <v>620659000</v>
      </c>
      <c r="EB53" s="61"/>
      <c r="EC53" s="64">
        <f t="shared" si="22"/>
        <v>4315586000</v>
      </c>
      <c r="ED53" s="64">
        <f t="shared" si="23"/>
        <v>-1656701000</v>
      </c>
      <c r="EE53" s="64">
        <f t="shared" si="24"/>
        <v>-2199673000</v>
      </c>
      <c r="EF53" s="64">
        <f t="shared" si="25"/>
        <v>-295771000</v>
      </c>
      <c r="EG53" s="64">
        <f t="shared" si="26"/>
        <v>163441000</v>
      </c>
      <c r="EH53" s="63">
        <f t="shared" si="27"/>
        <v>3.7872261148312186E-2</v>
      </c>
      <c r="EI53" s="57">
        <f t="shared" si="28"/>
        <v>3.9363028025273687E-2</v>
      </c>
      <c r="EJ53" s="64">
        <f t="shared" si="29"/>
        <v>0</v>
      </c>
      <c r="EK53" s="64">
        <f t="shared" si="30"/>
        <v>767669500</v>
      </c>
      <c r="EL53" s="64">
        <f t="shared" si="31"/>
        <v>587771500</v>
      </c>
      <c r="EM53" s="61"/>
      <c r="EN53" s="66">
        <f t="shared" si="32"/>
        <v>5060420666.666667</v>
      </c>
      <c r="EO53" s="66">
        <f t="shared" si="32"/>
        <v>-2071860666.6666667</v>
      </c>
      <c r="EP53" s="66">
        <f t="shared" si="32"/>
        <v>-2411684000</v>
      </c>
      <c r="EQ53" s="66">
        <f t="shared" si="32"/>
        <v>-288029333.33333331</v>
      </c>
      <c r="ER53" s="66">
        <f t="shared" si="33"/>
        <v>288846666.66666669</v>
      </c>
      <c r="ES53" s="63">
        <f t="shared" si="34"/>
        <v>5.7079576124830729E-2</v>
      </c>
      <c r="ET53" s="67">
        <f t="shared" si="35"/>
        <v>6.0534881501715508E-2</v>
      </c>
      <c r="EU53" s="66">
        <f t="shared" si="36"/>
        <v>0</v>
      </c>
      <c r="EV53" s="66">
        <f t="shared" si="37"/>
        <v>812479500</v>
      </c>
      <c r="EW53" s="66">
        <f t="shared" si="37"/>
        <v>624199333.33333337</v>
      </c>
      <c r="EX53" s="70"/>
      <c r="EY53" s="71" t="str">
        <f t="shared" si="38"/>
        <v>完整</v>
      </c>
      <c r="EZ53" s="71" t="str">
        <f t="shared" si="39"/>
        <v>完整</v>
      </c>
      <c r="FA53" s="71" t="str">
        <f t="shared" si="40"/>
        <v>完整</v>
      </c>
      <c r="FB53" s="71" t="str">
        <f t="shared" si="41"/>
        <v>选择</v>
      </c>
      <c r="FC53" s="71" t="str">
        <f t="shared" si="42"/>
        <v>选择</v>
      </c>
      <c r="FD53" s="72"/>
      <c r="FE53" s="72"/>
      <c r="FF53" s="72"/>
      <c r="FG53" s="72"/>
      <c r="FH53" s="72"/>
      <c r="FI53" s="72"/>
      <c r="FJ53" s="72"/>
      <c r="FK53" s="72"/>
      <c r="FL53" s="72"/>
      <c r="FM53" s="72"/>
      <c r="FN53" s="72"/>
      <c r="FO53" s="72"/>
      <c r="FP53" s="72"/>
      <c r="FQ53" s="72"/>
      <c r="FR53" s="72"/>
      <c r="FS53" s="72"/>
      <c r="FT53" s="72"/>
      <c r="FU53" s="72"/>
      <c r="FV53" s="72"/>
      <c r="FW53" s="72"/>
      <c r="FX53" s="72"/>
      <c r="FY53" s="72"/>
      <c r="FZ53" s="72"/>
      <c r="GA53" s="72"/>
      <c r="GB53" s="72"/>
      <c r="GC53" s="72"/>
      <c r="GD53" s="72"/>
      <c r="GE53" s="72"/>
      <c r="GF53" s="72"/>
      <c r="GG53" s="72"/>
      <c r="GH53" s="72"/>
      <c r="GI53" s="72"/>
      <c r="GJ53" s="72"/>
      <c r="GK53" s="72"/>
      <c r="GL53" s="72"/>
      <c r="GM53" s="72"/>
      <c r="GN53" s="72"/>
      <c r="GO53" s="72"/>
      <c r="GP53" s="72"/>
      <c r="GQ53" s="72"/>
      <c r="GR53" s="72"/>
      <c r="GS53" s="72"/>
      <c r="GT53" s="72"/>
      <c r="GU53" s="72"/>
      <c r="GV53" s="72"/>
      <c r="GW53" s="72"/>
      <c r="GX53" s="72"/>
      <c r="GY53" s="72"/>
      <c r="GZ53" s="72"/>
      <c r="HA53" s="72"/>
      <c r="HB53" s="72"/>
      <c r="HC53" s="72"/>
      <c r="HD53" s="72"/>
      <c r="HE53" s="72"/>
      <c r="HF53" s="72"/>
      <c r="HG53" s="72"/>
      <c r="HH53" s="72"/>
      <c r="HI53" s="72"/>
    </row>
    <row r="54" spans="1:218" s="3" customFormat="1" ht="12.75" customHeight="1" x14ac:dyDescent="0.25">
      <c r="A54" s="28" t="s">
        <v>218</v>
      </c>
      <c r="B54" s="134" t="str">
        <f t="shared" si="0"/>
        <v>PAOS HOLDINGS BERHAD</v>
      </c>
      <c r="C54" s="29" t="s">
        <v>328</v>
      </c>
      <c r="D54" s="136" t="s">
        <v>309</v>
      </c>
      <c r="E54" s="33"/>
      <c r="F54" s="8"/>
      <c r="G54" s="9"/>
      <c r="H54" s="31" t="str">
        <f t="shared" si="1"/>
        <v xml:space="preserve"> </v>
      </c>
      <c r="I54" s="29"/>
      <c r="J54" s="29" t="str">
        <f>VLOOKUP(Z:Z,'[1]AP 2022'!FD53:FF181,2,FALSE)</f>
        <v>exclude</v>
      </c>
      <c r="K54" s="47" t="str">
        <f>VLOOKUP(Z:Z,'[1]AP 2022'!FD53:FF181,3,0)</f>
        <v>Independence(A+, A, A-, U)</v>
      </c>
      <c r="L54" s="48"/>
      <c r="M54" s="125" t="s">
        <v>733</v>
      </c>
      <c r="N54" s="125" t="s">
        <v>734</v>
      </c>
      <c r="O54" s="125" t="s">
        <v>413</v>
      </c>
      <c r="P54" s="125" t="s">
        <v>735</v>
      </c>
      <c r="Q54" s="124"/>
      <c r="R54" s="125" t="s">
        <v>736</v>
      </c>
      <c r="S54" s="125" t="s">
        <v>737</v>
      </c>
      <c r="T54" s="125" t="s">
        <v>365</v>
      </c>
      <c r="U54" s="125" t="s">
        <v>315</v>
      </c>
      <c r="V54" s="125" t="s">
        <v>738</v>
      </c>
      <c r="W54" s="125" t="s">
        <v>739</v>
      </c>
      <c r="X54" s="124"/>
      <c r="Y54" s="124"/>
      <c r="Z54" s="125" t="s">
        <v>740</v>
      </c>
      <c r="AA54" s="128">
        <v>684189000</v>
      </c>
      <c r="AB54" s="128">
        <v>378907000</v>
      </c>
      <c r="AC54" s="128">
        <v>405361000</v>
      </c>
      <c r="AD54" s="128">
        <v>283161000</v>
      </c>
      <c r="AE54" s="128">
        <v>683950000</v>
      </c>
      <c r="AF54" s="128">
        <v>378670000</v>
      </c>
      <c r="AG54" s="128">
        <v>404863000</v>
      </c>
      <c r="AH54" s="128">
        <v>282844000</v>
      </c>
      <c r="AI54" s="125" t="s">
        <v>340</v>
      </c>
      <c r="AJ54" s="125" t="s">
        <v>340</v>
      </c>
      <c r="AK54" s="125" t="s">
        <v>340</v>
      </c>
      <c r="AL54" s="125" t="s">
        <v>340</v>
      </c>
      <c r="AM54" s="128">
        <v>683950000</v>
      </c>
      <c r="AN54" s="128">
        <v>378670000</v>
      </c>
      <c r="AO54" s="128">
        <v>404863000</v>
      </c>
      <c r="AP54" s="128">
        <v>282844000</v>
      </c>
      <c r="AQ54" s="128">
        <v>239000</v>
      </c>
      <c r="AR54" s="128">
        <v>237000</v>
      </c>
      <c r="AS54" s="128">
        <v>498000</v>
      </c>
      <c r="AT54" s="128">
        <v>317000</v>
      </c>
      <c r="AU54" s="128">
        <v>-676272000</v>
      </c>
      <c r="AV54" s="128">
        <v>-372499000</v>
      </c>
      <c r="AW54" s="128">
        <v>-396483000</v>
      </c>
      <c r="AX54" s="128">
        <v>-274560000</v>
      </c>
      <c r="AY54" s="128">
        <v>0</v>
      </c>
      <c r="AZ54" s="128">
        <v>0</v>
      </c>
      <c r="BA54" s="128">
        <v>0</v>
      </c>
      <c r="BB54" s="128">
        <v>0</v>
      </c>
      <c r="BC54" s="128">
        <v>-6977000</v>
      </c>
      <c r="BD54" s="128">
        <v>-8217000</v>
      </c>
      <c r="BE54" s="128">
        <v>-7303000</v>
      </c>
      <c r="BF54" s="128">
        <v>-7607000</v>
      </c>
      <c r="BG54" s="128">
        <v>940000</v>
      </c>
      <c r="BH54" s="128">
        <v>-1809000</v>
      </c>
      <c r="BI54" s="128">
        <v>1575000</v>
      </c>
      <c r="BJ54" s="128">
        <v>994000</v>
      </c>
      <c r="BK54" s="128">
        <v>-2574000</v>
      </c>
      <c r="BL54" s="128">
        <v>-2516000</v>
      </c>
      <c r="BM54" s="128">
        <v>-2614000</v>
      </c>
      <c r="BN54" s="128">
        <v>-2781000</v>
      </c>
      <c r="BO54" s="128">
        <v>-2574000</v>
      </c>
      <c r="BP54" s="128">
        <v>-2516000</v>
      </c>
      <c r="BQ54" s="128">
        <v>-2614000</v>
      </c>
      <c r="BR54" s="128">
        <v>-2781000</v>
      </c>
      <c r="BS54" s="128">
        <v>0</v>
      </c>
      <c r="BT54" s="128">
        <v>0</v>
      </c>
      <c r="BU54" s="128">
        <v>0</v>
      </c>
      <c r="BV54" s="128">
        <v>0</v>
      </c>
      <c r="BW54" s="128">
        <v>-46000</v>
      </c>
      <c r="BX54" s="128">
        <v>-3195000</v>
      </c>
      <c r="BY54" s="128">
        <v>-1151000</v>
      </c>
      <c r="BZ54" s="128">
        <v>-1344000</v>
      </c>
      <c r="CA54" s="128">
        <v>74144000</v>
      </c>
      <c r="CB54" s="128">
        <v>43406000</v>
      </c>
      <c r="CC54" s="128">
        <v>42587000</v>
      </c>
      <c r="CD54" s="128">
        <v>38091000</v>
      </c>
      <c r="CE54" s="128">
        <v>153000</v>
      </c>
      <c r="CF54" s="128">
        <v>173000</v>
      </c>
      <c r="CG54" s="128">
        <v>177000</v>
      </c>
      <c r="CH54" s="128">
        <v>574000</v>
      </c>
      <c r="CI54" s="128">
        <v>63135000</v>
      </c>
      <c r="CJ54" s="128">
        <v>35052000</v>
      </c>
      <c r="CK54" s="128">
        <v>30540000</v>
      </c>
      <c r="CL54" s="128">
        <v>25713000</v>
      </c>
      <c r="CM54" s="128">
        <v>5282000</v>
      </c>
      <c r="CN54" s="128">
        <v>5109000</v>
      </c>
      <c r="CO54" s="128">
        <v>5749000</v>
      </c>
      <c r="CP54" s="128">
        <v>5326000</v>
      </c>
      <c r="CQ54" s="128">
        <v>4600000</v>
      </c>
      <c r="CR54" s="128">
        <v>2072000</v>
      </c>
      <c r="CS54" s="128">
        <v>5213000</v>
      </c>
      <c r="CT54" s="128">
        <v>5381000</v>
      </c>
      <c r="CU54" s="128">
        <v>151000</v>
      </c>
      <c r="CV54" s="128">
        <v>843000</v>
      </c>
      <c r="CW54" s="128">
        <v>2325000</v>
      </c>
      <c r="CX54" s="128">
        <v>4000</v>
      </c>
      <c r="CY54" s="128">
        <v>19821000</v>
      </c>
      <c r="CZ54" s="128">
        <v>19338000</v>
      </c>
      <c r="DA54" s="128">
        <v>19053000</v>
      </c>
      <c r="DB54" s="128">
        <v>16454000</v>
      </c>
      <c r="DC54" s="128">
        <v>132860000</v>
      </c>
      <c r="DD54" s="128">
        <v>103110000</v>
      </c>
      <c r="DE54" s="128">
        <v>104504000</v>
      </c>
      <c r="DF54" s="128">
        <v>99810000</v>
      </c>
      <c r="DG54" s="16">
        <f t="shared" si="2"/>
        <v>683950000</v>
      </c>
      <c r="DH54" s="16">
        <f t="shared" si="3"/>
        <v>-676272000</v>
      </c>
      <c r="DI54" s="16">
        <f t="shared" si="4"/>
        <v>-6977000</v>
      </c>
      <c r="DJ54" s="16">
        <f t="shared" si="5"/>
        <v>-2574000</v>
      </c>
      <c r="DK54" s="16">
        <f t="shared" si="6"/>
        <v>-1873000</v>
      </c>
      <c r="DL54" s="57">
        <f t="shared" si="7"/>
        <v>-2.7385042766284087E-3</v>
      </c>
      <c r="DM54" s="57">
        <f t="shared" si="8"/>
        <v>-2.7310253520223147E-3</v>
      </c>
      <c r="DN54" s="58">
        <f t="shared" si="9"/>
        <v>0</v>
      </c>
      <c r="DO54" s="16">
        <f t="shared" si="10"/>
        <v>163000</v>
      </c>
      <c r="DP54" s="16">
        <f t="shared" si="11"/>
        <v>19579500</v>
      </c>
      <c r="DQ54" s="61"/>
      <c r="DR54" s="62">
        <f t="shared" si="12"/>
        <v>378670000</v>
      </c>
      <c r="DS54" s="62">
        <f t="shared" si="13"/>
        <v>-372499000</v>
      </c>
      <c r="DT54" s="62">
        <f t="shared" si="14"/>
        <v>-8217000</v>
      </c>
      <c r="DU54" s="62">
        <f t="shared" si="15"/>
        <v>-2516000</v>
      </c>
      <c r="DV54" s="62">
        <f t="shared" si="16"/>
        <v>-4562000</v>
      </c>
      <c r="DW54" s="63">
        <f t="shared" si="17"/>
        <v>-1.2047429159954577E-2</v>
      </c>
      <c r="DX54" s="63">
        <f t="shared" si="18"/>
        <v>-1.1904016366065464E-2</v>
      </c>
      <c r="DY54" s="64">
        <f t="shared" si="19"/>
        <v>0</v>
      </c>
      <c r="DZ54" s="64">
        <f t="shared" si="20"/>
        <v>175000</v>
      </c>
      <c r="EA54" s="64">
        <f t="shared" si="21"/>
        <v>19195500</v>
      </c>
      <c r="EB54" s="61"/>
      <c r="EC54" s="64">
        <f t="shared" si="22"/>
        <v>404863000</v>
      </c>
      <c r="ED54" s="64">
        <f t="shared" si="23"/>
        <v>-396483000</v>
      </c>
      <c r="EE54" s="64">
        <f t="shared" si="24"/>
        <v>-7303000</v>
      </c>
      <c r="EF54" s="64">
        <f t="shared" si="25"/>
        <v>-2614000</v>
      </c>
      <c r="EG54" s="64">
        <f t="shared" si="26"/>
        <v>-1537000</v>
      </c>
      <c r="EH54" s="63">
        <f t="shared" si="27"/>
        <v>-3.7963459244238175E-3</v>
      </c>
      <c r="EI54" s="57">
        <f t="shared" si="28"/>
        <v>-3.781988188976378E-3</v>
      </c>
      <c r="EJ54" s="64">
        <f t="shared" si="29"/>
        <v>0</v>
      </c>
      <c r="EK54" s="64">
        <f t="shared" si="30"/>
        <v>375500</v>
      </c>
      <c r="EL54" s="64">
        <f t="shared" si="31"/>
        <v>17753500</v>
      </c>
      <c r="EM54" s="61"/>
      <c r="EN54" s="66">
        <f t="shared" si="32"/>
        <v>489161000</v>
      </c>
      <c r="EO54" s="66">
        <f t="shared" si="32"/>
        <v>-481751333.33333331</v>
      </c>
      <c r="EP54" s="66">
        <f t="shared" si="32"/>
        <v>-7499000</v>
      </c>
      <c r="EQ54" s="66">
        <f t="shared" si="32"/>
        <v>-2568000</v>
      </c>
      <c r="ER54" s="66">
        <f t="shared" si="33"/>
        <v>-2657333.3333333135</v>
      </c>
      <c r="ES54" s="63">
        <f t="shared" si="34"/>
        <v>-5.4324309037991859E-3</v>
      </c>
      <c r="ET54" s="67">
        <f t="shared" si="35"/>
        <v>-5.4030790501912564E-3</v>
      </c>
      <c r="EU54" s="66">
        <f t="shared" si="36"/>
        <v>0</v>
      </c>
      <c r="EV54" s="66">
        <f t="shared" si="37"/>
        <v>237833.33333333334</v>
      </c>
      <c r="EW54" s="66">
        <f t="shared" si="37"/>
        <v>18842833.333333332</v>
      </c>
      <c r="EX54" s="70"/>
      <c r="EY54" s="151" t="str">
        <f t="shared" si="38"/>
        <v>完整</v>
      </c>
      <c r="EZ54" s="151" t="str">
        <f t="shared" si="39"/>
        <v>完整</v>
      </c>
      <c r="FA54" s="151" t="str">
        <f t="shared" si="40"/>
        <v>完整</v>
      </c>
      <c r="FB54" s="151" t="str">
        <f t="shared" si="41"/>
        <v>选择</v>
      </c>
      <c r="FC54" s="151" t="str">
        <f t="shared" si="42"/>
        <v>删除</v>
      </c>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0"/>
    </row>
    <row r="55" spans="1:218" s="3" customFormat="1" ht="12.75" customHeight="1" x14ac:dyDescent="0.25">
      <c r="A55" s="28" t="s">
        <v>219</v>
      </c>
      <c r="B55" s="134" t="str">
        <f t="shared" si="0"/>
        <v>NIITAKA CO LTD</v>
      </c>
      <c r="C55" s="29" t="s">
        <v>328</v>
      </c>
      <c r="D55" s="135" t="s">
        <v>312</v>
      </c>
      <c r="E55" s="29"/>
      <c r="F55" s="135"/>
      <c r="H55" s="31" t="str">
        <f t="shared" si="1"/>
        <v xml:space="preserve"> </v>
      </c>
      <c r="I55" s="29"/>
      <c r="J55" s="29" t="str">
        <f>VLOOKUP(Z:Z,'[1]AP 2022'!FD54:FF181,2,FALSE)</f>
        <v>exclude</v>
      </c>
      <c r="K55" s="47" t="str">
        <f>VLOOKUP(Z:Z,'[1]AP 2022'!FD54:FF181,3,0)</f>
        <v>lev SDA/SDP</v>
      </c>
      <c r="L55" s="48"/>
      <c r="M55" s="125" t="s">
        <v>741</v>
      </c>
      <c r="N55" s="125" t="s">
        <v>742</v>
      </c>
      <c r="O55" s="125" t="s">
        <v>381</v>
      </c>
      <c r="P55" s="125" t="s">
        <v>743</v>
      </c>
      <c r="Q55" s="124"/>
      <c r="R55" s="125" t="s">
        <v>333</v>
      </c>
      <c r="S55" s="125" t="s">
        <v>744</v>
      </c>
      <c r="T55" s="125" t="s">
        <v>335</v>
      </c>
      <c r="U55" s="125" t="s">
        <v>315</v>
      </c>
      <c r="V55" s="125" t="s">
        <v>745</v>
      </c>
      <c r="W55" s="125" t="s">
        <v>746</v>
      </c>
      <c r="X55" s="124"/>
      <c r="Y55" s="124"/>
      <c r="Z55" s="125" t="s">
        <v>747</v>
      </c>
      <c r="AA55" s="128">
        <v>19504189000</v>
      </c>
      <c r="AB55" s="128">
        <v>17792438000</v>
      </c>
      <c r="AC55" s="128">
        <v>18436868000</v>
      </c>
      <c r="AD55" s="128">
        <v>17723180000</v>
      </c>
      <c r="AE55" s="128">
        <v>19504189000</v>
      </c>
      <c r="AF55" s="128">
        <v>17792438000</v>
      </c>
      <c r="AG55" s="128">
        <v>18436868000</v>
      </c>
      <c r="AH55" s="128">
        <v>17723180000</v>
      </c>
      <c r="AI55" s="125" t="s">
        <v>340</v>
      </c>
      <c r="AJ55" s="125" t="s">
        <v>340</v>
      </c>
      <c r="AK55" s="125" t="s">
        <v>340</v>
      </c>
      <c r="AL55" s="125" t="s">
        <v>340</v>
      </c>
      <c r="AM55" s="128">
        <v>19504189000</v>
      </c>
      <c r="AN55" s="128">
        <v>17792438000</v>
      </c>
      <c r="AO55" s="128">
        <v>18436868000</v>
      </c>
      <c r="AP55" s="128">
        <v>17723180000</v>
      </c>
      <c r="AQ55" s="125" t="s">
        <v>340</v>
      </c>
      <c r="AR55" s="125" t="s">
        <v>340</v>
      </c>
      <c r="AS55" s="125" t="s">
        <v>340</v>
      </c>
      <c r="AT55" s="125" t="s">
        <v>340</v>
      </c>
      <c r="AU55" s="128">
        <v>-12245311000</v>
      </c>
      <c r="AV55" s="128">
        <v>-9882989000</v>
      </c>
      <c r="AW55" s="128">
        <v>-9642429000</v>
      </c>
      <c r="AX55" s="128">
        <v>-9631474000</v>
      </c>
      <c r="AY55" s="128">
        <v>-270246000</v>
      </c>
      <c r="AZ55" s="128">
        <v>-209906000</v>
      </c>
      <c r="BA55" s="128">
        <v>-295820000</v>
      </c>
      <c r="BB55" s="128">
        <v>-304389000</v>
      </c>
      <c r="BC55" s="128">
        <v>-5560604000</v>
      </c>
      <c r="BD55" s="128">
        <v>-5257064000</v>
      </c>
      <c r="BE55" s="128">
        <v>-5415375000</v>
      </c>
      <c r="BF55" s="128">
        <v>-5586914000</v>
      </c>
      <c r="BG55" s="128">
        <v>1428028000</v>
      </c>
      <c r="BH55" s="128">
        <v>2442479000</v>
      </c>
      <c r="BI55" s="128">
        <v>3083244000</v>
      </c>
      <c r="BJ55" s="128">
        <v>2200403000</v>
      </c>
      <c r="BK55" s="128">
        <v>-573015000</v>
      </c>
      <c r="BL55" s="128">
        <v>-617135000</v>
      </c>
      <c r="BM55" s="128">
        <v>-1693378000</v>
      </c>
      <c r="BN55" s="128">
        <v>-582583000</v>
      </c>
      <c r="BO55" s="128">
        <v>-573015000</v>
      </c>
      <c r="BP55" s="128">
        <v>-617135000</v>
      </c>
      <c r="BQ55" s="128">
        <v>-1693378000</v>
      </c>
      <c r="BR55" s="128">
        <v>-582583000</v>
      </c>
      <c r="BS55" s="128">
        <v>0</v>
      </c>
      <c r="BT55" s="128">
        <v>0</v>
      </c>
      <c r="BU55" s="128">
        <v>0</v>
      </c>
      <c r="BV55" s="128">
        <v>0</v>
      </c>
      <c r="BW55" s="128">
        <v>561584000</v>
      </c>
      <c r="BX55" s="128">
        <v>1231410000</v>
      </c>
      <c r="BY55" s="128">
        <v>697248000</v>
      </c>
      <c r="BZ55" s="128">
        <v>1058619000</v>
      </c>
      <c r="CA55" s="128">
        <v>13668452000</v>
      </c>
      <c r="CB55" s="128">
        <v>11604321000</v>
      </c>
      <c r="CC55" s="128">
        <v>10948553000</v>
      </c>
      <c r="CD55" s="128">
        <v>7907727000</v>
      </c>
      <c r="CE55" s="128">
        <v>2063442000</v>
      </c>
      <c r="CF55" s="128">
        <v>1418948000</v>
      </c>
      <c r="CG55" s="128">
        <v>1509266000</v>
      </c>
      <c r="CH55" s="128">
        <v>1522632000</v>
      </c>
      <c r="CI55" s="128">
        <v>4054488000</v>
      </c>
      <c r="CJ55" s="128">
        <v>4020153000</v>
      </c>
      <c r="CK55" s="128">
        <v>3625423000</v>
      </c>
      <c r="CL55" s="128">
        <v>3935417000</v>
      </c>
      <c r="CM55" s="128">
        <v>805180000</v>
      </c>
      <c r="CN55" s="128">
        <v>108100000</v>
      </c>
      <c r="CO55" s="128">
        <v>60017000</v>
      </c>
      <c r="CP55" s="128">
        <v>155530000</v>
      </c>
      <c r="CQ55" s="128">
        <v>6745342000</v>
      </c>
      <c r="CR55" s="128">
        <v>6057120000</v>
      </c>
      <c r="CS55" s="128">
        <v>5753847000</v>
      </c>
      <c r="CT55" s="128">
        <v>2294148000</v>
      </c>
      <c r="CU55" s="125" t="s">
        <v>340</v>
      </c>
      <c r="CV55" s="125" t="s">
        <v>340</v>
      </c>
      <c r="CW55" s="125" t="s">
        <v>340</v>
      </c>
      <c r="CX55" s="125" t="s">
        <v>340</v>
      </c>
      <c r="CY55" s="128">
        <v>1272529000</v>
      </c>
      <c r="CZ55" s="128">
        <v>1122725000</v>
      </c>
      <c r="DA55" s="128">
        <v>861975000</v>
      </c>
      <c r="DB55" s="128">
        <v>827113000</v>
      </c>
      <c r="DC55" s="128">
        <v>23568032000</v>
      </c>
      <c r="DD55" s="128">
        <v>20796044000</v>
      </c>
      <c r="DE55" s="128">
        <v>20468243000</v>
      </c>
      <c r="DF55" s="128">
        <v>17777553000</v>
      </c>
      <c r="DG55" s="16">
        <f t="shared" si="2"/>
        <v>19504189000</v>
      </c>
      <c r="DH55" s="16">
        <f t="shared" si="3"/>
        <v>-12245311000</v>
      </c>
      <c r="DI55" s="16">
        <f t="shared" si="4"/>
        <v>-5830850000</v>
      </c>
      <c r="DJ55" s="16">
        <f t="shared" si="5"/>
        <v>-573015000</v>
      </c>
      <c r="DK55" s="16">
        <f t="shared" si="6"/>
        <v>855013000</v>
      </c>
      <c r="DL55" s="57">
        <f t="shared" si="7"/>
        <v>4.383740333935443E-2</v>
      </c>
      <c r="DM55" s="57">
        <f t="shared" si="8"/>
        <v>4.5847226708568785E-2</v>
      </c>
      <c r="DN55" s="58">
        <f t="shared" si="9"/>
        <v>-270246000</v>
      </c>
      <c r="DO55" s="16">
        <f t="shared" si="10"/>
        <v>1741195000</v>
      </c>
      <c r="DP55" s="16">
        <f t="shared" si="11"/>
        <v>1197627000</v>
      </c>
      <c r="DQ55" s="61"/>
      <c r="DR55" s="62">
        <f t="shared" si="12"/>
        <v>17792438000</v>
      </c>
      <c r="DS55" s="62">
        <f t="shared" si="13"/>
        <v>-9882989000</v>
      </c>
      <c r="DT55" s="62">
        <f t="shared" si="14"/>
        <v>-5466970000</v>
      </c>
      <c r="DU55" s="62">
        <f t="shared" si="15"/>
        <v>-617135000</v>
      </c>
      <c r="DV55" s="62">
        <f t="shared" si="16"/>
        <v>1825344000</v>
      </c>
      <c r="DW55" s="63">
        <f t="shared" si="17"/>
        <v>0.10259099961455535</v>
      </c>
      <c r="DX55" s="63">
        <f t="shared" si="18"/>
        <v>0.11431911154277666</v>
      </c>
      <c r="DY55" s="64">
        <f t="shared" si="19"/>
        <v>-209906000</v>
      </c>
      <c r="DZ55" s="64">
        <f t="shared" si="20"/>
        <v>1464107000</v>
      </c>
      <c r="EA55" s="64">
        <f t="shared" si="21"/>
        <v>992350000</v>
      </c>
      <c r="EB55" s="61"/>
      <c r="EC55" s="64">
        <f t="shared" si="22"/>
        <v>18436868000</v>
      </c>
      <c r="ED55" s="64">
        <f t="shared" si="23"/>
        <v>-9642429000</v>
      </c>
      <c r="EE55" s="64">
        <f t="shared" si="24"/>
        <v>-5711195000</v>
      </c>
      <c r="EF55" s="64">
        <f t="shared" si="25"/>
        <v>-1693378000</v>
      </c>
      <c r="EG55" s="64">
        <f t="shared" si="26"/>
        <v>1389866000</v>
      </c>
      <c r="EH55" s="63">
        <f t="shared" si="27"/>
        <v>7.5385146761369662E-2</v>
      </c>
      <c r="EI55" s="57">
        <f t="shared" si="28"/>
        <v>8.1531403586390147E-2</v>
      </c>
      <c r="EJ55" s="64">
        <f t="shared" si="29"/>
        <v>-295820000</v>
      </c>
      <c r="EK55" s="64">
        <f t="shared" si="30"/>
        <v>1515949000</v>
      </c>
      <c r="EL55" s="64">
        <f t="shared" si="31"/>
        <v>844544000</v>
      </c>
      <c r="EM55" s="61"/>
      <c r="EN55" s="66">
        <f t="shared" si="32"/>
        <v>18577831666.666668</v>
      </c>
      <c r="EO55" s="66">
        <f t="shared" si="32"/>
        <v>-10590243000</v>
      </c>
      <c r="EP55" s="66">
        <f t="shared" si="32"/>
        <v>-5669671666.666667</v>
      </c>
      <c r="EQ55" s="66">
        <f t="shared" si="32"/>
        <v>-961176000</v>
      </c>
      <c r="ER55" s="66">
        <f t="shared" si="33"/>
        <v>1356741000.000001</v>
      </c>
      <c r="ES55" s="63">
        <f t="shared" si="34"/>
        <v>7.3030105145927102E-2</v>
      </c>
      <c r="ET55" s="67">
        <f t="shared" si="35"/>
        <v>7.8783686019731819E-2</v>
      </c>
      <c r="EU55" s="66">
        <f t="shared" si="36"/>
        <v>258657333.33333334</v>
      </c>
      <c r="EV55" s="66">
        <f t="shared" si="37"/>
        <v>1573750333.3333333</v>
      </c>
      <c r="EW55" s="66">
        <f t="shared" si="37"/>
        <v>1011507000</v>
      </c>
      <c r="EX55" s="70"/>
      <c r="EY55" s="71" t="str">
        <f t="shared" si="38"/>
        <v>完整</v>
      </c>
      <c r="EZ55" s="71" t="str">
        <f t="shared" si="39"/>
        <v>完整</v>
      </c>
      <c r="FA55" s="71" t="str">
        <f t="shared" si="40"/>
        <v>完整</v>
      </c>
      <c r="FB55" s="71" t="str">
        <f t="shared" si="41"/>
        <v>选择</v>
      </c>
      <c r="FC55" s="71" t="str">
        <f t="shared" si="42"/>
        <v>选择</v>
      </c>
    </row>
    <row r="56" spans="1:218" s="3" customFormat="1" ht="12.75" customHeight="1" x14ac:dyDescent="0.25">
      <c r="A56" s="28" t="s">
        <v>220</v>
      </c>
      <c r="B56" s="134" t="str">
        <f t="shared" si="0"/>
        <v>SHENZHEN SELEN SCIENCE &amp; TECHNOLOGY COMPANY LIMITED</v>
      </c>
      <c r="C56" s="29" t="s">
        <v>328</v>
      </c>
      <c r="D56" s="135" t="s">
        <v>311</v>
      </c>
      <c r="E56" s="33"/>
      <c r="F56" s="34"/>
      <c r="H56" s="31" t="str">
        <f t="shared" si="1"/>
        <v xml:space="preserve"> </v>
      </c>
      <c r="I56" s="29"/>
      <c r="J56" s="29" t="e">
        <f>VLOOKUP(Z:Z,'[1]AP 2022'!FD55:FF181,2,FALSE)</f>
        <v>#N/A</v>
      </c>
      <c r="K56" s="47" t="e">
        <f>VLOOKUP(Z:Z,'[1]AP 2022'!FD55:FF181,3,0)</f>
        <v>#N/A</v>
      </c>
      <c r="L56" s="48"/>
      <c r="M56" s="125" t="s">
        <v>748</v>
      </c>
      <c r="N56" s="125" t="s">
        <v>749</v>
      </c>
      <c r="O56" s="125" t="s">
        <v>381</v>
      </c>
      <c r="P56" s="125" t="s">
        <v>750</v>
      </c>
      <c r="Q56" s="124"/>
      <c r="R56" s="125" t="s">
        <v>423</v>
      </c>
      <c r="S56" s="125" t="s">
        <v>751</v>
      </c>
      <c r="T56" s="125" t="s">
        <v>335</v>
      </c>
      <c r="U56" s="125" t="s">
        <v>317</v>
      </c>
      <c r="V56" s="125" t="s">
        <v>752</v>
      </c>
      <c r="W56" s="125" t="s">
        <v>753</v>
      </c>
      <c r="X56" s="124"/>
      <c r="Y56" s="124"/>
      <c r="Z56" s="125" t="s">
        <v>754</v>
      </c>
      <c r="AA56" s="128">
        <v>981611000</v>
      </c>
      <c r="AB56" s="128">
        <v>1345791000</v>
      </c>
      <c r="AC56" s="128">
        <v>2264805000</v>
      </c>
      <c r="AD56" s="128">
        <v>3368892000</v>
      </c>
      <c r="AE56" s="128">
        <v>946297000</v>
      </c>
      <c r="AF56" s="128">
        <v>1300742000</v>
      </c>
      <c r="AG56" s="128">
        <v>2179608000</v>
      </c>
      <c r="AH56" s="128">
        <v>3230790000</v>
      </c>
      <c r="AI56" s="128">
        <v>-19135000</v>
      </c>
      <c r="AJ56" s="128">
        <v>-22635000</v>
      </c>
      <c r="AK56" s="128">
        <v>-26144000</v>
      </c>
      <c r="AL56" s="128">
        <v>-28976000</v>
      </c>
      <c r="AM56" s="128">
        <v>927162000</v>
      </c>
      <c r="AN56" s="128">
        <v>1278107000</v>
      </c>
      <c r="AO56" s="128">
        <v>2153464000</v>
      </c>
      <c r="AP56" s="128">
        <v>3201814000</v>
      </c>
      <c r="AQ56" s="128">
        <v>54449000</v>
      </c>
      <c r="AR56" s="128">
        <v>67684000</v>
      </c>
      <c r="AS56" s="128">
        <v>111341000</v>
      </c>
      <c r="AT56" s="128">
        <v>167078000</v>
      </c>
      <c r="AU56" s="128">
        <v>-676368000</v>
      </c>
      <c r="AV56" s="128">
        <v>-864310000</v>
      </c>
      <c r="AW56" s="128">
        <v>-1543788000</v>
      </c>
      <c r="AX56" s="128">
        <v>-2462906000</v>
      </c>
      <c r="AY56" s="125" t="s">
        <v>340</v>
      </c>
      <c r="AZ56" s="125" t="s">
        <v>340</v>
      </c>
      <c r="BA56" s="125" t="s">
        <v>340</v>
      </c>
      <c r="BB56" s="125" t="s">
        <v>340</v>
      </c>
      <c r="BC56" s="128">
        <v>-310091000</v>
      </c>
      <c r="BD56" s="128">
        <v>-374128000</v>
      </c>
      <c r="BE56" s="128">
        <v>-497653000</v>
      </c>
      <c r="BF56" s="128">
        <v>-488985000</v>
      </c>
      <c r="BG56" s="128">
        <v>-4848000</v>
      </c>
      <c r="BH56" s="128">
        <v>107353000</v>
      </c>
      <c r="BI56" s="128">
        <v>223364000</v>
      </c>
      <c r="BJ56" s="128">
        <v>417001000</v>
      </c>
      <c r="BK56" s="128">
        <v>-564607000</v>
      </c>
      <c r="BL56" s="128">
        <v>-817233000</v>
      </c>
      <c r="BM56" s="128">
        <v>-881029000</v>
      </c>
      <c r="BN56" s="128">
        <v>-205565000</v>
      </c>
      <c r="BO56" s="128">
        <v>-83847000</v>
      </c>
      <c r="BP56" s="128">
        <v>-186244000</v>
      </c>
      <c r="BQ56" s="128">
        <v>-192274000</v>
      </c>
      <c r="BR56" s="128">
        <v>-153036000</v>
      </c>
      <c r="BS56" s="128">
        <v>-480760000</v>
      </c>
      <c r="BT56" s="128">
        <v>-630989000</v>
      </c>
      <c r="BU56" s="128">
        <v>-688755000</v>
      </c>
      <c r="BV56" s="128">
        <v>-52529000</v>
      </c>
      <c r="BW56" s="128">
        <v>-1232905000</v>
      </c>
      <c r="BX56" s="128">
        <v>-1268195000</v>
      </c>
      <c r="BY56" s="128">
        <v>-1289561000</v>
      </c>
      <c r="BZ56" s="128">
        <v>9881000</v>
      </c>
      <c r="CA56" s="128">
        <v>944223000</v>
      </c>
      <c r="CB56" s="128">
        <v>1472846000</v>
      </c>
      <c r="CC56" s="128">
        <v>2175877000</v>
      </c>
      <c r="CD56" s="128">
        <v>2927693000</v>
      </c>
      <c r="CE56" s="128">
        <v>188392000</v>
      </c>
      <c r="CF56" s="128">
        <v>282785000</v>
      </c>
      <c r="CG56" s="128">
        <v>330205000</v>
      </c>
      <c r="CH56" s="128">
        <v>661520000</v>
      </c>
      <c r="CI56" s="128">
        <v>200026000</v>
      </c>
      <c r="CJ56" s="128">
        <v>199489000</v>
      </c>
      <c r="CK56" s="128">
        <v>526478000</v>
      </c>
      <c r="CL56" s="128">
        <v>1218726000</v>
      </c>
      <c r="CM56" s="128">
        <v>497575000</v>
      </c>
      <c r="CN56" s="128">
        <v>908984000</v>
      </c>
      <c r="CO56" s="128">
        <v>1078553000</v>
      </c>
      <c r="CP56" s="128">
        <v>380799000</v>
      </c>
      <c r="CQ56" s="128">
        <v>35222000</v>
      </c>
      <c r="CR56" s="128">
        <v>19598000</v>
      </c>
      <c r="CS56" s="128">
        <v>166230000</v>
      </c>
      <c r="CT56" s="128">
        <v>451148000</v>
      </c>
      <c r="CU56" s="128">
        <v>5184000</v>
      </c>
      <c r="CV56" s="128">
        <v>3688000</v>
      </c>
      <c r="CW56" s="128">
        <v>18935000</v>
      </c>
      <c r="CX56" s="125" t="s">
        <v>340</v>
      </c>
      <c r="CY56" s="128">
        <v>251694000</v>
      </c>
      <c r="CZ56" s="128">
        <v>299199000</v>
      </c>
      <c r="DA56" s="128">
        <v>407948000</v>
      </c>
      <c r="DB56" s="128">
        <v>681776000</v>
      </c>
      <c r="DC56" s="128">
        <v>4802053000</v>
      </c>
      <c r="DD56" s="128">
        <v>6273802000</v>
      </c>
      <c r="DE56" s="128">
        <v>7749007000</v>
      </c>
      <c r="DF56" s="128">
        <v>9563737000</v>
      </c>
      <c r="DG56" s="16">
        <f t="shared" si="2"/>
        <v>927162000</v>
      </c>
      <c r="DH56" s="16">
        <f t="shared" si="3"/>
        <v>-676368000</v>
      </c>
      <c r="DI56" s="16">
        <f t="shared" si="4"/>
        <v>-310091000</v>
      </c>
      <c r="DJ56" s="16">
        <f t="shared" si="5"/>
        <v>-564607000</v>
      </c>
      <c r="DK56" s="16">
        <f t="shared" si="6"/>
        <v>-623904000</v>
      </c>
      <c r="DL56" s="57">
        <f t="shared" si="7"/>
        <v>-0.67291800138487123</v>
      </c>
      <c r="DM56" s="57">
        <f t="shared" si="8"/>
        <v>-0.40224207093702008</v>
      </c>
      <c r="DN56" s="58" t="str">
        <f t="shared" si="9"/>
        <v>n.a.</v>
      </c>
      <c r="DO56" s="16">
        <f t="shared" si="10"/>
        <v>235588500</v>
      </c>
      <c r="DP56" s="16">
        <f t="shared" si="11"/>
        <v>275446500</v>
      </c>
      <c r="DQ56" s="61"/>
      <c r="DR56" s="62">
        <f t="shared" si="12"/>
        <v>1278107000</v>
      </c>
      <c r="DS56" s="62">
        <f t="shared" si="13"/>
        <v>-864310000</v>
      </c>
      <c r="DT56" s="62">
        <f t="shared" si="14"/>
        <v>-374128000</v>
      </c>
      <c r="DU56" s="62">
        <f t="shared" si="15"/>
        <v>-817233000</v>
      </c>
      <c r="DV56" s="62">
        <f t="shared" si="16"/>
        <v>-777564000</v>
      </c>
      <c r="DW56" s="63">
        <f t="shared" si="17"/>
        <v>-0.60837159956091313</v>
      </c>
      <c r="DX56" s="63">
        <f t="shared" si="18"/>
        <v>-0.37825313486447976</v>
      </c>
      <c r="DY56" s="64" t="str">
        <f t="shared" si="19"/>
        <v>n.a.</v>
      </c>
      <c r="DZ56" s="64">
        <f t="shared" si="20"/>
        <v>306495000</v>
      </c>
      <c r="EA56" s="64">
        <f t="shared" si="21"/>
        <v>353573500</v>
      </c>
      <c r="EB56" s="61"/>
      <c r="EC56" s="64">
        <f t="shared" si="22"/>
        <v>2153464000</v>
      </c>
      <c r="ED56" s="64">
        <f t="shared" si="23"/>
        <v>-1543788000</v>
      </c>
      <c r="EE56" s="64">
        <f t="shared" si="24"/>
        <v>-497653000</v>
      </c>
      <c r="EF56" s="64">
        <f t="shared" si="25"/>
        <v>-881029000</v>
      </c>
      <c r="EG56" s="64">
        <f t="shared" si="26"/>
        <v>-769006000</v>
      </c>
      <c r="EH56" s="63">
        <f t="shared" si="27"/>
        <v>-0.35710186007288724</v>
      </c>
      <c r="EI56" s="57">
        <f t="shared" si="28"/>
        <v>-0.26313563526742789</v>
      </c>
      <c r="EJ56" s="64" t="str">
        <f t="shared" si="29"/>
        <v>n.a.</v>
      </c>
      <c r="EK56" s="64">
        <f t="shared" si="30"/>
        <v>495862500</v>
      </c>
      <c r="EL56" s="64">
        <f t="shared" si="31"/>
        <v>544862000</v>
      </c>
      <c r="EM56" s="61"/>
      <c r="EN56" s="66">
        <f t="shared" si="32"/>
        <v>1452911000</v>
      </c>
      <c r="EO56" s="66">
        <f t="shared" si="32"/>
        <v>-1028155333.3333334</v>
      </c>
      <c r="EP56" s="66">
        <f t="shared" si="32"/>
        <v>-393957333.33333331</v>
      </c>
      <c r="EQ56" s="66">
        <f t="shared" si="32"/>
        <v>-754289666.66666663</v>
      </c>
      <c r="ER56" s="66">
        <f t="shared" si="33"/>
        <v>-723491333.33333325</v>
      </c>
      <c r="ES56" s="63">
        <f t="shared" si="34"/>
        <v>-0.49795984291765516</v>
      </c>
      <c r="ET56" s="67">
        <f t="shared" si="35"/>
        <v>-0.33242536191607946</v>
      </c>
      <c r="EU56" s="66" t="e">
        <f t="shared" si="36"/>
        <v>#VALUE!</v>
      </c>
      <c r="EV56" s="66">
        <f t="shared" si="37"/>
        <v>345982000</v>
      </c>
      <c r="EW56" s="66">
        <f t="shared" si="37"/>
        <v>391294000</v>
      </c>
      <c r="EX56" s="70"/>
      <c r="EY56" s="151" t="str">
        <f t="shared" si="38"/>
        <v>完整</v>
      </c>
      <c r="EZ56" s="151" t="str">
        <f t="shared" si="39"/>
        <v>完整</v>
      </c>
      <c r="FA56" s="151" t="str">
        <f t="shared" si="40"/>
        <v>完整</v>
      </c>
      <c r="FB56" s="151" t="str">
        <f t="shared" si="41"/>
        <v>选择</v>
      </c>
      <c r="FC56" s="151" t="str">
        <f t="shared" si="42"/>
        <v>删除</v>
      </c>
      <c r="FD56" s="72"/>
      <c r="FE56" s="72"/>
      <c r="FF56" s="72"/>
      <c r="FG56" s="72"/>
      <c r="FH56" s="72"/>
      <c r="FI56" s="72"/>
      <c r="FJ56" s="72"/>
      <c r="FK56" s="72"/>
      <c r="FL56" s="72"/>
      <c r="FM56" s="72"/>
      <c r="FN56" s="72"/>
      <c r="FO56" s="72"/>
      <c r="FP56" s="72"/>
      <c r="FQ56" s="72"/>
      <c r="FR56" s="72"/>
      <c r="FS56" s="72"/>
      <c r="FT56" s="72"/>
      <c r="FU56" s="72"/>
      <c r="FV56" s="72"/>
      <c r="FW56" s="72"/>
      <c r="FX56" s="72"/>
      <c r="FY56" s="72"/>
      <c r="FZ56" s="72"/>
      <c r="GA56" s="72"/>
      <c r="GB56" s="72"/>
      <c r="GC56" s="72"/>
      <c r="GD56" s="72"/>
      <c r="GE56" s="72"/>
      <c r="GF56" s="72"/>
      <c r="GG56" s="72"/>
      <c r="GH56" s="72"/>
      <c r="GI56" s="72"/>
      <c r="GJ56" s="72"/>
      <c r="GK56" s="72"/>
      <c r="GL56" s="72"/>
      <c r="GM56" s="72"/>
      <c r="GN56" s="72"/>
      <c r="GO56" s="72"/>
      <c r="GP56" s="72"/>
      <c r="GQ56" s="72"/>
      <c r="GR56" s="72"/>
      <c r="GS56" s="72"/>
      <c r="GT56" s="72"/>
      <c r="GU56" s="72"/>
      <c r="GV56" s="72"/>
      <c r="GW56" s="72"/>
      <c r="GX56" s="72"/>
      <c r="GY56" s="72"/>
      <c r="GZ56" s="72"/>
      <c r="HA56" s="72"/>
      <c r="HB56" s="72"/>
      <c r="HC56" s="72"/>
      <c r="HD56" s="72"/>
      <c r="HE56" s="72"/>
      <c r="HF56" s="72"/>
      <c r="HG56" s="72"/>
      <c r="HH56" s="72"/>
      <c r="HI56" s="72"/>
    </row>
    <row r="57" spans="1:218" s="3" customFormat="1" ht="12.75" customHeight="1" x14ac:dyDescent="0.25">
      <c r="A57" s="28" t="s">
        <v>221</v>
      </c>
      <c r="B57" s="134" t="str">
        <f t="shared" si="0"/>
        <v>MINGCHEN HEALTH CO.,LTD.</v>
      </c>
      <c r="C57" s="29" t="s">
        <v>328</v>
      </c>
      <c r="D57" s="136" t="s">
        <v>309</v>
      </c>
      <c r="E57" s="33"/>
      <c r="H57" s="31" t="str">
        <f t="shared" si="1"/>
        <v xml:space="preserve"> </v>
      </c>
      <c r="I57" s="29"/>
      <c r="J57" s="29" t="str">
        <f>VLOOKUP(Z:Z,'[1]AP 2022'!FD56:FF181,2,FALSE)</f>
        <v>exclude</v>
      </c>
      <c r="K57" s="47" t="str">
        <f>VLOOKUP(Z:Z,'[1]AP 2022'!FD56:FF181,3,0)</f>
        <v>Independence(A+, A, A-, U)</v>
      </c>
      <c r="L57" s="48"/>
      <c r="M57" s="125" t="s">
        <v>755</v>
      </c>
      <c r="N57" s="125" t="s">
        <v>756</v>
      </c>
      <c r="O57" s="125" t="s">
        <v>381</v>
      </c>
      <c r="P57" s="125" t="s">
        <v>757</v>
      </c>
      <c r="Q57" s="124"/>
      <c r="R57" s="125" t="s">
        <v>423</v>
      </c>
      <c r="S57" s="125" t="s">
        <v>758</v>
      </c>
      <c r="T57" s="125" t="s">
        <v>365</v>
      </c>
      <c r="U57" s="125" t="s">
        <v>321</v>
      </c>
      <c r="V57" s="125" t="s">
        <v>759</v>
      </c>
      <c r="W57" s="125" t="s">
        <v>760</v>
      </c>
      <c r="X57" s="124"/>
      <c r="Y57" s="124"/>
      <c r="Z57" s="125" t="s">
        <v>761</v>
      </c>
      <c r="AA57" s="128">
        <v>950036000</v>
      </c>
      <c r="AB57" s="128">
        <v>741648000</v>
      </c>
      <c r="AC57" s="128">
        <v>677521000</v>
      </c>
      <c r="AD57" s="128">
        <v>513292000</v>
      </c>
      <c r="AE57" s="128">
        <v>944037000</v>
      </c>
      <c r="AF57" s="128">
        <v>743067000</v>
      </c>
      <c r="AG57" s="128">
        <v>677120000</v>
      </c>
      <c r="AH57" s="128">
        <v>515010000</v>
      </c>
      <c r="AI57" s="128">
        <v>-5356000</v>
      </c>
      <c r="AJ57" s="128">
        <v>-6795000</v>
      </c>
      <c r="AK57" s="128">
        <v>-6350000</v>
      </c>
      <c r="AL57" s="128">
        <v>-4510000</v>
      </c>
      <c r="AM57" s="128">
        <v>938681000</v>
      </c>
      <c r="AN57" s="128">
        <v>736272000</v>
      </c>
      <c r="AO57" s="128">
        <v>670770000</v>
      </c>
      <c r="AP57" s="128">
        <v>510500000</v>
      </c>
      <c r="AQ57" s="128">
        <v>11355000</v>
      </c>
      <c r="AR57" s="128">
        <v>5376000</v>
      </c>
      <c r="AS57" s="128">
        <v>6751000</v>
      </c>
      <c r="AT57" s="128">
        <v>2792000</v>
      </c>
      <c r="AU57" s="128">
        <v>-411747000</v>
      </c>
      <c r="AV57" s="128">
        <v>-351015000</v>
      </c>
      <c r="AW57" s="128">
        <v>-367062000</v>
      </c>
      <c r="AX57" s="128">
        <v>-307699000</v>
      </c>
      <c r="AY57" s="125" t="s">
        <v>340</v>
      </c>
      <c r="AZ57" s="125" t="s">
        <v>340</v>
      </c>
      <c r="BA57" s="125" t="s">
        <v>340</v>
      </c>
      <c r="BB57" s="125" t="s">
        <v>340</v>
      </c>
      <c r="BC57" s="128">
        <v>-514531000</v>
      </c>
      <c r="BD57" s="128">
        <v>-253833000</v>
      </c>
      <c r="BE57" s="128">
        <v>-184501000</v>
      </c>
      <c r="BF57" s="128">
        <v>-172001000</v>
      </c>
      <c r="BG57" s="128">
        <v>23758000</v>
      </c>
      <c r="BH57" s="128">
        <v>136800000</v>
      </c>
      <c r="BI57" s="128">
        <v>125958000</v>
      </c>
      <c r="BJ57" s="128">
        <v>33592000</v>
      </c>
      <c r="BK57" s="128">
        <v>-36520000</v>
      </c>
      <c r="BL57" s="128">
        <v>-17364000</v>
      </c>
      <c r="BM57" s="128">
        <v>-12979000</v>
      </c>
      <c r="BN57" s="128">
        <v>-8828000</v>
      </c>
      <c r="BO57" s="128">
        <v>-10935000</v>
      </c>
      <c r="BP57" s="128">
        <v>-10507000</v>
      </c>
      <c r="BQ57" s="128">
        <v>-10334000</v>
      </c>
      <c r="BR57" s="128">
        <v>-8492000</v>
      </c>
      <c r="BS57" s="128">
        <v>-25585000</v>
      </c>
      <c r="BT57" s="128">
        <v>-6857000</v>
      </c>
      <c r="BU57" s="128">
        <v>-2645000</v>
      </c>
      <c r="BV57" s="128">
        <v>-336000</v>
      </c>
      <c r="BW57" s="128">
        <v>25330000</v>
      </c>
      <c r="BX57" s="128">
        <v>133494000</v>
      </c>
      <c r="BY57" s="128">
        <v>102240000</v>
      </c>
      <c r="BZ57" s="128">
        <v>23077000</v>
      </c>
      <c r="CA57" s="128">
        <v>638873000</v>
      </c>
      <c r="CB57" s="128">
        <v>671842000</v>
      </c>
      <c r="CC57" s="128">
        <v>663795000</v>
      </c>
      <c r="CD57" s="128">
        <v>613085000</v>
      </c>
      <c r="CE57" s="128">
        <v>191289000</v>
      </c>
      <c r="CF57" s="128">
        <v>133010000</v>
      </c>
      <c r="CG57" s="128">
        <v>137479000</v>
      </c>
      <c r="CH57" s="128">
        <v>160573000</v>
      </c>
      <c r="CI57" s="128">
        <v>161236000</v>
      </c>
      <c r="CJ57" s="128">
        <v>209736000</v>
      </c>
      <c r="CK57" s="128">
        <v>188092000</v>
      </c>
      <c r="CL57" s="128">
        <v>19078000</v>
      </c>
      <c r="CM57" s="128">
        <v>24004000</v>
      </c>
      <c r="CN57" s="128">
        <v>15902000</v>
      </c>
      <c r="CO57" s="128">
        <v>10836000</v>
      </c>
      <c r="CP57" s="128">
        <v>6265000</v>
      </c>
      <c r="CQ57" s="128">
        <v>135933000</v>
      </c>
      <c r="CR57" s="128">
        <v>262855000</v>
      </c>
      <c r="CS57" s="128">
        <v>313586000</v>
      </c>
      <c r="CT57" s="128">
        <v>424272000</v>
      </c>
      <c r="CU57" s="128">
        <v>0</v>
      </c>
      <c r="CV57" s="128">
        <v>11957000</v>
      </c>
      <c r="CW57" s="128">
        <v>114874000</v>
      </c>
      <c r="CX57" s="128">
        <v>102780000</v>
      </c>
      <c r="CY57" s="128">
        <v>30715000</v>
      </c>
      <c r="CZ57" s="128">
        <v>25378000</v>
      </c>
      <c r="DA57" s="128">
        <v>20031000</v>
      </c>
      <c r="DB57" s="128">
        <v>21287000</v>
      </c>
      <c r="DC57" s="128">
        <v>1243033000</v>
      </c>
      <c r="DD57" s="128">
        <v>970346000</v>
      </c>
      <c r="DE57" s="128">
        <v>879177000</v>
      </c>
      <c r="DF57" s="128">
        <v>699552000</v>
      </c>
      <c r="DG57" s="16">
        <f t="shared" si="2"/>
        <v>938681000</v>
      </c>
      <c r="DH57" s="16">
        <f t="shared" si="3"/>
        <v>-411747000</v>
      </c>
      <c r="DI57" s="16">
        <f t="shared" si="4"/>
        <v>-514531000</v>
      </c>
      <c r="DJ57" s="16">
        <f t="shared" si="5"/>
        <v>-36520000</v>
      </c>
      <c r="DK57" s="16">
        <f t="shared" si="6"/>
        <v>-24117000</v>
      </c>
      <c r="DL57" s="57">
        <f t="shared" si="7"/>
        <v>-2.5692434383992005E-2</v>
      </c>
      <c r="DM57" s="57">
        <f t="shared" si="8"/>
        <v>-2.5048867986846669E-2</v>
      </c>
      <c r="DN57" s="58" t="str">
        <f t="shared" si="9"/>
        <v>n.a.</v>
      </c>
      <c r="DO57" s="16">
        <f t="shared" si="10"/>
        <v>162149500</v>
      </c>
      <c r="DP57" s="16">
        <f t="shared" si="11"/>
        <v>28046500</v>
      </c>
      <c r="DQ57" s="61"/>
      <c r="DR57" s="62">
        <f t="shared" si="12"/>
        <v>736272000</v>
      </c>
      <c r="DS57" s="62">
        <f t="shared" si="13"/>
        <v>-351015000</v>
      </c>
      <c r="DT57" s="62">
        <f t="shared" si="14"/>
        <v>-253833000</v>
      </c>
      <c r="DU57" s="62">
        <f t="shared" si="15"/>
        <v>-17364000</v>
      </c>
      <c r="DV57" s="62">
        <f t="shared" si="16"/>
        <v>114060000</v>
      </c>
      <c r="DW57" s="63">
        <f t="shared" si="17"/>
        <v>0.154915574678923</v>
      </c>
      <c r="DX57" s="63">
        <f t="shared" si="18"/>
        <v>0.18331372586835354</v>
      </c>
      <c r="DY57" s="64" t="str">
        <f t="shared" si="19"/>
        <v>n.a.</v>
      </c>
      <c r="DZ57" s="64">
        <f t="shared" si="20"/>
        <v>135244500</v>
      </c>
      <c r="EA57" s="64">
        <f t="shared" si="21"/>
        <v>22704500</v>
      </c>
      <c r="EB57" s="61"/>
      <c r="EC57" s="64">
        <f t="shared" si="22"/>
        <v>670770000</v>
      </c>
      <c r="ED57" s="64">
        <f t="shared" si="23"/>
        <v>-367062000</v>
      </c>
      <c r="EE57" s="64">
        <f t="shared" si="24"/>
        <v>-184501000</v>
      </c>
      <c r="EF57" s="64">
        <f t="shared" si="25"/>
        <v>-12979000</v>
      </c>
      <c r="EG57" s="64">
        <f t="shared" si="26"/>
        <v>106228000</v>
      </c>
      <c r="EH57" s="63">
        <f t="shared" si="27"/>
        <v>0.15836724957884224</v>
      </c>
      <c r="EI57" s="57">
        <f t="shared" si="28"/>
        <v>0.18816669087508103</v>
      </c>
      <c r="EJ57" s="64" t="str">
        <f t="shared" si="29"/>
        <v>n.a.</v>
      </c>
      <c r="EK57" s="64">
        <f t="shared" si="30"/>
        <v>149026000</v>
      </c>
      <c r="EL57" s="64">
        <f t="shared" si="31"/>
        <v>20659000</v>
      </c>
      <c r="EM57" s="61"/>
      <c r="EN57" s="66">
        <f t="shared" si="32"/>
        <v>781907666.66666663</v>
      </c>
      <c r="EO57" s="66">
        <f t="shared" si="32"/>
        <v>-376608000</v>
      </c>
      <c r="EP57" s="66">
        <f t="shared" si="32"/>
        <v>-317621666.66666669</v>
      </c>
      <c r="EQ57" s="66">
        <f t="shared" si="32"/>
        <v>-22287666.666666668</v>
      </c>
      <c r="ER57" s="66">
        <f t="shared" si="33"/>
        <v>65390333.333333269</v>
      </c>
      <c r="ES57" s="63">
        <f t="shared" si="34"/>
        <v>8.362922646876883E-2</v>
      </c>
      <c r="ET57" s="67">
        <f t="shared" si="35"/>
        <v>9.126134189821869E-2</v>
      </c>
      <c r="EU57" s="66" t="e">
        <f t="shared" si="36"/>
        <v>#VALUE!</v>
      </c>
      <c r="EV57" s="66">
        <f t="shared" si="37"/>
        <v>148806666.66666666</v>
      </c>
      <c r="EW57" s="66">
        <f t="shared" si="37"/>
        <v>23803333.333333332</v>
      </c>
      <c r="EX57" s="70"/>
      <c r="EY57" s="71" t="str">
        <f t="shared" si="38"/>
        <v>完整</v>
      </c>
      <c r="EZ57" s="71" t="str">
        <f t="shared" si="39"/>
        <v>完整</v>
      </c>
      <c r="FA57" s="71" t="str">
        <f t="shared" si="40"/>
        <v>完整</v>
      </c>
      <c r="FB57" s="71" t="str">
        <f t="shared" si="41"/>
        <v>选择</v>
      </c>
      <c r="FC57" s="71" t="str">
        <f t="shared" si="42"/>
        <v>选择</v>
      </c>
    </row>
    <row r="58" spans="1:218" s="3" customFormat="1" ht="12.75" customHeight="1" x14ac:dyDescent="0.25">
      <c r="A58" s="28" t="s">
        <v>222</v>
      </c>
      <c r="B58" s="134" t="str">
        <f t="shared" si="0"/>
        <v>PT MANDOM INDONESIA TBK</v>
      </c>
      <c r="C58" s="29" t="s">
        <v>328</v>
      </c>
      <c r="D58" s="136" t="s">
        <v>309</v>
      </c>
      <c r="E58" s="33"/>
      <c r="F58" s="34"/>
      <c r="G58" s="29"/>
      <c r="H58" s="31" t="str">
        <f t="shared" si="1"/>
        <v xml:space="preserve"> </v>
      </c>
      <c r="I58" s="29"/>
      <c r="J58" s="29" t="str">
        <f>VLOOKUP(Z:Z,'[1]AP 2022'!FD57:FF181,2,FALSE)</f>
        <v>exclude</v>
      </c>
      <c r="K58" s="47" t="str">
        <f>VLOOKUP(Z:Z,'[1]AP 2022'!FD57:FF181,3,0)</f>
        <v>Independence(A+, A, A-, U)</v>
      </c>
      <c r="L58" s="48"/>
      <c r="M58" s="125" t="s">
        <v>762</v>
      </c>
      <c r="N58" s="125" t="s">
        <v>763</v>
      </c>
      <c r="O58" s="125" t="s">
        <v>381</v>
      </c>
      <c r="P58" s="125" t="s">
        <v>764</v>
      </c>
      <c r="Q58" s="124"/>
      <c r="R58" s="125" t="s">
        <v>399</v>
      </c>
      <c r="S58" s="125" t="s">
        <v>765</v>
      </c>
      <c r="T58" s="125" t="s">
        <v>374</v>
      </c>
      <c r="U58" s="125" t="s">
        <v>321</v>
      </c>
      <c r="V58" s="125" t="s">
        <v>766</v>
      </c>
      <c r="W58" s="125" t="s">
        <v>767</v>
      </c>
      <c r="X58" s="125" t="s">
        <v>768</v>
      </c>
      <c r="Y58" s="124"/>
      <c r="Z58" s="125" t="s">
        <v>769</v>
      </c>
      <c r="AA58" s="128">
        <v>2047559458000</v>
      </c>
      <c r="AB58" s="128">
        <v>1851029419000</v>
      </c>
      <c r="AC58" s="128">
        <v>1886441461000</v>
      </c>
      <c r="AD58" s="128">
        <v>2805353776000</v>
      </c>
      <c r="AE58" s="128">
        <v>2044821803000</v>
      </c>
      <c r="AF58" s="128">
        <v>1850311080000</v>
      </c>
      <c r="AG58" s="128">
        <v>1882144125000</v>
      </c>
      <c r="AH58" s="128">
        <v>2804151671000</v>
      </c>
      <c r="AI58" s="125" t="s">
        <v>340</v>
      </c>
      <c r="AJ58" s="125" t="s">
        <v>340</v>
      </c>
      <c r="AK58" s="125" t="s">
        <v>340</v>
      </c>
      <c r="AL58" s="125" t="s">
        <v>340</v>
      </c>
      <c r="AM58" s="128">
        <v>2044821803000</v>
      </c>
      <c r="AN58" s="128">
        <v>1850311080000</v>
      </c>
      <c r="AO58" s="128">
        <v>1882144125000</v>
      </c>
      <c r="AP58" s="128">
        <v>2804151671000</v>
      </c>
      <c r="AQ58" s="128">
        <v>2737655000</v>
      </c>
      <c r="AR58" s="128">
        <v>718339000</v>
      </c>
      <c r="AS58" s="128">
        <v>4297336000</v>
      </c>
      <c r="AT58" s="128">
        <v>1202105000</v>
      </c>
      <c r="AU58" s="128">
        <v>-1523273156000</v>
      </c>
      <c r="AV58" s="128">
        <v>-1415865345000</v>
      </c>
      <c r="AW58" s="128">
        <v>-1417377964000</v>
      </c>
      <c r="AX58" s="128">
        <v>-1725061669000</v>
      </c>
      <c r="AY58" s="128">
        <v>-3501367000</v>
      </c>
      <c r="AZ58" s="128">
        <v>0</v>
      </c>
      <c r="BA58" s="128">
        <v>0</v>
      </c>
      <c r="BB58" s="128">
        <v>-3382936000</v>
      </c>
      <c r="BC58" s="128">
        <v>-374856866000</v>
      </c>
      <c r="BD58" s="128">
        <v>-378065159000</v>
      </c>
      <c r="BE58" s="128">
        <v>-394257859000</v>
      </c>
      <c r="BF58" s="128">
        <v>-710959852000</v>
      </c>
      <c r="BG58" s="128">
        <v>145928069000</v>
      </c>
      <c r="BH58" s="128">
        <v>57098915000</v>
      </c>
      <c r="BI58" s="128">
        <v>74805638000</v>
      </c>
      <c r="BJ58" s="128">
        <v>365949319000</v>
      </c>
      <c r="BK58" s="128">
        <v>-137343021000</v>
      </c>
      <c r="BL58" s="128">
        <v>-160936098000</v>
      </c>
      <c r="BM58" s="128">
        <v>-184671976000</v>
      </c>
      <c r="BN58" s="128">
        <v>-176374226000</v>
      </c>
      <c r="BO58" s="128">
        <v>-120854241000</v>
      </c>
      <c r="BP58" s="128">
        <v>-137152034000</v>
      </c>
      <c r="BQ58" s="128">
        <v>-155636572000</v>
      </c>
      <c r="BR58" s="128">
        <v>-152669282000</v>
      </c>
      <c r="BS58" s="128">
        <v>-16488780000</v>
      </c>
      <c r="BT58" s="128">
        <v>-23784064000</v>
      </c>
      <c r="BU58" s="128">
        <v>-29035404000</v>
      </c>
      <c r="BV58" s="128">
        <v>-23704944000</v>
      </c>
      <c r="BW58" s="128">
        <v>18467724000</v>
      </c>
      <c r="BX58" s="128">
        <v>-75681611000</v>
      </c>
      <c r="BY58" s="128">
        <v>-97132842000</v>
      </c>
      <c r="BZ58" s="128">
        <v>145149345000</v>
      </c>
      <c r="CA58" s="128">
        <v>1594565568000</v>
      </c>
      <c r="CB58" s="128">
        <v>1437357375000</v>
      </c>
      <c r="CC58" s="128">
        <v>1361073330000</v>
      </c>
      <c r="CD58" s="128">
        <v>1428191709000</v>
      </c>
      <c r="CE58" s="128">
        <v>624271016000</v>
      </c>
      <c r="CF58" s="128">
        <v>497854833000</v>
      </c>
      <c r="CG58" s="128">
        <v>532921306000</v>
      </c>
      <c r="CH58" s="128">
        <v>677051920000</v>
      </c>
      <c r="CI58" s="128">
        <v>358632132000</v>
      </c>
      <c r="CJ58" s="128">
        <v>368214599000</v>
      </c>
      <c r="CK58" s="128">
        <v>343063537000</v>
      </c>
      <c r="CL58" s="128">
        <v>450804270000</v>
      </c>
      <c r="CM58" s="128">
        <v>27559047000</v>
      </c>
      <c r="CN58" s="128">
        <v>5382858000</v>
      </c>
      <c r="CO58" s="128">
        <v>6357219000</v>
      </c>
      <c r="CP58" s="128">
        <v>2628619000</v>
      </c>
      <c r="CQ58" s="128">
        <v>573682034000</v>
      </c>
      <c r="CR58" s="128">
        <v>557941979000</v>
      </c>
      <c r="CS58" s="128">
        <v>470717389000</v>
      </c>
      <c r="CT58" s="128">
        <v>288931118000</v>
      </c>
      <c r="CU58" s="128">
        <v>306523000</v>
      </c>
      <c r="CV58" s="128">
        <v>3327633000</v>
      </c>
      <c r="CW58" s="128">
        <v>3251901000</v>
      </c>
      <c r="CX58" s="128">
        <v>3175806000</v>
      </c>
      <c r="CY58" s="128">
        <v>81863292000</v>
      </c>
      <c r="CZ58" s="128">
        <v>88802870000</v>
      </c>
      <c r="DA58" s="128">
        <v>69099138000</v>
      </c>
      <c r="DB58" s="128">
        <v>54829371000</v>
      </c>
      <c r="DC58" s="128">
        <v>2380657918000</v>
      </c>
      <c r="DD58" s="128">
        <v>2300804865000</v>
      </c>
      <c r="DE58" s="128">
        <v>2333947582000</v>
      </c>
      <c r="DF58" s="128">
        <v>2551192621000</v>
      </c>
      <c r="DG58" s="16">
        <f t="shared" si="2"/>
        <v>2044821803000</v>
      </c>
      <c r="DH58" s="16">
        <f t="shared" si="3"/>
        <v>-1523273156000</v>
      </c>
      <c r="DI58" s="16">
        <f t="shared" si="4"/>
        <v>-378358233000</v>
      </c>
      <c r="DJ58" s="16">
        <f t="shared" si="5"/>
        <v>-137343021000</v>
      </c>
      <c r="DK58" s="16">
        <f t="shared" si="6"/>
        <v>5847393000</v>
      </c>
      <c r="DL58" s="57">
        <f t="shared" si="7"/>
        <v>2.859610060603408E-3</v>
      </c>
      <c r="DM58" s="57">
        <f t="shared" si="8"/>
        <v>2.8678108814519159E-3</v>
      </c>
      <c r="DN58" s="58">
        <f t="shared" si="9"/>
        <v>-3501367000</v>
      </c>
      <c r="DO58" s="16">
        <f t="shared" si="10"/>
        <v>561062924500</v>
      </c>
      <c r="DP58" s="16">
        <f t="shared" si="11"/>
        <v>85333081000</v>
      </c>
      <c r="DQ58" s="61"/>
      <c r="DR58" s="62">
        <f t="shared" si="12"/>
        <v>1850311080000</v>
      </c>
      <c r="DS58" s="62">
        <f t="shared" si="13"/>
        <v>-1415865345000</v>
      </c>
      <c r="DT58" s="62">
        <f t="shared" si="14"/>
        <v>-378065159000</v>
      </c>
      <c r="DU58" s="62">
        <f t="shared" si="15"/>
        <v>-160936098000</v>
      </c>
      <c r="DV58" s="62">
        <f t="shared" si="16"/>
        <v>-104555522000</v>
      </c>
      <c r="DW58" s="63">
        <f t="shared" si="17"/>
        <v>-5.6506996650530786E-2</v>
      </c>
      <c r="DX58" s="63">
        <f t="shared" si="18"/>
        <v>-5.34847349138967E-2</v>
      </c>
      <c r="DY58" s="64">
        <f t="shared" si="19"/>
        <v>0</v>
      </c>
      <c r="DZ58" s="64">
        <f t="shared" si="20"/>
        <v>515388069500</v>
      </c>
      <c r="EA58" s="64">
        <f t="shared" si="21"/>
        <v>78951004000</v>
      </c>
      <c r="EB58" s="61"/>
      <c r="EC58" s="64">
        <f t="shared" si="22"/>
        <v>1882144125000</v>
      </c>
      <c r="ED58" s="64">
        <f t="shared" si="23"/>
        <v>-1417377964000</v>
      </c>
      <c r="EE58" s="64">
        <f t="shared" si="24"/>
        <v>-394257859000</v>
      </c>
      <c r="EF58" s="64">
        <f t="shared" si="25"/>
        <v>-184671976000</v>
      </c>
      <c r="EG58" s="64">
        <f t="shared" si="26"/>
        <v>-114163674000</v>
      </c>
      <c r="EH58" s="63">
        <f t="shared" si="27"/>
        <v>-6.0656180620599395E-2</v>
      </c>
      <c r="EI58" s="57">
        <f t="shared" si="28"/>
        <v>-5.7187410707500823E-2</v>
      </c>
      <c r="EJ58" s="64">
        <f t="shared" si="29"/>
        <v>0</v>
      </c>
      <c r="EK58" s="64">
        <f t="shared" si="30"/>
        <v>604986613000</v>
      </c>
      <c r="EL58" s="64">
        <f t="shared" si="31"/>
        <v>61964254500</v>
      </c>
      <c r="EM58" s="61"/>
      <c r="EN58" s="66">
        <f t="shared" si="32"/>
        <v>1925759002666.6667</v>
      </c>
      <c r="EO58" s="66">
        <f t="shared" si="32"/>
        <v>-1452172155000</v>
      </c>
      <c r="EP58" s="66">
        <f t="shared" si="32"/>
        <v>-383560417000</v>
      </c>
      <c r="EQ58" s="66">
        <f t="shared" si="32"/>
        <v>-160983698333.33334</v>
      </c>
      <c r="ER58" s="66">
        <f t="shared" si="33"/>
        <v>-70957267666.666595</v>
      </c>
      <c r="ES58" s="63">
        <f t="shared" si="34"/>
        <v>-3.6846390212071992E-2</v>
      </c>
      <c r="ET58" s="67">
        <f t="shared" si="35"/>
        <v>-3.5536980752313367E-2</v>
      </c>
      <c r="EU58" s="66">
        <f t="shared" si="36"/>
        <v>1167122333.3333333</v>
      </c>
      <c r="EV58" s="66">
        <f t="shared" si="37"/>
        <v>560479202333.33337</v>
      </c>
      <c r="EW58" s="66">
        <f t="shared" si="37"/>
        <v>75416113166.666672</v>
      </c>
      <c r="EX58" s="70"/>
      <c r="EY58" s="71" t="str">
        <f t="shared" si="38"/>
        <v>完整</v>
      </c>
      <c r="EZ58" s="71" t="str">
        <f t="shared" si="39"/>
        <v>完整</v>
      </c>
      <c r="FA58" s="71" t="str">
        <f t="shared" si="40"/>
        <v>完整</v>
      </c>
      <c r="FB58" s="71" t="str">
        <f t="shared" si="41"/>
        <v>选择</v>
      </c>
      <c r="FC58" s="71" t="str">
        <f t="shared" si="42"/>
        <v>选择</v>
      </c>
      <c r="FD58" s="72"/>
      <c r="FE58" s="72"/>
      <c r="FF58" s="72"/>
      <c r="FG58" s="72"/>
      <c r="FH58" s="72"/>
      <c r="FI58" s="72"/>
      <c r="FJ58" s="72"/>
      <c r="FK58" s="72"/>
      <c r="FL58" s="72"/>
      <c r="FM58" s="72"/>
      <c r="FN58" s="72"/>
      <c r="FO58" s="72"/>
      <c r="FP58" s="72"/>
      <c r="FQ58" s="72"/>
      <c r="FR58" s="72"/>
      <c r="FS58" s="72"/>
      <c r="FT58" s="72"/>
      <c r="FU58" s="72"/>
      <c r="FV58" s="72"/>
      <c r="FW58" s="72"/>
      <c r="FX58" s="72"/>
      <c r="FY58" s="72"/>
      <c r="FZ58" s="72"/>
      <c r="GA58" s="72"/>
      <c r="GB58" s="72"/>
      <c r="GC58" s="72"/>
      <c r="GD58" s="72"/>
      <c r="GE58" s="72"/>
      <c r="GF58" s="72"/>
      <c r="GG58" s="72"/>
      <c r="GH58" s="72"/>
      <c r="GI58" s="72"/>
      <c r="GJ58" s="72"/>
      <c r="GK58" s="72"/>
      <c r="GL58" s="72"/>
      <c r="GM58" s="72"/>
      <c r="GN58" s="72"/>
      <c r="GO58" s="72"/>
      <c r="GP58" s="72"/>
      <c r="GQ58" s="72"/>
      <c r="GR58" s="72"/>
      <c r="GS58" s="72"/>
      <c r="GT58" s="72"/>
      <c r="GU58" s="72"/>
      <c r="GV58" s="72"/>
      <c r="GW58" s="72"/>
      <c r="GX58" s="72"/>
      <c r="GY58" s="72"/>
      <c r="GZ58" s="72"/>
      <c r="HA58" s="72"/>
      <c r="HB58" s="72"/>
      <c r="HC58" s="72"/>
      <c r="HD58" s="72"/>
      <c r="HE58" s="72"/>
      <c r="HF58" s="72"/>
      <c r="HG58" s="72"/>
      <c r="HH58" s="72"/>
      <c r="HI58" s="72"/>
    </row>
    <row r="59" spans="1:218" s="3" customFormat="1" ht="12.75" customHeight="1" x14ac:dyDescent="0.25">
      <c r="A59" s="28" t="s">
        <v>223</v>
      </c>
      <c r="B59" s="134" t="str">
        <f t="shared" si="0"/>
        <v>WUHAN CHUANGJIE GONGMAO XIHUA CO.,LTD.</v>
      </c>
      <c r="C59" s="29" t="s">
        <v>328</v>
      </c>
      <c r="D59" s="136" t="s">
        <v>309</v>
      </c>
      <c r="E59" s="33"/>
      <c r="H59" s="31" t="str">
        <f t="shared" si="1"/>
        <v xml:space="preserve"> </v>
      </c>
      <c r="I59" s="29"/>
      <c r="J59" s="29" t="str">
        <f>VLOOKUP(Z:Z,'[1]AP 2022'!FD58:FF181,2,FALSE)</f>
        <v>exclude</v>
      </c>
      <c r="K59" s="47" t="str">
        <f>VLOOKUP(Z:Z,'[1]AP 2022'!FD58:FF181,3,0)</f>
        <v>Independence(A+, A, A-, U)</v>
      </c>
      <c r="L59" s="48"/>
      <c r="M59" s="125" t="s">
        <v>770</v>
      </c>
      <c r="N59" s="125" t="s">
        <v>771</v>
      </c>
      <c r="O59" s="125" t="s">
        <v>772</v>
      </c>
      <c r="P59" s="124"/>
      <c r="Q59" s="124"/>
      <c r="R59" s="125" t="s">
        <v>423</v>
      </c>
      <c r="S59" s="125" t="s">
        <v>773</v>
      </c>
      <c r="T59" s="125" t="s">
        <v>374</v>
      </c>
      <c r="U59" s="125" t="s">
        <v>321</v>
      </c>
      <c r="V59" s="125" t="s">
        <v>774</v>
      </c>
      <c r="W59" s="125" t="s">
        <v>775</v>
      </c>
      <c r="X59" s="124"/>
      <c r="Y59" s="124"/>
      <c r="Z59" s="125" t="s">
        <v>776</v>
      </c>
      <c r="AA59" s="128">
        <v>908603000</v>
      </c>
      <c r="AB59" s="128">
        <v>1045237000</v>
      </c>
      <c r="AC59" s="128">
        <v>1068749000</v>
      </c>
      <c r="AD59" s="128">
        <v>1065108000</v>
      </c>
      <c r="AE59" s="128">
        <v>910638000</v>
      </c>
      <c r="AF59" s="128">
        <v>1046733000</v>
      </c>
      <c r="AG59" s="128">
        <v>1069594000</v>
      </c>
      <c r="AH59" s="128">
        <v>1066205000</v>
      </c>
      <c r="AI59" s="128">
        <v>-2274000</v>
      </c>
      <c r="AJ59" s="128">
        <v>-1609000</v>
      </c>
      <c r="AK59" s="128">
        <v>-1302000</v>
      </c>
      <c r="AL59" s="128">
        <v>-1352000</v>
      </c>
      <c r="AM59" s="128">
        <v>908364000</v>
      </c>
      <c r="AN59" s="128">
        <v>1045124000</v>
      </c>
      <c r="AO59" s="128">
        <v>1068292000</v>
      </c>
      <c r="AP59" s="128">
        <v>1064853000</v>
      </c>
      <c r="AQ59" s="128">
        <v>239000</v>
      </c>
      <c r="AR59" s="128">
        <v>113000</v>
      </c>
      <c r="AS59" s="128">
        <v>457000</v>
      </c>
      <c r="AT59" s="128">
        <v>255000</v>
      </c>
      <c r="AU59" s="128">
        <v>-791940000</v>
      </c>
      <c r="AV59" s="128">
        <v>-895251000</v>
      </c>
      <c r="AW59" s="128">
        <v>-960516000</v>
      </c>
      <c r="AX59" s="128">
        <v>-945366000</v>
      </c>
      <c r="AY59" s="125" t="s">
        <v>340</v>
      </c>
      <c r="AZ59" s="125" t="s">
        <v>340</v>
      </c>
      <c r="BA59" s="125" t="s">
        <v>340</v>
      </c>
      <c r="BB59" s="125" t="s">
        <v>340</v>
      </c>
      <c r="BC59" s="128">
        <v>-76165000</v>
      </c>
      <c r="BD59" s="128">
        <v>-87876000</v>
      </c>
      <c r="BE59" s="128">
        <v>-81471000</v>
      </c>
      <c r="BF59" s="128">
        <v>-92851000</v>
      </c>
      <c r="BG59" s="128">
        <v>40498000</v>
      </c>
      <c r="BH59" s="128">
        <v>62110000</v>
      </c>
      <c r="BI59" s="128">
        <v>26762000</v>
      </c>
      <c r="BJ59" s="128">
        <v>26891000</v>
      </c>
      <c r="BK59" s="128">
        <v>-419000</v>
      </c>
      <c r="BL59" s="128">
        <v>-18505000</v>
      </c>
      <c r="BM59" s="128">
        <v>332000</v>
      </c>
      <c r="BN59" s="128">
        <v>-584000</v>
      </c>
      <c r="BO59" s="128">
        <v>-238000</v>
      </c>
      <c r="BP59" s="128">
        <v>-336000</v>
      </c>
      <c r="BQ59" s="128">
        <v>-348000</v>
      </c>
      <c r="BR59" s="128">
        <v>-362000</v>
      </c>
      <c r="BS59" s="128">
        <v>-181000</v>
      </c>
      <c r="BT59" s="128">
        <v>-18169000</v>
      </c>
      <c r="BU59" s="128">
        <v>680000</v>
      </c>
      <c r="BV59" s="128">
        <v>-222000</v>
      </c>
      <c r="BW59" s="128">
        <v>31047000</v>
      </c>
      <c r="BX59" s="128">
        <v>29110000</v>
      </c>
      <c r="BY59" s="128">
        <v>20562000</v>
      </c>
      <c r="BZ59" s="128">
        <v>19281000</v>
      </c>
      <c r="CA59" s="128">
        <v>167387000</v>
      </c>
      <c r="CB59" s="128">
        <v>199251000</v>
      </c>
      <c r="CC59" s="128">
        <v>177311000</v>
      </c>
      <c r="CD59" s="128">
        <v>182526000</v>
      </c>
      <c r="CE59" s="128">
        <v>75697000</v>
      </c>
      <c r="CF59" s="128">
        <v>60585000</v>
      </c>
      <c r="CG59" s="128">
        <v>71567000</v>
      </c>
      <c r="CH59" s="128">
        <v>74357000</v>
      </c>
      <c r="CI59" s="128">
        <v>22042000</v>
      </c>
      <c r="CJ59" s="128">
        <v>18677000</v>
      </c>
      <c r="CK59" s="128">
        <v>28223000</v>
      </c>
      <c r="CL59" s="128">
        <v>50444000</v>
      </c>
      <c r="CM59" s="128">
        <v>2245000</v>
      </c>
      <c r="CN59" s="128">
        <v>3665000</v>
      </c>
      <c r="CO59" s="128">
        <v>13369000</v>
      </c>
      <c r="CP59" s="128">
        <v>8362000</v>
      </c>
      <c r="CQ59" s="128">
        <v>56596000</v>
      </c>
      <c r="CR59" s="128">
        <v>108067000</v>
      </c>
      <c r="CS59" s="128">
        <v>56700000</v>
      </c>
      <c r="CT59" s="128">
        <v>39705000</v>
      </c>
      <c r="CU59" s="128">
        <v>1920000</v>
      </c>
      <c r="CV59" s="128">
        <v>87955000</v>
      </c>
      <c r="CW59" s="128">
        <v>14000000</v>
      </c>
      <c r="CX59" s="125" t="s">
        <v>340</v>
      </c>
      <c r="CY59" s="125" t="s">
        <v>340</v>
      </c>
      <c r="CZ59" s="125" t="s">
        <v>340</v>
      </c>
      <c r="DA59" s="125" t="s">
        <v>340</v>
      </c>
      <c r="DB59" s="125" t="s">
        <v>340</v>
      </c>
      <c r="DC59" s="128">
        <v>172532000</v>
      </c>
      <c r="DD59" s="128">
        <v>200452000</v>
      </c>
      <c r="DE59" s="128">
        <v>178563000</v>
      </c>
      <c r="DF59" s="128">
        <v>184192000</v>
      </c>
      <c r="DG59" s="16">
        <f t="shared" si="2"/>
        <v>908364000</v>
      </c>
      <c r="DH59" s="16">
        <f t="shared" si="3"/>
        <v>-791940000</v>
      </c>
      <c r="DI59" s="16">
        <f t="shared" si="4"/>
        <v>-76165000</v>
      </c>
      <c r="DJ59" s="16">
        <f t="shared" si="5"/>
        <v>-419000</v>
      </c>
      <c r="DK59" s="16">
        <f t="shared" si="6"/>
        <v>39840000</v>
      </c>
      <c r="DL59" s="57">
        <f t="shared" si="7"/>
        <v>4.3859069712141825E-2</v>
      </c>
      <c r="DM59" s="57">
        <f t="shared" si="8"/>
        <v>4.5870925846608727E-2</v>
      </c>
      <c r="DN59" s="58" t="str">
        <f t="shared" si="9"/>
        <v>n.a.</v>
      </c>
      <c r="DO59" s="16">
        <f t="shared" si="10"/>
        <v>68141000</v>
      </c>
      <c r="DP59" s="16" t="e">
        <f t="shared" si="11"/>
        <v>#VALUE!</v>
      </c>
      <c r="DQ59" s="61"/>
      <c r="DR59" s="62">
        <f t="shared" si="12"/>
        <v>1045124000</v>
      </c>
      <c r="DS59" s="62">
        <f t="shared" si="13"/>
        <v>-895251000</v>
      </c>
      <c r="DT59" s="62">
        <f t="shared" si="14"/>
        <v>-87876000</v>
      </c>
      <c r="DU59" s="62">
        <f t="shared" si="15"/>
        <v>-18505000</v>
      </c>
      <c r="DV59" s="62">
        <f t="shared" si="16"/>
        <v>43492000</v>
      </c>
      <c r="DW59" s="63">
        <f t="shared" si="17"/>
        <v>4.1614200802966919E-2</v>
      </c>
      <c r="DX59" s="63">
        <f t="shared" si="18"/>
        <v>4.3421136704897605E-2</v>
      </c>
      <c r="DY59" s="64" t="str">
        <f t="shared" si="19"/>
        <v>n.a.</v>
      </c>
      <c r="DZ59" s="64">
        <f t="shared" si="20"/>
        <v>66076000</v>
      </c>
      <c r="EA59" s="64" t="e">
        <f t="shared" si="21"/>
        <v>#VALUE!</v>
      </c>
      <c r="EB59" s="61"/>
      <c r="EC59" s="64">
        <f t="shared" si="22"/>
        <v>1068292000</v>
      </c>
      <c r="ED59" s="64">
        <f t="shared" si="23"/>
        <v>-960516000</v>
      </c>
      <c r="EE59" s="64">
        <f t="shared" si="24"/>
        <v>-81471000</v>
      </c>
      <c r="EF59" s="64">
        <f t="shared" si="25"/>
        <v>332000</v>
      </c>
      <c r="EG59" s="64">
        <f t="shared" si="26"/>
        <v>26637000</v>
      </c>
      <c r="EH59" s="63">
        <f t="shared" si="27"/>
        <v>2.4934194021859191E-2</v>
      </c>
      <c r="EI59" s="57">
        <f t="shared" si="28"/>
        <v>2.5571806404231727E-2</v>
      </c>
      <c r="EJ59" s="64" t="str">
        <f t="shared" si="29"/>
        <v>n.a.</v>
      </c>
      <c r="EK59" s="64">
        <f t="shared" si="30"/>
        <v>72962000</v>
      </c>
      <c r="EL59" s="64" t="e">
        <f t="shared" si="31"/>
        <v>#VALUE!</v>
      </c>
      <c r="EM59" s="61"/>
      <c r="EN59" s="66">
        <f t="shared" si="32"/>
        <v>1007260000</v>
      </c>
      <c r="EO59" s="66">
        <f t="shared" si="32"/>
        <v>-882569000</v>
      </c>
      <c r="EP59" s="66">
        <f t="shared" si="32"/>
        <v>-81837333.333333328</v>
      </c>
      <c r="EQ59" s="66">
        <f t="shared" si="32"/>
        <v>-6197333.333333333</v>
      </c>
      <c r="ER59" s="66">
        <f t="shared" si="33"/>
        <v>36656333.333333336</v>
      </c>
      <c r="ES59" s="63">
        <f t="shared" si="34"/>
        <v>3.6392126494979783E-2</v>
      </c>
      <c r="ET59" s="67">
        <f t="shared" si="35"/>
        <v>3.7766530863438598E-2</v>
      </c>
      <c r="EU59" s="66" t="e">
        <f t="shared" si="36"/>
        <v>#VALUE!</v>
      </c>
      <c r="EV59" s="66">
        <f t="shared" si="37"/>
        <v>69059666.666666672</v>
      </c>
      <c r="EW59" s="66" t="e">
        <f t="shared" si="37"/>
        <v>#VALUE!</v>
      </c>
      <c r="EX59" s="70"/>
      <c r="EY59" s="71" t="str">
        <f t="shared" si="38"/>
        <v>完整</v>
      </c>
      <c r="EZ59" s="71" t="str">
        <f t="shared" si="39"/>
        <v>完整</v>
      </c>
      <c r="FA59" s="71" t="str">
        <f t="shared" si="40"/>
        <v>完整</v>
      </c>
      <c r="FB59" s="71" t="str">
        <f t="shared" si="41"/>
        <v>选择</v>
      </c>
      <c r="FC59" s="71" t="str">
        <f t="shared" si="42"/>
        <v>选择</v>
      </c>
    </row>
    <row r="60" spans="1:218" s="3" customFormat="1" ht="12.75" customHeight="1" x14ac:dyDescent="0.25">
      <c r="A60" s="28" t="s">
        <v>224</v>
      </c>
      <c r="B60" s="134" t="str">
        <f t="shared" si="0"/>
        <v>LAFANG CHINA CO.,LTD</v>
      </c>
      <c r="C60" s="29" t="s">
        <v>328</v>
      </c>
      <c r="D60" s="136" t="s">
        <v>309</v>
      </c>
      <c r="E60" s="35"/>
      <c r="H60" s="31" t="str">
        <f t="shared" si="1"/>
        <v xml:space="preserve"> </v>
      </c>
      <c r="I60" s="29"/>
      <c r="J60" s="29" t="str">
        <f>VLOOKUP(Z:Z,'[1]AP 2022'!FD59:FF181,2,FALSE)</f>
        <v>exclude</v>
      </c>
      <c r="K60" s="47" t="str">
        <f>VLOOKUP(Z:Z,'[1]AP 2022'!FD59:FF181,3,0)</f>
        <v>Independence(A+, A, A-, U)</v>
      </c>
      <c r="L60" s="48"/>
      <c r="M60" s="125" t="s">
        <v>777</v>
      </c>
      <c r="N60" s="125" t="s">
        <v>778</v>
      </c>
      <c r="O60" s="125" t="s">
        <v>331</v>
      </c>
      <c r="P60" s="125" t="s">
        <v>779</v>
      </c>
      <c r="Q60" s="124"/>
      <c r="R60" s="125" t="s">
        <v>423</v>
      </c>
      <c r="S60" s="125" t="s">
        <v>780</v>
      </c>
      <c r="T60" s="125" t="s">
        <v>365</v>
      </c>
      <c r="U60" s="125" t="s">
        <v>315</v>
      </c>
      <c r="V60" s="125" t="s">
        <v>781</v>
      </c>
      <c r="W60" s="125" t="s">
        <v>782</v>
      </c>
      <c r="X60" s="124"/>
      <c r="Y60" s="124"/>
      <c r="Z60" s="125" t="s">
        <v>783</v>
      </c>
      <c r="AA60" s="128">
        <v>884925000</v>
      </c>
      <c r="AB60" s="128">
        <v>1097405000</v>
      </c>
      <c r="AC60" s="128">
        <v>976723000</v>
      </c>
      <c r="AD60" s="128">
        <v>956810000</v>
      </c>
      <c r="AE60" s="128">
        <v>886170000</v>
      </c>
      <c r="AF60" s="128">
        <v>1098154000</v>
      </c>
      <c r="AG60" s="128">
        <v>982164000</v>
      </c>
      <c r="AH60" s="128">
        <v>964166000</v>
      </c>
      <c r="AI60" s="128">
        <v>-5225000</v>
      </c>
      <c r="AJ60" s="128">
        <v>-7807000</v>
      </c>
      <c r="AK60" s="128">
        <v>-8630000</v>
      </c>
      <c r="AL60" s="128">
        <v>-9821000</v>
      </c>
      <c r="AM60" s="128">
        <v>880945000</v>
      </c>
      <c r="AN60" s="128">
        <v>1090347000</v>
      </c>
      <c r="AO60" s="128">
        <v>973534000</v>
      </c>
      <c r="AP60" s="128">
        <v>954345000</v>
      </c>
      <c r="AQ60" s="128">
        <v>3980000</v>
      </c>
      <c r="AR60" s="128">
        <v>7058000</v>
      </c>
      <c r="AS60" s="128">
        <v>3189000</v>
      </c>
      <c r="AT60" s="128">
        <v>2465000</v>
      </c>
      <c r="AU60" s="128">
        <v>-454976000</v>
      </c>
      <c r="AV60" s="128">
        <v>-489403000</v>
      </c>
      <c r="AW60" s="128">
        <v>-494136000</v>
      </c>
      <c r="AX60" s="128">
        <v>-418415000</v>
      </c>
      <c r="AY60" s="125" t="s">
        <v>340</v>
      </c>
      <c r="AZ60" s="125" t="s">
        <v>340</v>
      </c>
      <c r="BA60" s="125" t="s">
        <v>340</v>
      </c>
      <c r="BB60" s="125" t="s">
        <v>340</v>
      </c>
      <c r="BC60" s="128">
        <v>-380042000</v>
      </c>
      <c r="BD60" s="128">
        <v>-587214000</v>
      </c>
      <c r="BE60" s="128">
        <v>-402974000</v>
      </c>
      <c r="BF60" s="128">
        <v>-495882000</v>
      </c>
      <c r="BG60" s="128">
        <v>49907000</v>
      </c>
      <c r="BH60" s="128">
        <v>20788000</v>
      </c>
      <c r="BI60" s="128">
        <v>79613000</v>
      </c>
      <c r="BJ60" s="128">
        <v>42513000</v>
      </c>
      <c r="BK60" s="128">
        <v>-24812000</v>
      </c>
      <c r="BL60" s="128">
        <v>-17164000</v>
      </c>
      <c r="BM60" s="128">
        <v>-13271000</v>
      </c>
      <c r="BN60" s="128">
        <v>-18939000</v>
      </c>
      <c r="BO60" s="128">
        <v>-9727000</v>
      </c>
      <c r="BP60" s="128">
        <v>-10908000</v>
      </c>
      <c r="BQ60" s="128">
        <v>-10783000</v>
      </c>
      <c r="BR60" s="128">
        <v>-16694000</v>
      </c>
      <c r="BS60" s="128">
        <v>-15085000</v>
      </c>
      <c r="BT60" s="128">
        <v>-6256000</v>
      </c>
      <c r="BU60" s="128">
        <v>-2488000</v>
      </c>
      <c r="BV60" s="128">
        <v>-2245000</v>
      </c>
      <c r="BW60" s="128">
        <v>59234000</v>
      </c>
      <c r="BX60" s="128">
        <v>69049000</v>
      </c>
      <c r="BY60" s="128">
        <v>116985000</v>
      </c>
      <c r="BZ60" s="128">
        <v>49629000</v>
      </c>
      <c r="CA60" s="128">
        <v>1486278000</v>
      </c>
      <c r="CB60" s="128">
        <v>1495378000</v>
      </c>
      <c r="CC60" s="128">
        <v>1531670000</v>
      </c>
      <c r="CD60" s="128">
        <v>1568025000</v>
      </c>
      <c r="CE60" s="128">
        <v>203281000</v>
      </c>
      <c r="CF60" s="128">
        <v>193768000</v>
      </c>
      <c r="CG60" s="128">
        <v>211352000</v>
      </c>
      <c r="CH60" s="128">
        <v>245157000</v>
      </c>
      <c r="CI60" s="128">
        <v>93478000</v>
      </c>
      <c r="CJ60" s="128">
        <v>142144000</v>
      </c>
      <c r="CK60" s="128">
        <v>112518000</v>
      </c>
      <c r="CL60" s="128">
        <v>118882000</v>
      </c>
      <c r="CM60" s="128">
        <v>14440000</v>
      </c>
      <c r="CN60" s="128">
        <v>23226000</v>
      </c>
      <c r="CO60" s="128">
        <v>26489000</v>
      </c>
      <c r="CP60" s="128">
        <v>37853000</v>
      </c>
      <c r="CQ60" s="128">
        <v>1158121000</v>
      </c>
      <c r="CR60" s="128">
        <v>1108620000</v>
      </c>
      <c r="CS60" s="128">
        <v>1170356000</v>
      </c>
      <c r="CT60" s="128">
        <v>1156321000</v>
      </c>
      <c r="CU60" s="128">
        <v>9179000</v>
      </c>
      <c r="CV60" s="128">
        <v>386000</v>
      </c>
      <c r="CW60" s="128">
        <v>25080000</v>
      </c>
      <c r="CX60" s="128">
        <v>5760000</v>
      </c>
      <c r="CY60" s="128">
        <v>3577000</v>
      </c>
      <c r="CZ60" s="128">
        <v>1456000</v>
      </c>
      <c r="DA60" s="128">
        <v>1634000</v>
      </c>
      <c r="DB60" s="128">
        <v>2708000</v>
      </c>
      <c r="DC60" s="128">
        <v>2161850000</v>
      </c>
      <c r="DD60" s="128">
        <v>2088411000</v>
      </c>
      <c r="DE60" s="128">
        <v>2040093000</v>
      </c>
      <c r="DF60" s="128">
        <v>1928735000</v>
      </c>
      <c r="DG60" s="16">
        <f t="shared" si="2"/>
        <v>880945000</v>
      </c>
      <c r="DH60" s="16">
        <f t="shared" si="3"/>
        <v>-454976000</v>
      </c>
      <c r="DI60" s="16">
        <f t="shared" si="4"/>
        <v>-380042000</v>
      </c>
      <c r="DJ60" s="16">
        <f t="shared" si="5"/>
        <v>-24812000</v>
      </c>
      <c r="DK60" s="16">
        <f t="shared" si="6"/>
        <v>21115000</v>
      </c>
      <c r="DL60" s="57">
        <f t="shared" si="7"/>
        <v>2.3968579196204078E-2</v>
      </c>
      <c r="DM60" s="57">
        <f t="shared" si="8"/>
        <v>2.4557179907656164E-2</v>
      </c>
      <c r="DN60" s="58" t="str">
        <f t="shared" si="9"/>
        <v>n.a.</v>
      </c>
      <c r="DO60" s="16">
        <f t="shared" si="10"/>
        <v>198524500</v>
      </c>
      <c r="DP60" s="16">
        <f t="shared" si="11"/>
        <v>2516500</v>
      </c>
      <c r="DQ60" s="61"/>
      <c r="DR60" s="62">
        <f t="shared" si="12"/>
        <v>1090347000</v>
      </c>
      <c r="DS60" s="62">
        <f t="shared" si="13"/>
        <v>-489403000</v>
      </c>
      <c r="DT60" s="62">
        <f t="shared" si="14"/>
        <v>-587214000</v>
      </c>
      <c r="DU60" s="62">
        <f t="shared" si="15"/>
        <v>-17164000</v>
      </c>
      <c r="DV60" s="62">
        <f t="shared" si="16"/>
        <v>-3434000</v>
      </c>
      <c r="DW60" s="63">
        <f t="shared" si="17"/>
        <v>-3.1494560905840066E-3</v>
      </c>
      <c r="DX60" s="63">
        <f t="shared" si="18"/>
        <v>-3.1395681585253354E-3</v>
      </c>
      <c r="DY60" s="64" t="str">
        <f t="shared" si="19"/>
        <v>n.a.</v>
      </c>
      <c r="DZ60" s="64">
        <f t="shared" si="20"/>
        <v>202560000</v>
      </c>
      <c r="EA60" s="64">
        <f t="shared" si="21"/>
        <v>1545000</v>
      </c>
      <c r="EB60" s="61"/>
      <c r="EC60" s="64">
        <f t="shared" si="22"/>
        <v>973534000</v>
      </c>
      <c r="ED60" s="64">
        <f t="shared" si="23"/>
        <v>-494136000</v>
      </c>
      <c r="EE60" s="64">
        <f t="shared" si="24"/>
        <v>-402974000</v>
      </c>
      <c r="EF60" s="64">
        <f t="shared" si="25"/>
        <v>-13271000</v>
      </c>
      <c r="EG60" s="64">
        <f t="shared" si="26"/>
        <v>63153000</v>
      </c>
      <c r="EH60" s="63">
        <f t="shared" si="27"/>
        <v>6.4869845326408729E-2</v>
      </c>
      <c r="EI60" s="57">
        <f t="shared" si="28"/>
        <v>6.9369857235596966E-2</v>
      </c>
      <c r="EJ60" s="64" t="str">
        <f t="shared" si="29"/>
        <v>n.a.</v>
      </c>
      <c r="EK60" s="64">
        <f t="shared" si="30"/>
        <v>228254500</v>
      </c>
      <c r="EL60" s="64">
        <f t="shared" si="31"/>
        <v>2171000</v>
      </c>
      <c r="EM60" s="61"/>
      <c r="EN60" s="66">
        <f t="shared" si="32"/>
        <v>981608666.66666663</v>
      </c>
      <c r="EO60" s="66">
        <f t="shared" si="32"/>
        <v>-479505000</v>
      </c>
      <c r="EP60" s="66">
        <f t="shared" si="32"/>
        <v>-456743333.33333331</v>
      </c>
      <c r="EQ60" s="66">
        <f t="shared" si="32"/>
        <v>-18415666.666666668</v>
      </c>
      <c r="ER60" s="66">
        <f t="shared" si="33"/>
        <v>26944666.666666646</v>
      </c>
      <c r="ES60" s="63">
        <f t="shared" si="34"/>
        <v>2.7449499562962273E-2</v>
      </c>
      <c r="ET60" s="67">
        <f t="shared" si="35"/>
        <v>2.8224240849834756E-2</v>
      </c>
      <c r="EU60" s="66" t="e">
        <f t="shared" si="36"/>
        <v>#VALUE!</v>
      </c>
      <c r="EV60" s="66">
        <f t="shared" si="37"/>
        <v>209779666.66666666</v>
      </c>
      <c r="EW60" s="66">
        <f t="shared" si="37"/>
        <v>2077500</v>
      </c>
      <c r="EX60" s="70"/>
      <c r="EY60" s="71" t="str">
        <f t="shared" si="38"/>
        <v>完整</v>
      </c>
      <c r="EZ60" s="71" t="str">
        <f t="shared" si="39"/>
        <v>完整</v>
      </c>
      <c r="FA60" s="71" t="str">
        <f t="shared" si="40"/>
        <v>完整</v>
      </c>
      <c r="FB60" s="71" t="str">
        <f t="shared" si="41"/>
        <v>选择</v>
      </c>
      <c r="FC60" s="71" t="str">
        <f t="shared" si="42"/>
        <v>选择</v>
      </c>
      <c r="FD60" s="72"/>
      <c r="FE60" s="72"/>
      <c r="FF60" s="72"/>
      <c r="FG60" s="72"/>
      <c r="FH60" s="72"/>
      <c r="FI60" s="72"/>
      <c r="FJ60" s="72"/>
      <c r="FK60" s="72"/>
      <c r="FL60" s="72"/>
      <c r="FM60" s="72"/>
      <c r="FN60" s="72"/>
      <c r="FO60" s="72"/>
      <c r="FP60" s="72"/>
      <c r="FQ60" s="72"/>
      <c r="FR60" s="72"/>
      <c r="FS60" s="72"/>
      <c r="FT60" s="72"/>
      <c r="FU60" s="72"/>
      <c r="FV60" s="72"/>
      <c r="FW60" s="72"/>
      <c r="FX60" s="72"/>
      <c r="FY60" s="72"/>
      <c r="FZ60" s="72"/>
      <c r="GA60" s="72"/>
      <c r="GB60" s="72"/>
      <c r="GC60" s="72"/>
      <c r="GD60" s="72"/>
      <c r="GE60" s="72"/>
      <c r="GF60" s="72"/>
      <c r="GG60" s="72"/>
      <c r="GH60" s="72"/>
      <c r="GI60" s="72"/>
      <c r="GJ60" s="72"/>
      <c r="GK60" s="72"/>
      <c r="GL60" s="72"/>
      <c r="GM60" s="72"/>
      <c r="GN60" s="72"/>
      <c r="GO60" s="72"/>
      <c r="GP60" s="72"/>
      <c r="GQ60" s="72"/>
      <c r="GR60" s="72"/>
      <c r="GS60" s="72"/>
      <c r="GT60" s="72"/>
      <c r="GU60" s="72"/>
      <c r="GV60" s="72"/>
      <c r="GW60" s="72"/>
      <c r="GX60" s="72"/>
      <c r="GY60" s="72"/>
      <c r="GZ60" s="72"/>
      <c r="HA60" s="72"/>
      <c r="HB60" s="72"/>
      <c r="HC60" s="72"/>
      <c r="HD60" s="72"/>
      <c r="HE60" s="72"/>
      <c r="HF60" s="72"/>
      <c r="HG60" s="72"/>
      <c r="HH60" s="72"/>
      <c r="HI60" s="72"/>
    </row>
    <row r="61" spans="1:218" s="3" customFormat="1" ht="12.75" customHeight="1" x14ac:dyDescent="0.25">
      <c r="A61" s="28" t="s">
        <v>225</v>
      </c>
      <c r="B61" s="134" t="str">
        <f t="shared" si="0"/>
        <v>LIX DETERGENT JOINT STOCK COMPANY</v>
      </c>
      <c r="C61" s="29" t="s">
        <v>328</v>
      </c>
      <c r="D61" s="136" t="s">
        <v>309</v>
      </c>
      <c r="E61" s="35"/>
      <c r="F61" s="34"/>
      <c r="H61" s="31" t="str">
        <f t="shared" si="1"/>
        <v xml:space="preserve"> </v>
      </c>
      <c r="I61" s="29"/>
      <c r="J61" s="29" t="str">
        <f>VLOOKUP(Z:Z,'[1]AP 2022'!FD60:FF181,2,FALSE)</f>
        <v>exclude</v>
      </c>
      <c r="K61" s="47" t="str">
        <f>VLOOKUP(Z:Z,'[1]AP 2022'!FD60:FF181,3,0)</f>
        <v>Independence(A+, A, A-, U)</v>
      </c>
      <c r="L61" s="48"/>
      <c r="M61" s="125" t="s">
        <v>784</v>
      </c>
      <c r="N61" s="125" t="s">
        <v>785</v>
      </c>
      <c r="O61" s="125" t="s">
        <v>512</v>
      </c>
      <c r="P61" s="125" t="s">
        <v>786</v>
      </c>
      <c r="Q61" s="124"/>
      <c r="R61" s="125" t="s">
        <v>787</v>
      </c>
      <c r="S61" s="125" t="s">
        <v>788</v>
      </c>
      <c r="T61" s="125" t="s">
        <v>374</v>
      </c>
      <c r="U61" s="125" t="s">
        <v>315</v>
      </c>
      <c r="V61" s="125" t="s">
        <v>789</v>
      </c>
      <c r="W61" s="125" t="s">
        <v>790</v>
      </c>
      <c r="X61" s="124"/>
      <c r="Y61" s="124"/>
      <c r="Z61" s="125" t="s">
        <v>791</v>
      </c>
      <c r="AA61" s="128">
        <v>2815142032000</v>
      </c>
      <c r="AB61" s="128">
        <v>2613003212000</v>
      </c>
      <c r="AC61" s="128">
        <v>2902192970000</v>
      </c>
      <c r="AD61" s="128">
        <v>2526485464000</v>
      </c>
      <c r="AE61" s="128">
        <v>2858219048000</v>
      </c>
      <c r="AF61" s="128">
        <v>2652839724000</v>
      </c>
      <c r="AG61" s="128">
        <v>2991900990000</v>
      </c>
      <c r="AH61" s="128">
        <v>2567735847000</v>
      </c>
      <c r="AI61" s="128">
        <v>-43077016000</v>
      </c>
      <c r="AJ61" s="128">
        <v>-39836512000</v>
      </c>
      <c r="AK61" s="128">
        <v>-89708020000</v>
      </c>
      <c r="AL61" s="128">
        <v>-41250383000</v>
      </c>
      <c r="AM61" s="128">
        <v>2815142032000</v>
      </c>
      <c r="AN61" s="128">
        <v>2613003212000</v>
      </c>
      <c r="AO61" s="128">
        <v>2902192970000</v>
      </c>
      <c r="AP61" s="128">
        <v>2526485464000</v>
      </c>
      <c r="AQ61" s="125" t="s">
        <v>340</v>
      </c>
      <c r="AR61" s="125" t="s">
        <v>340</v>
      </c>
      <c r="AS61" s="125" t="s">
        <v>340</v>
      </c>
      <c r="AT61" s="125" t="s">
        <v>340</v>
      </c>
      <c r="AU61" s="128">
        <v>-2135205514000</v>
      </c>
      <c r="AV61" s="128">
        <v>-2040786660000</v>
      </c>
      <c r="AW61" s="128">
        <v>-2130829166000</v>
      </c>
      <c r="AX61" s="128">
        <v>-1942143610000</v>
      </c>
      <c r="AY61" s="128">
        <v>0</v>
      </c>
      <c r="AZ61" s="128">
        <v>0</v>
      </c>
      <c r="BA61" s="128">
        <v>0</v>
      </c>
      <c r="BB61" s="128">
        <v>0</v>
      </c>
      <c r="BC61" s="128">
        <v>-394590822000</v>
      </c>
      <c r="BD61" s="128">
        <v>-310007864000</v>
      </c>
      <c r="BE61" s="128">
        <v>-433114919000</v>
      </c>
      <c r="BF61" s="128">
        <v>-329112849000</v>
      </c>
      <c r="BG61" s="128">
        <v>285345696000</v>
      </c>
      <c r="BH61" s="128">
        <v>262208688000</v>
      </c>
      <c r="BI61" s="128">
        <v>338248885000</v>
      </c>
      <c r="BJ61" s="128">
        <v>255229005000</v>
      </c>
      <c r="BK61" s="128">
        <v>-51314475000</v>
      </c>
      <c r="BL61" s="128">
        <v>-51358382000</v>
      </c>
      <c r="BM61" s="128">
        <v>-43495062000</v>
      </c>
      <c r="BN61" s="128">
        <v>-34913589000</v>
      </c>
      <c r="BO61" s="128">
        <v>-50092508000</v>
      </c>
      <c r="BP61" s="128">
        <v>-50136415000</v>
      </c>
      <c r="BQ61" s="128">
        <v>-42277244000</v>
      </c>
      <c r="BR61" s="128">
        <v>-33707682000</v>
      </c>
      <c r="BS61" s="128">
        <v>-1221967000</v>
      </c>
      <c r="BT61" s="128">
        <v>-1221967000</v>
      </c>
      <c r="BU61" s="128">
        <v>-1217818000</v>
      </c>
      <c r="BV61" s="128">
        <v>-1205907000</v>
      </c>
      <c r="BW61" s="128">
        <v>213199805000</v>
      </c>
      <c r="BX61" s="128">
        <v>167366172000</v>
      </c>
      <c r="BY61" s="128">
        <v>230108370000</v>
      </c>
      <c r="BZ61" s="128">
        <v>178796055000</v>
      </c>
      <c r="CA61" s="128">
        <v>761512315000</v>
      </c>
      <c r="CB61" s="128">
        <v>698240683000</v>
      </c>
      <c r="CC61" s="128">
        <v>557214993000</v>
      </c>
      <c r="CD61" s="128">
        <v>513373391000</v>
      </c>
      <c r="CE61" s="128">
        <v>278488217000</v>
      </c>
      <c r="CF61" s="128">
        <v>310691409000</v>
      </c>
      <c r="CG61" s="128">
        <v>278307688000</v>
      </c>
      <c r="CH61" s="128">
        <v>181498808000</v>
      </c>
      <c r="CI61" s="128">
        <v>184971780000</v>
      </c>
      <c r="CJ61" s="128">
        <v>139518743000</v>
      </c>
      <c r="CK61" s="128">
        <v>173711384000</v>
      </c>
      <c r="CL61" s="128">
        <v>147583809000</v>
      </c>
      <c r="CM61" s="128">
        <v>100329749000</v>
      </c>
      <c r="CN61" s="128">
        <v>99342829000</v>
      </c>
      <c r="CO61" s="128">
        <v>68462806000</v>
      </c>
      <c r="CP61" s="128">
        <v>41115656000</v>
      </c>
      <c r="CQ61" s="128">
        <v>193849654000</v>
      </c>
      <c r="CR61" s="128">
        <v>140952449000</v>
      </c>
      <c r="CS61" s="128">
        <v>13994257000</v>
      </c>
      <c r="CT61" s="128">
        <v>127820581000</v>
      </c>
      <c r="CU61" s="125" t="s">
        <v>340</v>
      </c>
      <c r="CV61" s="125" t="s">
        <v>340</v>
      </c>
      <c r="CW61" s="125" t="s">
        <v>340</v>
      </c>
      <c r="CX61" s="125" t="s">
        <v>340</v>
      </c>
      <c r="CY61" s="128">
        <v>14853786000</v>
      </c>
      <c r="CZ61" s="128">
        <v>11906249000</v>
      </c>
      <c r="DA61" s="128">
        <v>11573307000</v>
      </c>
      <c r="DB61" s="128">
        <v>7147391000</v>
      </c>
      <c r="DC61" s="128">
        <v>1232208050000</v>
      </c>
      <c r="DD61" s="128">
        <v>1167643782000</v>
      </c>
      <c r="DE61" s="128">
        <v>1017668766000</v>
      </c>
      <c r="DF61" s="128">
        <v>896698904000</v>
      </c>
      <c r="DG61" s="16">
        <f t="shared" si="2"/>
        <v>2815142032000</v>
      </c>
      <c r="DH61" s="16">
        <f t="shared" si="3"/>
        <v>-2135205514000</v>
      </c>
      <c r="DI61" s="16">
        <f t="shared" si="4"/>
        <v>-394590822000</v>
      </c>
      <c r="DJ61" s="16">
        <f t="shared" si="5"/>
        <v>-51314475000</v>
      </c>
      <c r="DK61" s="16">
        <f t="shared" si="6"/>
        <v>234031221000</v>
      </c>
      <c r="DL61" s="57">
        <f t="shared" si="7"/>
        <v>8.3133006555173347E-2</v>
      </c>
      <c r="DM61" s="57">
        <f t="shared" si="8"/>
        <v>9.0670737576481364E-2</v>
      </c>
      <c r="DN61" s="58">
        <f t="shared" si="9"/>
        <v>0</v>
      </c>
      <c r="DO61" s="16">
        <f t="shared" si="10"/>
        <v>294589813000</v>
      </c>
      <c r="DP61" s="16">
        <f t="shared" si="11"/>
        <v>13380017500</v>
      </c>
      <c r="DQ61" s="61"/>
      <c r="DR61" s="62">
        <f t="shared" si="12"/>
        <v>2613003212000</v>
      </c>
      <c r="DS61" s="62">
        <f t="shared" si="13"/>
        <v>-2040786660000</v>
      </c>
      <c r="DT61" s="62">
        <f t="shared" si="14"/>
        <v>-310007864000</v>
      </c>
      <c r="DU61" s="62">
        <f t="shared" si="15"/>
        <v>-51358382000</v>
      </c>
      <c r="DV61" s="62">
        <f t="shared" si="16"/>
        <v>210850306000</v>
      </c>
      <c r="DW61" s="63">
        <f t="shared" si="17"/>
        <v>8.0692708310379224E-2</v>
      </c>
      <c r="DX61" s="63">
        <f t="shared" si="18"/>
        <v>8.7775555616524933E-2</v>
      </c>
      <c r="DY61" s="64">
        <f t="shared" si="19"/>
        <v>0</v>
      </c>
      <c r="DZ61" s="64">
        <f t="shared" si="20"/>
        <v>294499548500</v>
      </c>
      <c r="EA61" s="64">
        <f t="shared" si="21"/>
        <v>11739778000</v>
      </c>
      <c r="EB61" s="61"/>
      <c r="EC61" s="64">
        <f t="shared" si="22"/>
        <v>2902192970000</v>
      </c>
      <c r="ED61" s="64">
        <f t="shared" si="23"/>
        <v>-2130829166000</v>
      </c>
      <c r="EE61" s="64">
        <f t="shared" si="24"/>
        <v>-433114919000</v>
      </c>
      <c r="EF61" s="64">
        <f t="shared" si="25"/>
        <v>-43495062000</v>
      </c>
      <c r="EG61" s="64">
        <f t="shared" si="26"/>
        <v>294753823000</v>
      </c>
      <c r="EH61" s="63">
        <f t="shared" si="27"/>
        <v>0.10156244813727876</v>
      </c>
      <c r="EI61" s="57">
        <f t="shared" si="28"/>
        <v>0.11304341400992243</v>
      </c>
      <c r="EJ61" s="64">
        <f t="shared" si="29"/>
        <v>0</v>
      </c>
      <c r="EK61" s="64">
        <f t="shared" si="30"/>
        <v>229903248000</v>
      </c>
      <c r="EL61" s="64">
        <f t="shared" si="31"/>
        <v>9360349000</v>
      </c>
      <c r="EM61" s="61"/>
      <c r="EN61" s="66">
        <f t="shared" si="32"/>
        <v>2776779404666.6665</v>
      </c>
      <c r="EO61" s="66">
        <f t="shared" si="32"/>
        <v>-2102273780000</v>
      </c>
      <c r="EP61" s="66">
        <f t="shared" si="32"/>
        <v>-379237868333.33331</v>
      </c>
      <c r="EQ61" s="66">
        <f t="shared" si="32"/>
        <v>-48722639666.666664</v>
      </c>
      <c r="ER61" s="66">
        <f t="shared" si="33"/>
        <v>246545116666.66653</v>
      </c>
      <c r="ES61" s="63">
        <f t="shared" si="34"/>
        <v>8.8788153733898284E-2</v>
      </c>
      <c r="ET61" s="67">
        <f t="shared" si="35"/>
        <v>9.7439639418350391E-2</v>
      </c>
      <c r="EU61" s="66">
        <f t="shared" si="36"/>
        <v>0</v>
      </c>
      <c r="EV61" s="66">
        <f t="shared" si="37"/>
        <v>272997536500</v>
      </c>
      <c r="EW61" s="66">
        <f t="shared" si="37"/>
        <v>11493381500</v>
      </c>
      <c r="EX61" s="70"/>
      <c r="EY61" s="71" t="str">
        <f t="shared" si="38"/>
        <v>完整</v>
      </c>
      <c r="EZ61" s="71" t="str">
        <f t="shared" si="39"/>
        <v>完整</v>
      </c>
      <c r="FA61" s="71" t="str">
        <f t="shared" si="40"/>
        <v>完整</v>
      </c>
      <c r="FB61" s="71" t="str">
        <f t="shared" si="41"/>
        <v>选择</v>
      </c>
      <c r="FC61" s="71" t="str">
        <f t="shared" si="42"/>
        <v>选择</v>
      </c>
      <c r="FD61" s="72"/>
      <c r="FE61" s="72"/>
      <c r="FF61" s="72"/>
      <c r="FG61" s="72"/>
      <c r="FH61" s="72"/>
      <c r="FI61" s="72"/>
      <c r="FJ61" s="72"/>
      <c r="FK61" s="72"/>
      <c r="FL61" s="72"/>
      <c r="FM61" s="72"/>
      <c r="FN61" s="72"/>
      <c r="FO61" s="72"/>
      <c r="FP61" s="72"/>
      <c r="FQ61" s="72"/>
      <c r="FR61" s="72"/>
      <c r="FS61" s="72"/>
      <c r="FT61" s="72"/>
      <c r="FU61" s="72"/>
      <c r="FV61" s="72"/>
      <c r="FW61" s="72"/>
      <c r="FX61" s="72"/>
      <c r="FY61" s="72"/>
      <c r="FZ61" s="72"/>
      <c r="GA61" s="72"/>
      <c r="GB61" s="72"/>
      <c r="GC61" s="72"/>
      <c r="GD61" s="72"/>
      <c r="GE61" s="72"/>
      <c r="GF61" s="72"/>
      <c r="GG61" s="72"/>
      <c r="GH61" s="72"/>
      <c r="GI61" s="72"/>
      <c r="GJ61" s="72"/>
      <c r="GK61" s="72"/>
      <c r="GL61" s="72"/>
      <c r="GM61" s="72"/>
      <c r="GN61" s="72"/>
      <c r="GO61" s="72"/>
      <c r="GP61" s="72"/>
      <c r="GQ61" s="72"/>
      <c r="GR61" s="72"/>
      <c r="GS61" s="72"/>
      <c r="GT61" s="72"/>
      <c r="GU61" s="72"/>
      <c r="GV61" s="72"/>
      <c r="GW61" s="72"/>
      <c r="GX61" s="72"/>
      <c r="GY61" s="72"/>
      <c r="GZ61" s="72"/>
      <c r="HA61" s="72"/>
      <c r="HB61" s="72"/>
      <c r="HC61" s="72"/>
      <c r="HD61" s="72"/>
      <c r="HE61" s="72"/>
      <c r="HF61" s="72"/>
      <c r="HG61" s="72"/>
      <c r="HH61" s="72"/>
      <c r="HI61" s="72"/>
    </row>
    <row r="62" spans="1:218" s="3" customFormat="1" ht="12.75" customHeight="1" x14ac:dyDescent="0.25">
      <c r="A62" s="28" t="s">
        <v>226</v>
      </c>
      <c r="B62" s="134" t="str">
        <f t="shared" si="0"/>
        <v>KEYA COSMETICS LTD</v>
      </c>
      <c r="C62" s="29" t="s">
        <v>328</v>
      </c>
      <c r="D62" s="136" t="s">
        <v>309</v>
      </c>
      <c r="E62" s="35"/>
      <c r="F62" s="8"/>
      <c r="G62" s="9"/>
      <c r="H62" s="31" t="str">
        <f t="shared" si="1"/>
        <v xml:space="preserve"> </v>
      </c>
      <c r="I62" s="29"/>
      <c r="J62" s="29" t="str">
        <f>VLOOKUP(Z:Z,'[1]AP 2022'!FD61:FF181,2,FALSE)</f>
        <v>exclude</v>
      </c>
      <c r="K62" s="47" t="str">
        <f>VLOOKUP(Z:Z,'[1]AP 2022'!FD61:FF181,3,0)</f>
        <v>Independence(A+, A, A-, U)</v>
      </c>
      <c r="L62" s="48"/>
      <c r="M62" s="125" t="s">
        <v>792</v>
      </c>
      <c r="N62" s="125" t="s">
        <v>793</v>
      </c>
      <c r="O62" s="125" t="s">
        <v>331</v>
      </c>
      <c r="P62" s="125" t="s">
        <v>794</v>
      </c>
      <c r="Q62" s="124"/>
      <c r="R62" s="125" t="s">
        <v>795</v>
      </c>
      <c r="S62" s="125" t="s">
        <v>796</v>
      </c>
      <c r="T62" s="125" t="s">
        <v>365</v>
      </c>
      <c r="U62" s="125" t="s">
        <v>321</v>
      </c>
      <c r="V62" s="125" t="s">
        <v>797</v>
      </c>
      <c r="W62" s="125" t="s">
        <v>798</v>
      </c>
      <c r="X62" s="124"/>
      <c r="Y62" s="124"/>
      <c r="Z62" s="125" t="s">
        <v>799</v>
      </c>
      <c r="AA62" s="125" t="s">
        <v>340</v>
      </c>
      <c r="AB62" s="125" t="s">
        <v>340</v>
      </c>
      <c r="AC62" s="128">
        <v>9014045000</v>
      </c>
      <c r="AD62" s="128">
        <v>10411160000</v>
      </c>
      <c r="AE62" s="125" t="s">
        <v>340</v>
      </c>
      <c r="AF62" s="125" t="s">
        <v>340</v>
      </c>
      <c r="AG62" s="128">
        <v>9340379000</v>
      </c>
      <c r="AH62" s="128">
        <v>10703997000</v>
      </c>
      <c r="AI62" s="125" t="s">
        <v>340</v>
      </c>
      <c r="AJ62" s="125" t="s">
        <v>340</v>
      </c>
      <c r="AK62" s="128">
        <v>-326334000</v>
      </c>
      <c r="AL62" s="128">
        <v>-292837000</v>
      </c>
      <c r="AM62" s="125" t="s">
        <v>340</v>
      </c>
      <c r="AN62" s="125" t="s">
        <v>340</v>
      </c>
      <c r="AO62" s="128">
        <v>9014045000</v>
      </c>
      <c r="AP62" s="128">
        <v>10411160000</v>
      </c>
      <c r="AQ62" s="125" t="s">
        <v>340</v>
      </c>
      <c r="AR62" s="125" t="s">
        <v>340</v>
      </c>
      <c r="AS62" s="125" t="s">
        <v>340</v>
      </c>
      <c r="AT62" s="125" t="s">
        <v>340</v>
      </c>
      <c r="AU62" s="125" t="s">
        <v>340</v>
      </c>
      <c r="AV62" s="125" t="s">
        <v>340</v>
      </c>
      <c r="AW62" s="128">
        <v>-6872010000</v>
      </c>
      <c r="AX62" s="128">
        <v>-7426192000</v>
      </c>
      <c r="AY62" s="125" t="s">
        <v>340</v>
      </c>
      <c r="AZ62" s="125" t="s">
        <v>340</v>
      </c>
      <c r="BA62" s="128">
        <v>-3713000</v>
      </c>
      <c r="BB62" s="128">
        <v>-3256000</v>
      </c>
      <c r="BC62" s="125" t="s">
        <v>340</v>
      </c>
      <c r="BD62" s="125" t="s">
        <v>340</v>
      </c>
      <c r="BE62" s="128">
        <v>-287350000</v>
      </c>
      <c r="BF62" s="128">
        <v>-7437945000</v>
      </c>
      <c r="BG62" s="125" t="s">
        <v>340</v>
      </c>
      <c r="BH62" s="125" t="s">
        <v>340</v>
      </c>
      <c r="BI62" s="128">
        <v>1850972000</v>
      </c>
      <c r="BJ62" s="128">
        <v>-4456233000</v>
      </c>
      <c r="BK62" s="125" t="s">
        <v>340</v>
      </c>
      <c r="BL62" s="125" t="s">
        <v>340</v>
      </c>
      <c r="BM62" s="128">
        <v>-327956000</v>
      </c>
      <c r="BN62" s="128">
        <v>-361314000</v>
      </c>
      <c r="BO62" s="125" t="s">
        <v>340</v>
      </c>
      <c r="BP62" s="125" t="s">
        <v>340</v>
      </c>
      <c r="BQ62" s="128">
        <v>-327956000</v>
      </c>
      <c r="BR62" s="128">
        <v>-361314000</v>
      </c>
      <c r="BS62" s="125" t="s">
        <v>340</v>
      </c>
      <c r="BT62" s="125" t="s">
        <v>340</v>
      </c>
      <c r="BU62" s="128">
        <v>0</v>
      </c>
      <c r="BV62" s="128">
        <v>0</v>
      </c>
      <c r="BW62" s="125" t="s">
        <v>340</v>
      </c>
      <c r="BX62" s="125" t="s">
        <v>340</v>
      </c>
      <c r="BY62" s="128">
        <v>236379000</v>
      </c>
      <c r="BZ62" s="128">
        <v>-12968355000</v>
      </c>
      <c r="CA62" s="125" t="s">
        <v>340</v>
      </c>
      <c r="CB62" s="125" t="s">
        <v>340</v>
      </c>
      <c r="CC62" s="128">
        <v>22659598000</v>
      </c>
      <c r="CD62" s="128">
        <v>21221771000</v>
      </c>
      <c r="CE62" s="125" t="s">
        <v>340</v>
      </c>
      <c r="CF62" s="125" t="s">
        <v>340</v>
      </c>
      <c r="CG62" s="128">
        <v>9707078000</v>
      </c>
      <c r="CH62" s="128">
        <v>8376797000</v>
      </c>
      <c r="CI62" s="125" t="s">
        <v>340</v>
      </c>
      <c r="CJ62" s="125" t="s">
        <v>340</v>
      </c>
      <c r="CK62" s="128">
        <v>10951306000</v>
      </c>
      <c r="CL62" s="128">
        <v>9998303000</v>
      </c>
      <c r="CM62" s="125" t="s">
        <v>340</v>
      </c>
      <c r="CN62" s="125" t="s">
        <v>340</v>
      </c>
      <c r="CO62" s="128">
        <v>1011858000</v>
      </c>
      <c r="CP62" s="128">
        <v>1851450000</v>
      </c>
      <c r="CQ62" s="125" t="s">
        <v>340</v>
      </c>
      <c r="CR62" s="125" t="s">
        <v>340</v>
      </c>
      <c r="CS62" s="128">
        <v>44742000</v>
      </c>
      <c r="CT62" s="128">
        <v>116216000</v>
      </c>
      <c r="CU62" s="125" t="s">
        <v>340</v>
      </c>
      <c r="CV62" s="125" t="s">
        <v>340</v>
      </c>
      <c r="CW62" s="128">
        <v>8000</v>
      </c>
      <c r="CX62" s="128">
        <v>9000</v>
      </c>
      <c r="CY62" s="125" t="s">
        <v>340</v>
      </c>
      <c r="CZ62" s="125" t="s">
        <v>340</v>
      </c>
      <c r="DA62" s="128">
        <v>205889000</v>
      </c>
      <c r="DB62" s="128">
        <v>200327000</v>
      </c>
      <c r="DC62" s="125" t="s">
        <v>340</v>
      </c>
      <c r="DD62" s="125" t="s">
        <v>340</v>
      </c>
      <c r="DE62" s="128">
        <v>27221794000</v>
      </c>
      <c r="DF62" s="128">
        <v>26085862000</v>
      </c>
      <c r="DG62" s="16" t="str">
        <f t="shared" si="2"/>
        <v>无数据</v>
      </c>
      <c r="DH62" s="16" t="str">
        <f t="shared" si="3"/>
        <v>n.a.</v>
      </c>
      <c r="DI62" s="16" t="str">
        <f t="shared" si="4"/>
        <v>n.a.</v>
      </c>
      <c r="DJ62" s="16" t="str">
        <f t="shared" si="5"/>
        <v>n.a.</v>
      </c>
      <c r="DK62" s="16" t="str">
        <f t="shared" si="6"/>
        <v>无数据</v>
      </c>
      <c r="DL62" s="57" t="e">
        <f t="shared" si="7"/>
        <v>#VALUE!</v>
      </c>
      <c r="DM62" s="57" t="e">
        <f t="shared" si="8"/>
        <v>#VALUE!</v>
      </c>
      <c r="DN62" s="58" t="str">
        <f t="shared" si="9"/>
        <v>n.a.</v>
      </c>
      <c r="DO62" s="16" t="e">
        <f t="shared" si="10"/>
        <v>#VALUE!</v>
      </c>
      <c r="DP62" s="16" t="e">
        <f t="shared" si="11"/>
        <v>#VALUE!</v>
      </c>
      <c r="DQ62" s="61"/>
      <c r="DR62" s="62" t="str">
        <f t="shared" si="12"/>
        <v>无数据</v>
      </c>
      <c r="DS62" s="62" t="str">
        <f t="shared" si="13"/>
        <v>n.a.</v>
      </c>
      <c r="DT62" s="62" t="str">
        <f t="shared" si="14"/>
        <v>n.a.</v>
      </c>
      <c r="DU62" s="62" t="str">
        <f t="shared" si="15"/>
        <v>n.a.</v>
      </c>
      <c r="DV62" s="62" t="str">
        <f t="shared" si="16"/>
        <v>无数据</v>
      </c>
      <c r="DW62" s="63" t="e">
        <f t="shared" si="17"/>
        <v>#VALUE!</v>
      </c>
      <c r="DX62" s="63" t="e">
        <f t="shared" si="18"/>
        <v>#VALUE!</v>
      </c>
      <c r="DY62" s="64" t="str">
        <f t="shared" si="19"/>
        <v>n.a.</v>
      </c>
      <c r="DZ62" s="64" t="e">
        <f t="shared" si="20"/>
        <v>#VALUE!</v>
      </c>
      <c r="EA62" s="64" t="e">
        <f t="shared" si="21"/>
        <v>#VALUE!</v>
      </c>
      <c r="EB62" s="61"/>
      <c r="EC62" s="64">
        <f t="shared" si="22"/>
        <v>9014045000</v>
      </c>
      <c r="ED62" s="64">
        <f t="shared" si="23"/>
        <v>-6872010000</v>
      </c>
      <c r="EE62" s="64">
        <f t="shared" si="24"/>
        <v>-291063000</v>
      </c>
      <c r="EF62" s="64">
        <f t="shared" si="25"/>
        <v>-327956000</v>
      </c>
      <c r="EG62" s="64">
        <f t="shared" si="26"/>
        <v>1523016000</v>
      </c>
      <c r="EH62" s="63">
        <f t="shared" si="27"/>
        <v>0.16896032802143765</v>
      </c>
      <c r="EI62" s="57">
        <f t="shared" si="28"/>
        <v>0.20331198824620755</v>
      </c>
      <c r="EJ62" s="64">
        <f t="shared" si="29"/>
        <v>-3713000</v>
      </c>
      <c r="EK62" s="64">
        <f t="shared" si="30"/>
        <v>9041937500</v>
      </c>
      <c r="EL62" s="64">
        <f t="shared" si="31"/>
        <v>203108000</v>
      </c>
      <c r="EM62" s="61"/>
      <c r="EN62" s="66" t="e">
        <f t="shared" si="32"/>
        <v>#VALUE!</v>
      </c>
      <c r="EO62" s="66" t="e">
        <f t="shared" si="32"/>
        <v>#VALUE!</v>
      </c>
      <c r="EP62" s="66" t="e">
        <f t="shared" si="32"/>
        <v>#VALUE!</v>
      </c>
      <c r="EQ62" s="66" t="e">
        <f t="shared" si="32"/>
        <v>#VALUE!</v>
      </c>
      <c r="ER62" s="66" t="e">
        <f t="shared" si="33"/>
        <v>#VALUE!</v>
      </c>
      <c r="ES62" s="63" t="e">
        <f t="shared" si="34"/>
        <v>#VALUE!</v>
      </c>
      <c r="ET62" s="67" t="e">
        <f t="shared" si="35"/>
        <v>#VALUE!</v>
      </c>
      <c r="EU62" s="66" t="e">
        <f t="shared" si="36"/>
        <v>#VALUE!</v>
      </c>
      <c r="EV62" s="66" t="e">
        <f t="shared" si="37"/>
        <v>#VALUE!</v>
      </c>
      <c r="EW62" s="66" t="e">
        <f t="shared" si="37"/>
        <v>#VALUE!</v>
      </c>
      <c r="EX62" s="70"/>
      <c r="EY62" s="71" t="str">
        <f t="shared" si="38"/>
        <v>完整</v>
      </c>
      <c r="EZ62" s="71" t="str">
        <f t="shared" si="39"/>
        <v>无数据</v>
      </c>
      <c r="FA62" s="71" t="str">
        <f t="shared" si="40"/>
        <v>无数据</v>
      </c>
      <c r="FB62" s="71" t="str">
        <f t="shared" si="41"/>
        <v>删除</v>
      </c>
      <c r="FC62" s="71" t="str">
        <f t="shared" si="42"/>
        <v>选择</v>
      </c>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0"/>
    </row>
    <row r="63" spans="1:218" s="3" customFormat="1" ht="12.75" customHeight="1" x14ac:dyDescent="0.25">
      <c r="A63" s="28" t="s">
        <v>227</v>
      </c>
      <c r="B63" s="134" t="str">
        <f t="shared" si="0"/>
        <v>ITSHANBUL CO.,LTD.</v>
      </c>
      <c r="C63" s="29" t="s">
        <v>328</v>
      </c>
      <c r="D63" s="136" t="s">
        <v>309</v>
      </c>
      <c r="E63" s="35"/>
      <c r="H63" s="31" t="str">
        <f t="shared" si="1"/>
        <v xml:space="preserve"> </v>
      </c>
      <c r="I63" s="29"/>
      <c r="J63" s="29" t="str">
        <f>VLOOKUP(Z:Z,'[1]AP 2022'!FD62:FF181,2,FALSE)</f>
        <v>exclude</v>
      </c>
      <c r="K63" s="47" t="str">
        <f>VLOOKUP(Z:Z,'[1]AP 2022'!FD62:FF181,3,0)</f>
        <v>Independence(A+, A, A-, U)</v>
      </c>
      <c r="L63" s="48"/>
      <c r="M63" s="125" t="s">
        <v>800</v>
      </c>
      <c r="N63" s="125" t="s">
        <v>801</v>
      </c>
      <c r="O63" s="125" t="s">
        <v>772</v>
      </c>
      <c r="P63" s="125" t="s">
        <v>802</v>
      </c>
      <c r="Q63" s="124"/>
      <c r="R63" s="125" t="s">
        <v>363</v>
      </c>
      <c r="S63" s="125" t="s">
        <v>803</v>
      </c>
      <c r="T63" s="125" t="s">
        <v>365</v>
      </c>
      <c r="U63" s="125" t="s">
        <v>321</v>
      </c>
      <c r="V63" s="125" t="s">
        <v>804</v>
      </c>
      <c r="W63" s="125" t="s">
        <v>805</v>
      </c>
      <c r="X63" s="125" t="s">
        <v>806</v>
      </c>
      <c r="Y63" s="124"/>
      <c r="Z63" s="125" t="s">
        <v>807</v>
      </c>
      <c r="AA63" s="128">
        <v>130714133000</v>
      </c>
      <c r="AB63" s="128">
        <v>140177794000</v>
      </c>
      <c r="AC63" s="128">
        <v>146378359000</v>
      </c>
      <c r="AD63" s="128">
        <v>202551773000</v>
      </c>
      <c r="AE63" s="128">
        <v>130714133000</v>
      </c>
      <c r="AF63" s="128">
        <v>140177794000</v>
      </c>
      <c r="AG63" s="128">
        <v>146378359000</v>
      </c>
      <c r="AH63" s="128">
        <v>202551773000</v>
      </c>
      <c r="AI63" s="125" t="s">
        <v>340</v>
      </c>
      <c r="AJ63" s="125" t="s">
        <v>340</v>
      </c>
      <c r="AK63" s="125" t="s">
        <v>340</v>
      </c>
      <c r="AL63" s="125" t="s">
        <v>340</v>
      </c>
      <c r="AM63" s="128">
        <v>130714133000</v>
      </c>
      <c r="AN63" s="128">
        <v>140177794000</v>
      </c>
      <c r="AO63" s="128">
        <v>146378359000</v>
      </c>
      <c r="AP63" s="128">
        <v>202551773000</v>
      </c>
      <c r="AQ63" s="125" t="s">
        <v>340</v>
      </c>
      <c r="AR63" s="125" t="s">
        <v>340</v>
      </c>
      <c r="AS63" s="125" t="s">
        <v>340</v>
      </c>
      <c r="AT63" s="125" t="s">
        <v>340</v>
      </c>
      <c r="AU63" s="128">
        <v>-57350313000</v>
      </c>
      <c r="AV63" s="128">
        <v>-63898305000</v>
      </c>
      <c r="AW63" s="128">
        <v>-67339277000</v>
      </c>
      <c r="AX63" s="128">
        <v>-89397296000</v>
      </c>
      <c r="AY63" s="128">
        <v>-5142305000</v>
      </c>
      <c r="AZ63" s="128">
        <v>-6061078000</v>
      </c>
      <c r="BA63" s="128">
        <v>-6522901000</v>
      </c>
      <c r="BB63" s="128">
        <v>-6670450000</v>
      </c>
      <c r="BC63" s="128">
        <v>-59861128000</v>
      </c>
      <c r="BD63" s="128">
        <v>-65137445000</v>
      </c>
      <c r="BE63" s="128">
        <v>-64642634000</v>
      </c>
      <c r="BF63" s="128">
        <v>-88890070000</v>
      </c>
      <c r="BG63" s="128">
        <v>8360387000</v>
      </c>
      <c r="BH63" s="128">
        <v>5080966000</v>
      </c>
      <c r="BI63" s="128">
        <v>7873547000</v>
      </c>
      <c r="BJ63" s="128">
        <v>17593957000</v>
      </c>
      <c r="BK63" s="128">
        <v>-3551506000</v>
      </c>
      <c r="BL63" s="128">
        <v>-4326211000</v>
      </c>
      <c r="BM63" s="128">
        <v>-4118284000</v>
      </c>
      <c r="BN63" s="128">
        <v>-4600733000</v>
      </c>
      <c r="BO63" s="128">
        <v>-2383160000</v>
      </c>
      <c r="BP63" s="128">
        <v>-3083930000</v>
      </c>
      <c r="BQ63" s="128">
        <v>-2862755000</v>
      </c>
      <c r="BR63" s="128">
        <v>-4086014000</v>
      </c>
      <c r="BS63" s="128">
        <v>-1168346000</v>
      </c>
      <c r="BT63" s="128">
        <v>-1242281000</v>
      </c>
      <c r="BU63" s="128">
        <v>-1255529000</v>
      </c>
      <c r="BV63" s="128">
        <v>-514719000</v>
      </c>
      <c r="BW63" s="128">
        <v>-6824962000</v>
      </c>
      <c r="BX63" s="128">
        <v>-17436984000</v>
      </c>
      <c r="BY63" s="128">
        <v>-14215275000</v>
      </c>
      <c r="BZ63" s="128">
        <v>-4718772000</v>
      </c>
      <c r="CA63" s="128">
        <v>340773072000</v>
      </c>
      <c r="CB63" s="128">
        <v>358263961000</v>
      </c>
      <c r="CC63" s="128">
        <v>368726765000</v>
      </c>
      <c r="CD63" s="128">
        <v>391093532000</v>
      </c>
      <c r="CE63" s="128">
        <v>22352688000</v>
      </c>
      <c r="CF63" s="128">
        <v>24414538000</v>
      </c>
      <c r="CG63" s="128">
        <v>30717783000</v>
      </c>
      <c r="CH63" s="128">
        <v>34319967000</v>
      </c>
      <c r="CI63" s="128">
        <v>10262768000</v>
      </c>
      <c r="CJ63" s="128">
        <v>12236968000</v>
      </c>
      <c r="CK63" s="128">
        <v>15903028000</v>
      </c>
      <c r="CL63" s="128">
        <v>20066810000</v>
      </c>
      <c r="CM63" s="128">
        <v>268893899000</v>
      </c>
      <c r="CN63" s="128">
        <v>290325197000</v>
      </c>
      <c r="CO63" s="128">
        <v>266295688000</v>
      </c>
      <c r="CP63" s="128">
        <v>308273017000</v>
      </c>
      <c r="CQ63" s="128">
        <v>35025917000</v>
      </c>
      <c r="CR63" s="128">
        <v>28453939000</v>
      </c>
      <c r="CS63" s="128">
        <v>52514155000</v>
      </c>
      <c r="CT63" s="128">
        <v>22754923000</v>
      </c>
      <c r="CU63" s="128">
        <v>8380061000</v>
      </c>
      <c r="CV63" s="128">
        <v>9298022000</v>
      </c>
      <c r="CW63" s="128">
        <v>3164944000</v>
      </c>
      <c r="CX63" s="128">
        <v>3633460000</v>
      </c>
      <c r="CY63" s="128">
        <v>13508805000</v>
      </c>
      <c r="CZ63" s="128">
        <v>14450037000</v>
      </c>
      <c r="DA63" s="128">
        <v>14583738000</v>
      </c>
      <c r="DB63" s="128">
        <v>17188000000</v>
      </c>
      <c r="DC63" s="128">
        <v>486153356000</v>
      </c>
      <c r="DD63" s="128">
        <v>494667178000</v>
      </c>
      <c r="DE63" s="128">
        <v>508119345000</v>
      </c>
      <c r="DF63" s="128">
        <v>539412881000</v>
      </c>
      <c r="DG63" s="16">
        <f t="shared" si="2"/>
        <v>130714133000</v>
      </c>
      <c r="DH63" s="16">
        <f t="shared" si="3"/>
        <v>-57350313000</v>
      </c>
      <c r="DI63" s="16">
        <f t="shared" si="4"/>
        <v>-65003433000</v>
      </c>
      <c r="DJ63" s="16">
        <f t="shared" si="5"/>
        <v>-3551506000</v>
      </c>
      <c r="DK63" s="16">
        <f t="shared" si="6"/>
        <v>4808881000</v>
      </c>
      <c r="DL63" s="57">
        <f t="shared" si="7"/>
        <v>3.6789296533068845E-2</v>
      </c>
      <c r="DM63" s="57">
        <f t="shared" si="8"/>
        <v>3.8194443231009935E-2</v>
      </c>
      <c r="DN63" s="58">
        <f t="shared" si="9"/>
        <v>-5142305000</v>
      </c>
      <c r="DO63" s="16">
        <f t="shared" si="10"/>
        <v>23383613000</v>
      </c>
      <c r="DP63" s="16">
        <f t="shared" si="11"/>
        <v>13979421000</v>
      </c>
      <c r="DQ63" s="61"/>
      <c r="DR63" s="62">
        <f t="shared" si="12"/>
        <v>140177794000</v>
      </c>
      <c r="DS63" s="62">
        <f t="shared" si="13"/>
        <v>-63898305000</v>
      </c>
      <c r="DT63" s="62">
        <f t="shared" si="14"/>
        <v>-71198523000</v>
      </c>
      <c r="DU63" s="62">
        <f t="shared" si="15"/>
        <v>-4326211000</v>
      </c>
      <c r="DV63" s="62">
        <f t="shared" si="16"/>
        <v>754755000</v>
      </c>
      <c r="DW63" s="63">
        <f t="shared" si="17"/>
        <v>5.3842693515350941E-3</v>
      </c>
      <c r="DX63" s="63">
        <f t="shared" si="18"/>
        <v>5.4134166448631203E-3</v>
      </c>
      <c r="DY63" s="64">
        <f t="shared" si="19"/>
        <v>-6061078000</v>
      </c>
      <c r="DZ63" s="64">
        <f t="shared" si="20"/>
        <v>27566160500</v>
      </c>
      <c r="EA63" s="64">
        <f t="shared" si="21"/>
        <v>14516887500</v>
      </c>
      <c r="EB63" s="61"/>
      <c r="EC63" s="64">
        <f t="shared" si="22"/>
        <v>146378359000</v>
      </c>
      <c r="ED63" s="64">
        <f t="shared" si="23"/>
        <v>-67339277000</v>
      </c>
      <c r="EE63" s="64">
        <f t="shared" si="24"/>
        <v>-71165535000</v>
      </c>
      <c r="EF63" s="64">
        <f t="shared" si="25"/>
        <v>-4118284000</v>
      </c>
      <c r="EG63" s="64">
        <f t="shared" si="26"/>
        <v>3755263000</v>
      </c>
      <c r="EH63" s="63">
        <f t="shared" si="27"/>
        <v>2.56544958261214E-2</v>
      </c>
      <c r="EI63" s="57">
        <f t="shared" si="28"/>
        <v>2.6329978140426848E-2</v>
      </c>
      <c r="EJ63" s="64">
        <f t="shared" si="29"/>
        <v>-6522901000</v>
      </c>
      <c r="EK63" s="64">
        <f t="shared" si="30"/>
        <v>32518875000</v>
      </c>
      <c r="EL63" s="64">
        <f t="shared" si="31"/>
        <v>15885869000</v>
      </c>
      <c r="EM63" s="61"/>
      <c r="EN63" s="66">
        <f t="shared" si="32"/>
        <v>139090095333.33334</v>
      </c>
      <c r="EO63" s="66">
        <f t="shared" si="32"/>
        <v>-62862631666.666664</v>
      </c>
      <c r="EP63" s="66">
        <f t="shared" si="32"/>
        <v>-69122497000</v>
      </c>
      <c r="EQ63" s="66">
        <f t="shared" si="32"/>
        <v>-3998667000</v>
      </c>
      <c r="ER63" s="66">
        <f t="shared" si="33"/>
        <v>3106299666.666687</v>
      </c>
      <c r="ES63" s="63">
        <f t="shared" si="34"/>
        <v>2.2333004080717266E-2</v>
      </c>
      <c r="ET63" s="67">
        <f t="shared" si="35"/>
        <v>2.2843160476863539E-2</v>
      </c>
      <c r="EU63" s="66">
        <f t="shared" si="36"/>
        <v>5908761333.333333</v>
      </c>
      <c r="EV63" s="66">
        <f t="shared" si="37"/>
        <v>27822882833.333332</v>
      </c>
      <c r="EW63" s="66">
        <f t="shared" si="37"/>
        <v>14794059166.666666</v>
      </c>
      <c r="EX63" s="70"/>
      <c r="EY63" s="71" t="str">
        <f t="shared" si="38"/>
        <v>完整</v>
      </c>
      <c r="EZ63" s="71" t="str">
        <f t="shared" si="39"/>
        <v>完整</v>
      </c>
      <c r="FA63" s="71" t="str">
        <f t="shared" si="40"/>
        <v>完整</v>
      </c>
      <c r="FB63" s="71" t="str">
        <f t="shared" si="41"/>
        <v>选择</v>
      </c>
      <c r="FC63" s="71" t="str">
        <f t="shared" si="42"/>
        <v>选择</v>
      </c>
    </row>
    <row r="64" spans="1:218" s="3" customFormat="1" ht="12.75" customHeight="1" x14ac:dyDescent="0.25">
      <c r="A64" s="28" t="s">
        <v>228</v>
      </c>
      <c r="B64" s="134" t="str">
        <f t="shared" si="0"/>
        <v>C&amp;C INTERNATIONAL CO., LTD.</v>
      </c>
      <c r="C64" s="29" t="s">
        <v>328</v>
      </c>
      <c r="D64" s="136" t="s">
        <v>309</v>
      </c>
      <c r="E64" s="35"/>
      <c r="F64" s="34"/>
      <c r="H64" s="31" t="str">
        <f t="shared" si="1"/>
        <v xml:space="preserve"> </v>
      </c>
      <c r="I64" s="29"/>
      <c r="J64" s="29" t="str">
        <f>VLOOKUP(Z:Z,'[1]AP 2022'!FD63:FF181,2,FALSE)</f>
        <v>exclude</v>
      </c>
      <c r="K64" s="47" t="str">
        <f>VLOOKUP(Z:Z,'[1]AP 2022'!FD63:FF181,3,0)</f>
        <v>Independence(A+, A, A-, U)</v>
      </c>
      <c r="L64" s="48"/>
      <c r="M64" s="125" t="s">
        <v>808</v>
      </c>
      <c r="N64" s="125" t="s">
        <v>809</v>
      </c>
      <c r="O64" s="125" t="s">
        <v>331</v>
      </c>
      <c r="P64" s="125" t="s">
        <v>810</v>
      </c>
      <c r="Q64" s="124"/>
      <c r="R64" s="125" t="s">
        <v>363</v>
      </c>
      <c r="S64" s="125" t="s">
        <v>811</v>
      </c>
      <c r="T64" s="125" t="s">
        <v>365</v>
      </c>
      <c r="U64" s="125" t="s">
        <v>321</v>
      </c>
      <c r="V64" s="125" t="s">
        <v>812</v>
      </c>
      <c r="W64" s="125" t="s">
        <v>813</v>
      </c>
      <c r="X64" s="125" t="s">
        <v>814</v>
      </c>
      <c r="Y64" s="124"/>
      <c r="Z64" s="125" t="s">
        <v>815</v>
      </c>
      <c r="AA64" s="128">
        <v>130605728000</v>
      </c>
      <c r="AB64" s="128">
        <v>91293592000</v>
      </c>
      <c r="AC64" s="128">
        <v>89611804000</v>
      </c>
      <c r="AD64" s="128">
        <v>81598178000</v>
      </c>
      <c r="AE64" s="128">
        <v>130605728000</v>
      </c>
      <c r="AF64" s="128">
        <v>91293592000</v>
      </c>
      <c r="AG64" s="128">
        <v>89611804000</v>
      </c>
      <c r="AH64" s="128">
        <v>81598178000</v>
      </c>
      <c r="AI64" s="125" t="s">
        <v>340</v>
      </c>
      <c r="AJ64" s="125" t="s">
        <v>340</v>
      </c>
      <c r="AK64" s="125" t="s">
        <v>340</v>
      </c>
      <c r="AL64" s="125" t="s">
        <v>340</v>
      </c>
      <c r="AM64" s="128">
        <v>130605728000</v>
      </c>
      <c r="AN64" s="128">
        <v>91293592000</v>
      </c>
      <c r="AO64" s="128">
        <v>89611804000</v>
      </c>
      <c r="AP64" s="128">
        <v>81598178000</v>
      </c>
      <c r="AQ64" s="125" t="s">
        <v>340</v>
      </c>
      <c r="AR64" s="125" t="s">
        <v>340</v>
      </c>
      <c r="AS64" s="125" t="s">
        <v>340</v>
      </c>
      <c r="AT64" s="125" t="s">
        <v>340</v>
      </c>
      <c r="AU64" s="128">
        <v>-102681793000</v>
      </c>
      <c r="AV64" s="128">
        <v>-81120827000</v>
      </c>
      <c r="AW64" s="128">
        <v>-69105994000</v>
      </c>
      <c r="AX64" s="128">
        <v>-65452781000</v>
      </c>
      <c r="AY64" s="125" t="s">
        <v>340</v>
      </c>
      <c r="AZ64" s="125" t="s">
        <v>340</v>
      </c>
      <c r="BA64" s="125" t="s">
        <v>340</v>
      </c>
      <c r="BB64" s="125" t="s">
        <v>340</v>
      </c>
      <c r="BC64" s="128">
        <v>-9503631000</v>
      </c>
      <c r="BD64" s="128">
        <v>-7123020000</v>
      </c>
      <c r="BE64" s="128">
        <v>-5312719000</v>
      </c>
      <c r="BF64" s="128">
        <v>-5580604000</v>
      </c>
      <c r="BG64" s="128">
        <v>18420304000</v>
      </c>
      <c r="BH64" s="128">
        <v>3049745000</v>
      </c>
      <c r="BI64" s="128">
        <v>15193091000</v>
      </c>
      <c r="BJ64" s="128">
        <v>10564793000</v>
      </c>
      <c r="BK64" s="128">
        <v>-967807000</v>
      </c>
      <c r="BL64" s="128">
        <v>-797516000</v>
      </c>
      <c r="BM64" s="128">
        <v>-831549000</v>
      </c>
      <c r="BN64" s="128">
        <v>-810985000</v>
      </c>
      <c r="BO64" s="128">
        <v>-815376000</v>
      </c>
      <c r="BP64" s="128">
        <v>-649454000</v>
      </c>
      <c r="BQ64" s="128">
        <v>-696737000</v>
      </c>
      <c r="BR64" s="128">
        <v>-704981000</v>
      </c>
      <c r="BS64" s="128">
        <v>-152431000</v>
      </c>
      <c r="BT64" s="128">
        <v>-148062000</v>
      </c>
      <c r="BU64" s="128">
        <v>-134812000</v>
      </c>
      <c r="BV64" s="128">
        <v>-106004000</v>
      </c>
      <c r="BW64" s="128">
        <v>16459826000</v>
      </c>
      <c r="BX64" s="128">
        <v>-5910401000</v>
      </c>
      <c r="BY64" s="128">
        <v>9744697000</v>
      </c>
      <c r="BZ64" s="128">
        <v>6636899000</v>
      </c>
      <c r="CA64" s="128">
        <v>101889959000</v>
      </c>
      <c r="CB64" s="128">
        <v>81647455000</v>
      </c>
      <c r="CC64" s="128">
        <v>49032895000</v>
      </c>
      <c r="CD64" s="128">
        <v>52043975000</v>
      </c>
      <c r="CE64" s="128">
        <v>18537068000</v>
      </c>
      <c r="CF64" s="128">
        <v>10753612000</v>
      </c>
      <c r="CG64" s="128">
        <v>8859026000</v>
      </c>
      <c r="CH64" s="128">
        <v>6687246000</v>
      </c>
      <c r="CI64" s="128">
        <v>21033457000</v>
      </c>
      <c r="CJ64" s="128">
        <v>11250573000</v>
      </c>
      <c r="CK64" s="128">
        <v>8461746000</v>
      </c>
      <c r="CL64" s="128">
        <v>11304249000</v>
      </c>
      <c r="CM64" s="128">
        <v>1444821000</v>
      </c>
      <c r="CN64" s="128">
        <v>43126454000</v>
      </c>
      <c r="CO64" s="128">
        <v>2114852000</v>
      </c>
      <c r="CP64" s="128">
        <v>6381821000</v>
      </c>
      <c r="CQ64" s="128">
        <v>58770351000</v>
      </c>
      <c r="CR64" s="128">
        <v>16099639000</v>
      </c>
      <c r="CS64" s="128">
        <v>29594584000</v>
      </c>
      <c r="CT64" s="128">
        <v>27652047000</v>
      </c>
      <c r="CU64" s="128">
        <v>3764387000</v>
      </c>
      <c r="CV64" s="125" t="s">
        <v>340</v>
      </c>
      <c r="CW64" s="128">
        <v>7079029000</v>
      </c>
      <c r="CX64" s="128">
        <v>20666387000</v>
      </c>
      <c r="CY64" s="128">
        <v>2084695000</v>
      </c>
      <c r="CZ64" s="128">
        <v>989882000</v>
      </c>
      <c r="DA64" s="128">
        <v>29697448000</v>
      </c>
      <c r="DB64" s="128">
        <v>5751900000</v>
      </c>
      <c r="DC64" s="128">
        <v>178950669000</v>
      </c>
      <c r="DD64" s="128">
        <v>159731802000</v>
      </c>
      <c r="DE64" s="128">
        <v>120118631000</v>
      </c>
      <c r="DF64" s="128">
        <v>98495935000</v>
      </c>
      <c r="DG64" s="16">
        <f t="shared" si="2"/>
        <v>130605728000</v>
      </c>
      <c r="DH64" s="16">
        <f t="shared" si="3"/>
        <v>-102681793000</v>
      </c>
      <c r="DI64" s="16">
        <f t="shared" si="4"/>
        <v>-9503631000</v>
      </c>
      <c r="DJ64" s="16">
        <f t="shared" si="5"/>
        <v>-967807000</v>
      </c>
      <c r="DK64" s="16">
        <f t="shared" si="6"/>
        <v>17452497000</v>
      </c>
      <c r="DL64" s="57">
        <f t="shared" si="7"/>
        <v>0.13362734749275315</v>
      </c>
      <c r="DM64" s="57">
        <f t="shared" si="8"/>
        <v>0.15423772565539909</v>
      </c>
      <c r="DN64" s="58" t="str">
        <f t="shared" si="9"/>
        <v>n.a.</v>
      </c>
      <c r="DO64" s="16">
        <f t="shared" si="10"/>
        <v>14645340000</v>
      </c>
      <c r="DP64" s="16">
        <f t="shared" si="11"/>
        <v>1537288500</v>
      </c>
      <c r="DQ64" s="61"/>
      <c r="DR64" s="62">
        <f t="shared" si="12"/>
        <v>91293592000</v>
      </c>
      <c r="DS64" s="62">
        <f t="shared" si="13"/>
        <v>-81120827000</v>
      </c>
      <c r="DT64" s="62">
        <f t="shared" si="14"/>
        <v>-7123020000</v>
      </c>
      <c r="DU64" s="62">
        <f t="shared" si="15"/>
        <v>-797516000</v>
      </c>
      <c r="DV64" s="62">
        <f t="shared" si="16"/>
        <v>2252229000</v>
      </c>
      <c r="DW64" s="63">
        <f t="shared" si="17"/>
        <v>2.4670176193746434E-2</v>
      </c>
      <c r="DX64" s="63">
        <f t="shared" si="18"/>
        <v>2.5294188275172741E-2</v>
      </c>
      <c r="DY64" s="64" t="str">
        <f t="shared" si="19"/>
        <v>n.a.</v>
      </c>
      <c r="DZ64" s="64">
        <f t="shared" si="20"/>
        <v>9806319000</v>
      </c>
      <c r="EA64" s="64">
        <f t="shared" si="21"/>
        <v>15343665000</v>
      </c>
      <c r="EB64" s="61"/>
      <c r="EC64" s="64">
        <f t="shared" si="22"/>
        <v>89611804000</v>
      </c>
      <c r="ED64" s="64">
        <f t="shared" si="23"/>
        <v>-69105994000</v>
      </c>
      <c r="EE64" s="64">
        <f t="shared" si="24"/>
        <v>-5312719000</v>
      </c>
      <c r="EF64" s="64">
        <f t="shared" si="25"/>
        <v>-831549000</v>
      </c>
      <c r="EG64" s="64">
        <f t="shared" si="26"/>
        <v>14361542000</v>
      </c>
      <c r="EH64" s="63">
        <f t="shared" si="27"/>
        <v>0.16026395361932452</v>
      </c>
      <c r="EI64" s="57">
        <f t="shared" si="28"/>
        <v>0.19085039198933287</v>
      </c>
      <c r="EJ64" s="64" t="str">
        <f t="shared" si="29"/>
        <v>n.a.</v>
      </c>
      <c r="EK64" s="64">
        <f t="shared" si="30"/>
        <v>7773136000</v>
      </c>
      <c r="EL64" s="64">
        <f t="shared" si="31"/>
        <v>17724674000</v>
      </c>
      <c r="EM64" s="61"/>
      <c r="EN64" s="66">
        <f t="shared" si="32"/>
        <v>103837041333.33333</v>
      </c>
      <c r="EO64" s="66">
        <f t="shared" si="32"/>
        <v>-84302871333.333328</v>
      </c>
      <c r="EP64" s="66">
        <f t="shared" si="32"/>
        <v>-7313123333.333333</v>
      </c>
      <c r="EQ64" s="66">
        <f t="shared" si="32"/>
        <v>-865624000</v>
      </c>
      <c r="ER64" s="66">
        <f t="shared" si="33"/>
        <v>11355422666.666668</v>
      </c>
      <c r="ES64" s="63">
        <f t="shared" si="34"/>
        <v>0.10935811075562106</v>
      </c>
      <c r="ET64" s="67">
        <f t="shared" si="35"/>
        <v>0.12278572575157064</v>
      </c>
      <c r="EU64" s="66" t="e">
        <f t="shared" si="36"/>
        <v>#VALUE!</v>
      </c>
      <c r="EV64" s="66">
        <f t="shared" si="37"/>
        <v>10741598333.333334</v>
      </c>
      <c r="EW64" s="66">
        <f t="shared" si="37"/>
        <v>11535209166.666666</v>
      </c>
      <c r="EX64" s="70"/>
      <c r="EY64" s="71" t="str">
        <f t="shared" si="38"/>
        <v>完整</v>
      </c>
      <c r="EZ64" s="71" t="str">
        <f t="shared" si="39"/>
        <v>完整</v>
      </c>
      <c r="FA64" s="71" t="str">
        <f t="shared" si="40"/>
        <v>完整</v>
      </c>
      <c r="FB64" s="71" t="str">
        <f t="shared" si="41"/>
        <v>选择</v>
      </c>
      <c r="FC64" s="71" t="str">
        <f t="shared" si="42"/>
        <v>选择</v>
      </c>
      <c r="FD64" s="72"/>
      <c r="FE64" s="72"/>
      <c r="FF64" s="72"/>
      <c r="FG64" s="72"/>
      <c r="FH64" s="72"/>
      <c r="FI64" s="72"/>
      <c r="FJ64" s="72"/>
      <c r="FK64" s="72"/>
      <c r="FL64" s="72"/>
      <c r="FM64" s="72"/>
      <c r="FN64" s="72"/>
      <c r="FO64" s="72"/>
      <c r="FP64" s="72"/>
      <c r="FQ64" s="72"/>
      <c r="FR64" s="72"/>
      <c r="FS64" s="72"/>
      <c r="FT64" s="72"/>
      <c r="FU64" s="72"/>
      <c r="FV64" s="72"/>
      <c r="FW64" s="72"/>
      <c r="FX64" s="72"/>
      <c r="FY64" s="72"/>
      <c r="FZ64" s="72"/>
      <c r="GA64" s="72"/>
      <c r="GB64" s="72"/>
      <c r="GC64" s="72"/>
      <c r="GD64" s="72"/>
      <c r="GE64" s="72"/>
      <c r="GF64" s="72"/>
      <c r="GG64" s="72"/>
      <c r="GH64" s="72"/>
      <c r="GI64" s="72"/>
      <c r="GJ64" s="72"/>
      <c r="GK64" s="72"/>
      <c r="GL64" s="72"/>
      <c r="GM64" s="72"/>
      <c r="GN64" s="72"/>
      <c r="GO64" s="72"/>
      <c r="GP64" s="72"/>
      <c r="GQ64" s="72"/>
      <c r="GR64" s="72"/>
      <c r="GS64" s="72"/>
      <c r="GT64" s="72"/>
      <c r="GU64" s="72"/>
      <c r="GV64" s="72"/>
      <c r="GW64" s="72"/>
      <c r="GX64" s="72"/>
      <c r="GY64" s="72"/>
      <c r="GZ64" s="72"/>
      <c r="HA64" s="72"/>
      <c r="HB64" s="72"/>
      <c r="HC64" s="72"/>
      <c r="HD64" s="72"/>
      <c r="HE64" s="72"/>
      <c r="HF64" s="72"/>
      <c r="HG64" s="72"/>
      <c r="HH64" s="72"/>
      <c r="HI64" s="72"/>
    </row>
    <row r="65" spans="1:217" s="3" customFormat="1" ht="12.75" customHeight="1" x14ac:dyDescent="0.25">
      <c r="A65" s="28" t="s">
        <v>229</v>
      </c>
      <c r="B65" s="134" t="str">
        <f t="shared" si="0"/>
        <v>TONYMOLY CO.,LTD.</v>
      </c>
      <c r="C65" s="29" t="s">
        <v>328</v>
      </c>
      <c r="D65" s="136" t="s">
        <v>309</v>
      </c>
      <c r="E65" s="35"/>
      <c r="H65" s="31" t="str">
        <f t="shared" si="1"/>
        <v xml:space="preserve"> </v>
      </c>
      <c r="I65" s="29"/>
      <c r="J65" s="29" t="str">
        <f>VLOOKUP(Z:Z,'[1]AP 2022'!FD64:FF181,2,FALSE)</f>
        <v>exclude</v>
      </c>
      <c r="K65" s="47" t="str">
        <f>VLOOKUP(Z:Z,'[1]AP 2022'!FD64:FF181,3,0)</f>
        <v>Independence(A+, A, A-, U)</v>
      </c>
      <c r="L65" s="48"/>
      <c r="M65" s="125" t="s">
        <v>816</v>
      </c>
      <c r="N65" s="125" t="s">
        <v>817</v>
      </c>
      <c r="O65" s="125" t="s">
        <v>331</v>
      </c>
      <c r="P65" s="125" t="s">
        <v>818</v>
      </c>
      <c r="Q65" s="124"/>
      <c r="R65" s="125" t="s">
        <v>363</v>
      </c>
      <c r="S65" s="125" t="s">
        <v>819</v>
      </c>
      <c r="T65" s="125" t="s">
        <v>820</v>
      </c>
      <c r="U65" s="125" t="s">
        <v>321</v>
      </c>
      <c r="V65" s="125" t="s">
        <v>821</v>
      </c>
      <c r="W65" s="125" t="s">
        <v>822</v>
      </c>
      <c r="X65" s="124"/>
      <c r="Y65" s="124"/>
      <c r="Z65" s="125" t="s">
        <v>823</v>
      </c>
      <c r="AA65" s="128">
        <v>126745016000</v>
      </c>
      <c r="AB65" s="128">
        <v>114648138000</v>
      </c>
      <c r="AC65" s="128">
        <v>113458576000</v>
      </c>
      <c r="AD65" s="128">
        <v>172026783000</v>
      </c>
      <c r="AE65" s="128">
        <v>126745016000</v>
      </c>
      <c r="AF65" s="128">
        <v>114648138000</v>
      </c>
      <c r="AG65" s="128">
        <v>113458576000</v>
      </c>
      <c r="AH65" s="128">
        <v>172026783000</v>
      </c>
      <c r="AI65" s="125" t="s">
        <v>340</v>
      </c>
      <c r="AJ65" s="125" t="s">
        <v>340</v>
      </c>
      <c r="AK65" s="125" t="s">
        <v>340</v>
      </c>
      <c r="AL65" s="125" t="s">
        <v>340</v>
      </c>
      <c r="AM65" s="128">
        <v>126745016000</v>
      </c>
      <c r="AN65" s="128">
        <v>114648138000</v>
      </c>
      <c r="AO65" s="128">
        <v>113458576000</v>
      </c>
      <c r="AP65" s="128">
        <v>172026783000</v>
      </c>
      <c r="AQ65" s="125" t="s">
        <v>340</v>
      </c>
      <c r="AR65" s="125" t="s">
        <v>340</v>
      </c>
      <c r="AS65" s="125" t="s">
        <v>340</v>
      </c>
      <c r="AT65" s="125" t="s">
        <v>340</v>
      </c>
      <c r="AU65" s="128">
        <v>-65987090000</v>
      </c>
      <c r="AV65" s="128">
        <v>-59168932000</v>
      </c>
      <c r="AW65" s="128">
        <v>-57343829000</v>
      </c>
      <c r="AX65" s="128">
        <v>-71433495000</v>
      </c>
      <c r="AY65" s="125" t="s">
        <v>340</v>
      </c>
      <c r="AZ65" s="125" t="s">
        <v>340</v>
      </c>
      <c r="BA65" s="125" t="s">
        <v>340</v>
      </c>
      <c r="BB65" s="125" t="s">
        <v>340</v>
      </c>
      <c r="BC65" s="128">
        <v>-62759548000</v>
      </c>
      <c r="BD65" s="128">
        <v>-61918470000</v>
      </c>
      <c r="BE65" s="128">
        <v>-73736693000</v>
      </c>
      <c r="BF65" s="128">
        <v>-91056663000</v>
      </c>
      <c r="BG65" s="128">
        <v>-2001622000</v>
      </c>
      <c r="BH65" s="128">
        <v>-6439264000</v>
      </c>
      <c r="BI65" s="128">
        <v>-17621946000</v>
      </c>
      <c r="BJ65" s="128">
        <v>9536625000</v>
      </c>
      <c r="BK65" s="128">
        <v>-5256629000</v>
      </c>
      <c r="BL65" s="128">
        <v>-7090294000</v>
      </c>
      <c r="BM65" s="128">
        <v>-7909031000</v>
      </c>
      <c r="BN65" s="128">
        <v>-9811618000</v>
      </c>
      <c r="BO65" s="128">
        <v>-5256629000</v>
      </c>
      <c r="BP65" s="128">
        <v>-7090294000</v>
      </c>
      <c r="BQ65" s="128">
        <v>-7909031000</v>
      </c>
      <c r="BR65" s="128">
        <v>-9811618000</v>
      </c>
      <c r="BS65" s="125" t="s">
        <v>340</v>
      </c>
      <c r="BT65" s="125" t="s">
        <v>340</v>
      </c>
      <c r="BU65" s="125" t="s">
        <v>340</v>
      </c>
      <c r="BV65" s="125" t="s">
        <v>340</v>
      </c>
      <c r="BW65" s="128">
        <v>-81591000</v>
      </c>
      <c r="BX65" s="128">
        <v>-6943734000</v>
      </c>
      <c r="BY65" s="128">
        <v>-37856927000</v>
      </c>
      <c r="BZ65" s="128">
        <v>-5434933000</v>
      </c>
      <c r="CA65" s="128">
        <v>70019473000</v>
      </c>
      <c r="CB65" s="128">
        <v>65609634000</v>
      </c>
      <c r="CC65" s="128">
        <v>78043937000</v>
      </c>
      <c r="CD65" s="128">
        <v>120845338000</v>
      </c>
      <c r="CE65" s="128">
        <v>18171861000</v>
      </c>
      <c r="CF65" s="128">
        <v>18014861000</v>
      </c>
      <c r="CG65" s="128">
        <v>21001092000</v>
      </c>
      <c r="CH65" s="128">
        <v>25075322000</v>
      </c>
      <c r="CI65" s="128">
        <v>15363993000</v>
      </c>
      <c r="CJ65" s="128">
        <v>14601018000</v>
      </c>
      <c r="CK65" s="128">
        <v>14819326000</v>
      </c>
      <c r="CL65" s="128">
        <v>28821191000</v>
      </c>
      <c r="CM65" s="128">
        <v>19967048000</v>
      </c>
      <c r="CN65" s="128">
        <v>11927776000</v>
      </c>
      <c r="CO65" s="128">
        <v>11621845000</v>
      </c>
      <c r="CP65" s="128">
        <v>7898700000</v>
      </c>
      <c r="CQ65" s="128">
        <v>14208486000</v>
      </c>
      <c r="CR65" s="128">
        <v>18557496000</v>
      </c>
      <c r="CS65" s="128">
        <v>25526292000</v>
      </c>
      <c r="CT65" s="128">
        <v>54011877000</v>
      </c>
      <c r="CU65" s="128">
        <v>1693584000</v>
      </c>
      <c r="CV65" s="128">
        <v>5032165000</v>
      </c>
      <c r="CW65" s="128">
        <v>8497356000</v>
      </c>
      <c r="CX65" s="125" t="s">
        <v>340</v>
      </c>
      <c r="CY65" s="128">
        <v>586244000</v>
      </c>
      <c r="CZ65" s="128">
        <v>13403099000</v>
      </c>
      <c r="DA65" s="128">
        <v>13031554000</v>
      </c>
      <c r="DB65" s="128">
        <v>18616375000</v>
      </c>
      <c r="DC65" s="128">
        <v>199062054000</v>
      </c>
      <c r="DD65" s="128">
        <v>202095813000</v>
      </c>
      <c r="DE65" s="128">
        <v>194228001000</v>
      </c>
      <c r="DF65" s="128">
        <v>240877330000</v>
      </c>
      <c r="DG65" s="16">
        <f t="shared" si="2"/>
        <v>126745016000</v>
      </c>
      <c r="DH65" s="16">
        <f t="shared" si="3"/>
        <v>-65987090000</v>
      </c>
      <c r="DI65" s="16">
        <f t="shared" si="4"/>
        <v>-62759548000</v>
      </c>
      <c r="DJ65" s="16">
        <f t="shared" si="5"/>
        <v>-5256629000</v>
      </c>
      <c r="DK65" s="16">
        <f t="shared" si="6"/>
        <v>-7258251000</v>
      </c>
      <c r="DL65" s="57">
        <f t="shared" si="7"/>
        <v>-5.7266559499270564E-2</v>
      </c>
      <c r="DM65" s="57">
        <f t="shared" si="8"/>
        <v>-5.4164731670310697E-2</v>
      </c>
      <c r="DN65" s="58" t="str">
        <f t="shared" si="9"/>
        <v>n.a.</v>
      </c>
      <c r="DO65" s="16">
        <f t="shared" si="10"/>
        <v>18093361000</v>
      </c>
      <c r="DP65" s="16">
        <f t="shared" si="11"/>
        <v>6994671500</v>
      </c>
      <c r="DQ65" s="61"/>
      <c r="DR65" s="62">
        <f t="shared" si="12"/>
        <v>114648138000</v>
      </c>
      <c r="DS65" s="62">
        <f t="shared" si="13"/>
        <v>-59168932000</v>
      </c>
      <c r="DT65" s="62">
        <f t="shared" si="14"/>
        <v>-61918470000</v>
      </c>
      <c r="DU65" s="62">
        <f t="shared" si="15"/>
        <v>-7090294000</v>
      </c>
      <c r="DV65" s="62">
        <f t="shared" si="16"/>
        <v>-13529558000</v>
      </c>
      <c r="DW65" s="63">
        <f t="shared" si="17"/>
        <v>-0.11800940020499941</v>
      </c>
      <c r="DX65" s="63">
        <f t="shared" si="18"/>
        <v>-0.10555313773154418</v>
      </c>
      <c r="DY65" s="64" t="str">
        <f t="shared" si="19"/>
        <v>n.a.</v>
      </c>
      <c r="DZ65" s="64">
        <f t="shared" si="20"/>
        <v>19507976500</v>
      </c>
      <c r="EA65" s="64">
        <f t="shared" si="21"/>
        <v>13217326500</v>
      </c>
      <c r="EB65" s="61"/>
      <c r="EC65" s="64">
        <f t="shared" si="22"/>
        <v>113458576000</v>
      </c>
      <c r="ED65" s="64">
        <f t="shared" si="23"/>
        <v>-57343829000</v>
      </c>
      <c r="EE65" s="64">
        <f t="shared" si="24"/>
        <v>-73736693000</v>
      </c>
      <c r="EF65" s="64">
        <f t="shared" si="25"/>
        <v>-7909031000</v>
      </c>
      <c r="EG65" s="64">
        <f t="shared" si="26"/>
        <v>-25530977000</v>
      </c>
      <c r="EH65" s="63">
        <f t="shared" si="27"/>
        <v>-0.22502465569460348</v>
      </c>
      <c r="EI65" s="57">
        <f t="shared" si="28"/>
        <v>-0.18368989934085189</v>
      </c>
      <c r="EJ65" s="64" t="str">
        <f t="shared" si="29"/>
        <v>n.a.</v>
      </c>
      <c r="EK65" s="64">
        <f t="shared" si="30"/>
        <v>23038207000</v>
      </c>
      <c r="EL65" s="64">
        <f t="shared" si="31"/>
        <v>15823964500</v>
      </c>
      <c r="EM65" s="61"/>
      <c r="EN65" s="66">
        <f t="shared" si="32"/>
        <v>118283910000</v>
      </c>
      <c r="EO65" s="66">
        <f t="shared" si="32"/>
        <v>-60833283666.666664</v>
      </c>
      <c r="EP65" s="66">
        <f t="shared" si="32"/>
        <v>-66138237000</v>
      </c>
      <c r="EQ65" s="66">
        <f t="shared" si="32"/>
        <v>-6751984666.666667</v>
      </c>
      <c r="ER65" s="66">
        <f t="shared" si="33"/>
        <v>-15439595333.333332</v>
      </c>
      <c r="ES65" s="63">
        <f t="shared" si="34"/>
        <v>-0.13052997092616681</v>
      </c>
      <c r="ET65" s="67">
        <f t="shared" si="35"/>
        <v>-0.11545909819554137</v>
      </c>
      <c r="EU65" s="66" t="e">
        <f t="shared" si="36"/>
        <v>#VALUE!</v>
      </c>
      <c r="EV65" s="66">
        <f t="shared" si="37"/>
        <v>20213181500</v>
      </c>
      <c r="EW65" s="66">
        <f t="shared" si="37"/>
        <v>12011987500</v>
      </c>
      <c r="EX65" s="70"/>
      <c r="EY65" s="151" t="str">
        <f t="shared" si="38"/>
        <v>完整</v>
      </c>
      <c r="EZ65" s="151" t="str">
        <f t="shared" si="39"/>
        <v>完整</v>
      </c>
      <c r="FA65" s="151" t="str">
        <f t="shared" si="40"/>
        <v>完整</v>
      </c>
      <c r="FB65" s="151" t="str">
        <f t="shared" si="41"/>
        <v>选择</v>
      </c>
      <c r="FC65" s="151" t="str">
        <f t="shared" si="42"/>
        <v>删除</v>
      </c>
    </row>
    <row r="66" spans="1:217" s="3" customFormat="1" ht="12.75" customHeight="1" x14ac:dyDescent="0.25">
      <c r="A66" s="28" t="s">
        <v>230</v>
      </c>
      <c r="B66" s="134" t="str">
        <f t="shared" si="0"/>
        <v>LIUZHOU LIANGMIANZHEN CO.,LTD.</v>
      </c>
      <c r="C66" s="29" t="s">
        <v>328</v>
      </c>
      <c r="D66" s="136" t="s">
        <v>309</v>
      </c>
      <c r="E66" s="35"/>
      <c r="H66" s="31" t="str">
        <f t="shared" si="1"/>
        <v xml:space="preserve"> </v>
      </c>
      <c r="I66" s="29"/>
      <c r="J66" s="29" t="str">
        <f>VLOOKUP(Z:Z,'[1]AP 2022'!FD65:FF181,2,FALSE)</f>
        <v>exclude</v>
      </c>
      <c r="K66" s="47" t="str">
        <f>VLOOKUP(Z:Z,'[1]AP 2022'!FD65:FF181,3,0)</f>
        <v>Independence(A+, A, A-, U)</v>
      </c>
      <c r="L66" s="48"/>
      <c r="M66" s="125" t="s">
        <v>824</v>
      </c>
      <c r="N66" s="125" t="s">
        <v>825</v>
      </c>
      <c r="O66" s="125" t="s">
        <v>381</v>
      </c>
      <c r="P66" s="125" t="s">
        <v>826</v>
      </c>
      <c r="Q66" s="124"/>
      <c r="R66" s="125" t="s">
        <v>423</v>
      </c>
      <c r="S66" s="125" t="s">
        <v>827</v>
      </c>
      <c r="T66" s="125" t="s">
        <v>365</v>
      </c>
      <c r="U66" s="125" t="s">
        <v>321</v>
      </c>
      <c r="V66" s="125" t="s">
        <v>828</v>
      </c>
      <c r="W66" s="125" t="s">
        <v>829</v>
      </c>
      <c r="X66" s="124"/>
      <c r="Y66" s="124"/>
      <c r="Z66" s="125" t="s">
        <v>830</v>
      </c>
      <c r="AA66" s="128">
        <v>666099000</v>
      </c>
      <c r="AB66" s="128">
        <v>714837000</v>
      </c>
      <c r="AC66" s="128">
        <v>681507000</v>
      </c>
      <c r="AD66" s="128">
        <v>1179840000</v>
      </c>
      <c r="AE66" s="128">
        <v>660767000</v>
      </c>
      <c r="AF66" s="128">
        <v>709124000</v>
      </c>
      <c r="AG66" s="128">
        <v>679100000</v>
      </c>
      <c r="AH66" s="128">
        <v>1163922000</v>
      </c>
      <c r="AI66" s="128">
        <v>-7371000</v>
      </c>
      <c r="AJ66" s="128">
        <v>-8320000</v>
      </c>
      <c r="AK66" s="128">
        <v>-7435000</v>
      </c>
      <c r="AL66" s="128">
        <v>-12004000</v>
      </c>
      <c r="AM66" s="128">
        <v>653396000</v>
      </c>
      <c r="AN66" s="128">
        <v>700804000</v>
      </c>
      <c r="AO66" s="128">
        <v>671665000</v>
      </c>
      <c r="AP66" s="128">
        <v>1151918000</v>
      </c>
      <c r="AQ66" s="128">
        <v>12703000</v>
      </c>
      <c r="AR66" s="128">
        <v>14033000</v>
      </c>
      <c r="AS66" s="128">
        <v>9842000</v>
      </c>
      <c r="AT66" s="128">
        <v>27922000</v>
      </c>
      <c r="AU66" s="128">
        <v>-525357000</v>
      </c>
      <c r="AV66" s="128">
        <v>-537677000</v>
      </c>
      <c r="AW66" s="128">
        <v>-504904000</v>
      </c>
      <c r="AX66" s="128">
        <v>-878700000</v>
      </c>
      <c r="AY66" s="125" t="s">
        <v>340</v>
      </c>
      <c r="AZ66" s="125" t="s">
        <v>340</v>
      </c>
      <c r="BA66" s="125" t="s">
        <v>340</v>
      </c>
      <c r="BB66" s="125" t="s">
        <v>340</v>
      </c>
      <c r="BC66" s="128">
        <v>-164817000</v>
      </c>
      <c r="BD66" s="128">
        <v>-169323000</v>
      </c>
      <c r="BE66" s="128">
        <v>-158918000</v>
      </c>
      <c r="BF66" s="128">
        <v>-309433000</v>
      </c>
      <c r="BG66" s="128">
        <v>-24075000</v>
      </c>
      <c r="BH66" s="128">
        <v>7837000</v>
      </c>
      <c r="BI66" s="128">
        <v>17685000</v>
      </c>
      <c r="BJ66" s="128">
        <v>-8293000</v>
      </c>
      <c r="BK66" s="128">
        <v>-29547000</v>
      </c>
      <c r="BL66" s="128">
        <v>-30517000</v>
      </c>
      <c r="BM66" s="128">
        <v>-29601000</v>
      </c>
      <c r="BN66" s="128">
        <v>-83170000</v>
      </c>
      <c r="BO66" s="128">
        <v>-26846000</v>
      </c>
      <c r="BP66" s="128">
        <v>-27135000</v>
      </c>
      <c r="BQ66" s="128">
        <v>-26981000</v>
      </c>
      <c r="BR66" s="128">
        <v>-75534000</v>
      </c>
      <c r="BS66" s="128">
        <v>-2701000</v>
      </c>
      <c r="BT66" s="128">
        <v>-3382000</v>
      </c>
      <c r="BU66" s="128">
        <v>-2620000</v>
      </c>
      <c r="BV66" s="128">
        <v>-7636000</v>
      </c>
      <c r="BW66" s="128">
        <v>-38586000</v>
      </c>
      <c r="BX66" s="128">
        <v>8658000</v>
      </c>
      <c r="BY66" s="128">
        <v>58049000</v>
      </c>
      <c r="BZ66" s="128">
        <v>-53805000</v>
      </c>
      <c r="CA66" s="128">
        <v>1745756000</v>
      </c>
      <c r="CB66" s="128">
        <v>1782639000</v>
      </c>
      <c r="CC66" s="128">
        <v>1811722000</v>
      </c>
      <c r="CD66" s="128">
        <v>1924847000</v>
      </c>
      <c r="CE66" s="128">
        <v>190584000</v>
      </c>
      <c r="CF66" s="128">
        <v>186226000</v>
      </c>
      <c r="CG66" s="128">
        <v>148433000</v>
      </c>
      <c r="CH66" s="128">
        <v>175614000</v>
      </c>
      <c r="CI66" s="128">
        <v>94402000</v>
      </c>
      <c r="CJ66" s="128">
        <v>64240000</v>
      </c>
      <c r="CK66" s="128">
        <v>68153000</v>
      </c>
      <c r="CL66" s="128">
        <v>72570000</v>
      </c>
      <c r="CM66" s="128">
        <v>28615000</v>
      </c>
      <c r="CN66" s="128">
        <v>36688000</v>
      </c>
      <c r="CO66" s="128">
        <v>659591000</v>
      </c>
      <c r="CP66" s="128">
        <v>682059000</v>
      </c>
      <c r="CQ66" s="128">
        <v>1408382000</v>
      </c>
      <c r="CR66" s="128">
        <v>1467941000</v>
      </c>
      <c r="CS66" s="128">
        <v>916586000</v>
      </c>
      <c r="CT66" s="128">
        <v>977292000</v>
      </c>
      <c r="CU66" s="128">
        <v>198662000</v>
      </c>
      <c r="CV66" s="128">
        <v>242425000</v>
      </c>
      <c r="CW66" s="128">
        <v>298973000</v>
      </c>
      <c r="CX66" s="128">
        <v>253265000</v>
      </c>
      <c r="CY66" s="128">
        <v>23910000</v>
      </c>
      <c r="CZ66" s="128">
        <v>3550000</v>
      </c>
      <c r="DA66" s="128">
        <v>9598000</v>
      </c>
      <c r="DB66" s="128">
        <v>1173000</v>
      </c>
      <c r="DC66" s="128">
        <v>2476174000</v>
      </c>
      <c r="DD66" s="128">
        <v>2524702000</v>
      </c>
      <c r="DE66" s="128">
        <v>2557291000</v>
      </c>
      <c r="DF66" s="128">
        <v>2693598000</v>
      </c>
      <c r="DG66" s="16">
        <f t="shared" si="2"/>
        <v>653396000</v>
      </c>
      <c r="DH66" s="16">
        <f t="shared" si="3"/>
        <v>-525357000</v>
      </c>
      <c r="DI66" s="16">
        <f t="shared" si="4"/>
        <v>-164817000</v>
      </c>
      <c r="DJ66" s="16">
        <f t="shared" si="5"/>
        <v>-29547000</v>
      </c>
      <c r="DK66" s="16">
        <f t="shared" si="6"/>
        <v>-66325000</v>
      </c>
      <c r="DL66" s="57">
        <f t="shared" si="7"/>
        <v>-0.10150812064965198</v>
      </c>
      <c r="DM66" s="57">
        <f t="shared" si="8"/>
        <v>-9.2153765139547136E-2</v>
      </c>
      <c r="DN66" s="58" t="str">
        <f t="shared" si="9"/>
        <v>n.a.</v>
      </c>
      <c r="DO66" s="16">
        <f t="shared" si="10"/>
        <v>188405000</v>
      </c>
      <c r="DP66" s="16">
        <f t="shared" si="11"/>
        <v>13730000</v>
      </c>
      <c r="DQ66" s="61"/>
      <c r="DR66" s="62">
        <f t="shared" si="12"/>
        <v>700804000</v>
      </c>
      <c r="DS66" s="62">
        <f t="shared" si="13"/>
        <v>-537677000</v>
      </c>
      <c r="DT66" s="62">
        <f t="shared" si="14"/>
        <v>-169323000</v>
      </c>
      <c r="DU66" s="62">
        <f t="shared" si="15"/>
        <v>-30517000</v>
      </c>
      <c r="DV66" s="62">
        <f t="shared" si="16"/>
        <v>-36713000</v>
      </c>
      <c r="DW66" s="63">
        <f t="shared" si="17"/>
        <v>-5.2386972677096591E-2</v>
      </c>
      <c r="DX66" s="63">
        <f t="shared" si="18"/>
        <v>-4.9779191530500311E-2</v>
      </c>
      <c r="DY66" s="64" t="str">
        <f t="shared" si="19"/>
        <v>n.a.</v>
      </c>
      <c r="DZ66" s="64">
        <f t="shared" si="20"/>
        <v>167329500</v>
      </c>
      <c r="EA66" s="64">
        <f t="shared" si="21"/>
        <v>6574000</v>
      </c>
      <c r="EB66" s="61"/>
      <c r="EC66" s="64">
        <f t="shared" si="22"/>
        <v>671665000</v>
      </c>
      <c r="ED66" s="64">
        <f t="shared" si="23"/>
        <v>-504904000</v>
      </c>
      <c r="EE66" s="64">
        <f t="shared" si="24"/>
        <v>-158918000</v>
      </c>
      <c r="EF66" s="64">
        <f t="shared" si="25"/>
        <v>-29601000</v>
      </c>
      <c r="EG66" s="64">
        <f t="shared" si="26"/>
        <v>-21758000</v>
      </c>
      <c r="EH66" s="63">
        <f t="shared" si="27"/>
        <v>-3.2394125047456694E-2</v>
      </c>
      <c r="EI66" s="57">
        <f t="shared" si="28"/>
        <v>-3.1377672791355352E-2</v>
      </c>
      <c r="EJ66" s="64" t="str">
        <f t="shared" si="29"/>
        <v>n.a.</v>
      </c>
      <c r="EK66" s="64">
        <f t="shared" si="30"/>
        <v>162023500</v>
      </c>
      <c r="EL66" s="64">
        <f t="shared" si="31"/>
        <v>5385500</v>
      </c>
      <c r="EM66" s="61"/>
      <c r="EN66" s="66">
        <f t="shared" si="32"/>
        <v>675288333.33333337</v>
      </c>
      <c r="EO66" s="66">
        <f t="shared" si="32"/>
        <v>-522646000</v>
      </c>
      <c r="EP66" s="66">
        <f t="shared" si="32"/>
        <v>-164352666.66666666</v>
      </c>
      <c r="EQ66" s="66">
        <f t="shared" si="32"/>
        <v>-29888333.333333332</v>
      </c>
      <c r="ER66" s="66">
        <f t="shared" si="33"/>
        <v>-41598666.666666612</v>
      </c>
      <c r="ES66" s="63">
        <f t="shared" si="34"/>
        <v>-6.1601340661890019E-2</v>
      </c>
      <c r="ET66" s="67">
        <f t="shared" si="35"/>
        <v>-5.8026811291970161E-2</v>
      </c>
      <c r="EU66" s="66" t="e">
        <f t="shared" si="36"/>
        <v>#VALUE!</v>
      </c>
      <c r="EV66" s="66">
        <f t="shared" si="37"/>
        <v>172586000</v>
      </c>
      <c r="EW66" s="66">
        <f t="shared" si="37"/>
        <v>8563166.666666666</v>
      </c>
      <c r="EX66" s="70"/>
      <c r="EY66" s="151" t="str">
        <f t="shared" si="38"/>
        <v>完整</v>
      </c>
      <c r="EZ66" s="151" t="str">
        <f t="shared" si="39"/>
        <v>完整</v>
      </c>
      <c r="FA66" s="151" t="str">
        <f t="shared" si="40"/>
        <v>完整</v>
      </c>
      <c r="FB66" s="151" t="str">
        <f t="shared" si="41"/>
        <v>选择</v>
      </c>
      <c r="FC66" s="151" t="str">
        <f t="shared" si="42"/>
        <v>删除</v>
      </c>
    </row>
    <row r="67" spans="1:217" s="3" customFormat="1" ht="12.75" customHeight="1" x14ac:dyDescent="0.25">
      <c r="A67" s="28" t="s">
        <v>231</v>
      </c>
      <c r="B67" s="134" t="str">
        <f t="shared" si="0"/>
        <v>HABALABORATORIES,INC.</v>
      </c>
      <c r="C67" s="29" t="s">
        <v>328</v>
      </c>
      <c r="D67" s="136" t="s">
        <v>309</v>
      </c>
      <c r="E67" s="35"/>
      <c r="F67" s="34"/>
      <c r="H67" s="31" t="str">
        <f t="shared" si="1"/>
        <v xml:space="preserve"> </v>
      </c>
      <c r="I67" s="29"/>
      <c r="J67" s="29" t="e">
        <f>VLOOKUP(Z:Z,'[1]AP 2022'!FD66:FF181,2,FALSE)</f>
        <v>#N/A</v>
      </c>
      <c r="K67" s="47" t="e">
        <f>VLOOKUP(Z:Z,'[1]AP 2022'!FD66:FF181,3,0)</f>
        <v>#N/A</v>
      </c>
      <c r="L67" s="48"/>
      <c r="M67" s="125" t="s">
        <v>831</v>
      </c>
      <c r="N67" s="125" t="s">
        <v>832</v>
      </c>
      <c r="O67" s="125" t="s">
        <v>833</v>
      </c>
      <c r="P67" s="125" t="s">
        <v>834</v>
      </c>
      <c r="Q67" s="124"/>
      <c r="R67" s="125" t="s">
        <v>333</v>
      </c>
      <c r="S67" s="125" t="s">
        <v>835</v>
      </c>
      <c r="T67" s="125" t="s">
        <v>365</v>
      </c>
      <c r="U67" s="125" t="s">
        <v>321</v>
      </c>
      <c r="V67" s="125" t="s">
        <v>836</v>
      </c>
      <c r="W67" s="125" t="s">
        <v>837</v>
      </c>
      <c r="X67" s="124"/>
      <c r="Y67" s="124"/>
      <c r="Z67" s="125" t="s">
        <v>838</v>
      </c>
      <c r="AA67" s="128">
        <v>12038052000</v>
      </c>
      <c r="AB67" s="128">
        <v>12908861000</v>
      </c>
      <c r="AC67" s="128">
        <v>14307709000</v>
      </c>
      <c r="AD67" s="128">
        <v>18369640000</v>
      </c>
      <c r="AE67" s="128">
        <v>12038052000</v>
      </c>
      <c r="AF67" s="128">
        <v>12908861000</v>
      </c>
      <c r="AG67" s="128">
        <v>14307709000</v>
      </c>
      <c r="AH67" s="128">
        <v>18369640000</v>
      </c>
      <c r="AI67" s="125" t="s">
        <v>340</v>
      </c>
      <c r="AJ67" s="125" t="s">
        <v>340</v>
      </c>
      <c r="AK67" s="125" t="s">
        <v>340</v>
      </c>
      <c r="AL67" s="125" t="s">
        <v>340</v>
      </c>
      <c r="AM67" s="128">
        <v>12038052000</v>
      </c>
      <c r="AN67" s="128">
        <v>12908861000</v>
      </c>
      <c r="AO67" s="128">
        <v>14307709000</v>
      </c>
      <c r="AP67" s="128">
        <v>18369640000</v>
      </c>
      <c r="AQ67" s="125" t="s">
        <v>340</v>
      </c>
      <c r="AR67" s="125" t="s">
        <v>340</v>
      </c>
      <c r="AS67" s="125" t="s">
        <v>340</v>
      </c>
      <c r="AT67" s="125" t="s">
        <v>340</v>
      </c>
      <c r="AU67" s="128">
        <v>-3661349000</v>
      </c>
      <c r="AV67" s="128">
        <v>-3867959000</v>
      </c>
      <c r="AW67" s="128">
        <v>-3947321000</v>
      </c>
      <c r="AX67" s="128">
        <v>-4540500000</v>
      </c>
      <c r="AY67" s="128">
        <v>-176400000</v>
      </c>
      <c r="AZ67" s="128">
        <v>-152565000</v>
      </c>
      <c r="BA67" s="128">
        <v>-148949000</v>
      </c>
      <c r="BB67" s="128">
        <v>-150214000</v>
      </c>
      <c r="BC67" s="128">
        <v>-8250290000</v>
      </c>
      <c r="BD67" s="128">
        <v>-8496989000</v>
      </c>
      <c r="BE67" s="128">
        <v>-9315252000</v>
      </c>
      <c r="BF67" s="128">
        <v>-11050846000</v>
      </c>
      <c r="BG67" s="128">
        <v>-49987000</v>
      </c>
      <c r="BH67" s="128">
        <v>391348000</v>
      </c>
      <c r="BI67" s="128">
        <v>896187000</v>
      </c>
      <c r="BJ67" s="128">
        <v>2628080000</v>
      </c>
      <c r="BK67" s="128">
        <v>-559656000</v>
      </c>
      <c r="BL67" s="128">
        <v>-708078000</v>
      </c>
      <c r="BM67" s="128">
        <v>-669212000</v>
      </c>
      <c r="BN67" s="128">
        <v>-630206000</v>
      </c>
      <c r="BO67" s="128">
        <v>-559656000</v>
      </c>
      <c r="BP67" s="128">
        <v>-708078000</v>
      </c>
      <c r="BQ67" s="128">
        <v>-669212000</v>
      </c>
      <c r="BR67" s="128">
        <v>-630206000</v>
      </c>
      <c r="BS67" s="128">
        <v>0</v>
      </c>
      <c r="BT67" s="128">
        <v>0</v>
      </c>
      <c r="BU67" s="128">
        <v>0</v>
      </c>
      <c r="BV67" s="128">
        <v>0</v>
      </c>
      <c r="BW67" s="128">
        <v>-707865000</v>
      </c>
      <c r="BX67" s="128">
        <v>-269030000</v>
      </c>
      <c r="BY67" s="128">
        <v>216419000</v>
      </c>
      <c r="BZ67" s="128">
        <v>1313475000</v>
      </c>
      <c r="CA67" s="128">
        <v>9343724000</v>
      </c>
      <c r="CB67" s="128">
        <v>10071917000</v>
      </c>
      <c r="CC67" s="128">
        <v>11313571000</v>
      </c>
      <c r="CD67" s="128">
        <v>11148276000</v>
      </c>
      <c r="CE67" s="128">
        <v>3368237000</v>
      </c>
      <c r="CF67" s="128">
        <v>3151317000</v>
      </c>
      <c r="CG67" s="128">
        <v>4034421000</v>
      </c>
      <c r="CH67" s="128">
        <v>4258360000</v>
      </c>
      <c r="CI67" s="128">
        <v>975251000</v>
      </c>
      <c r="CJ67" s="128">
        <v>1125858000</v>
      </c>
      <c r="CK67" s="128">
        <v>1200390000</v>
      </c>
      <c r="CL67" s="128">
        <v>1422694000</v>
      </c>
      <c r="CM67" s="128">
        <v>182394000</v>
      </c>
      <c r="CN67" s="128">
        <v>143453000</v>
      </c>
      <c r="CO67" s="128">
        <v>415134000</v>
      </c>
      <c r="CP67" s="128">
        <v>238875000</v>
      </c>
      <c r="CQ67" s="128">
        <v>4817842000</v>
      </c>
      <c r="CR67" s="128">
        <v>5651289000</v>
      </c>
      <c r="CS67" s="128">
        <v>5663626000</v>
      </c>
      <c r="CT67" s="128">
        <v>5228347000</v>
      </c>
      <c r="CU67" s="125" t="s">
        <v>340</v>
      </c>
      <c r="CV67" s="125" t="s">
        <v>340</v>
      </c>
      <c r="CW67" s="125" t="s">
        <v>340</v>
      </c>
      <c r="CX67" s="125" t="s">
        <v>340</v>
      </c>
      <c r="CY67" s="128">
        <v>1338474000</v>
      </c>
      <c r="CZ67" s="128">
        <v>1222773000</v>
      </c>
      <c r="DA67" s="128">
        <v>1241088000</v>
      </c>
      <c r="DB67" s="128">
        <v>1422840000</v>
      </c>
      <c r="DC67" s="128">
        <v>14655217000</v>
      </c>
      <c r="DD67" s="128">
        <v>15685434000</v>
      </c>
      <c r="DE67" s="128">
        <v>17441060000</v>
      </c>
      <c r="DF67" s="128">
        <v>17091438000</v>
      </c>
      <c r="DG67" s="16">
        <f t="shared" si="2"/>
        <v>12038052000</v>
      </c>
      <c r="DH67" s="16">
        <f t="shared" si="3"/>
        <v>-3661349000</v>
      </c>
      <c r="DI67" s="16">
        <f t="shared" si="4"/>
        <v>-8426690000</v>
      </c>
      <c r="DJ67" s="16">
        <f t="shared" si="5"/>
        <v>-559656000</v>
      </c>
      <c r="DK67" s="16">
        <f t="shared" si="6"/>
        <v>-609643000</v>
      </c>
      <c r="DL67" s="57">
        <f t="shared" si="7"/>
        <v>-5.0642994398096969E-2</v>
      </c>
      <c r="DM67" s="57">
        <f t="shared" si="8"/>
        <v>-4.8201905564610785E-2</v>
      </c>
      <c r="DN67" s="58">
        <f t="shared" si="9"/>
        <v>-176400000</v>
      </c>
      <c r="DO67" s="16">
        <f t="shared" si="10"/>
        <v>3259777000</v>
      </c>
      <c r="DP67" s="16">
        <f t="shared" si="11"/>
        <v>1280623500</v>
      </c>
      <c r="DQ67" s="61"/>
      <c r="DR67" s="62">
        <f t="shared" si="12"/>
        <v>12908861000</v>
      </c>
      <c r="DS67" s="62">
        <f t="shared" si="13"/>
        <v>-3867959000</v>
      </c>
      <c r="DT67" s="62">
        <f t="shared" si="14"/>
        <v>-8649554000</v>
      </c>
      <c r="DU67" s="62">
        <f t="shared" si="15"/>
        <v>-708078000</v>
      </c>
      <c r="DV67" s="62">
        <f t="shared" si="16"/>
        <v>-316730000</v>
      </c>
      <c r="DW67" s="63">
        <f t="shared" si="17"/>
        <v>-2.4535859515413483E-2</v>
      </c>
      <c r="DX67" s="63">
        <f t="shared" si="18"/>
        <v>-2.394826817191005E-2</v>
      </c>
      <c r="DY67" s="64">
        <f t="shared" si="19"/>
        <v>-152565000</v>
      </c>
      <c r="DZ67" s="64">
        <f t="shared" si="20"/>
        <v>3592869000</v>
      </c>
      <c r="EA67" s="64">
        <f t="shared" si="21"/>
        <v>1231930500</v>
      </c>
      <c r="EB67" s="61"/>
      <c r="EC67" s="64">
        <f t="shared" si="22"/>
        <v>14307709000</v>
      </c>
      <c r="ED67" s="64">
        <f t="shared" si="23"/>
        <v>-3947321000</v>
      </c>
      <c r="EE67" s="64">
        <f t="shared" si="24"/>
        <v>-9464201000</v>
      </c>
      <c r="EF67" s="64">
        <f t="shared" si="25"/>
        <v>-669212000</v>
      </c>
      <c r="EG67" s="64">
        <f t="shared" si="26"/>
        <v>226975000</v>
      </c>
      <c r="EH67" s="63">
        <f t="shared" si="27"/>
        <v>1.5863825578224997E-2</v>
      </c>
      <c r="EI67" s="57">
        <f t="shared" si="28"/>
        <v>1.6119543199949661E-2</v>
      </c>
      <c r="EJ67" s="64">
        <f t="shared" si="29"/>
        <v>-148949000</v>
      </c>
      <c r="EK67" s="64">
        <f t="shared" si="30"/>
        <v>4146390500</v>
      </c>
      <c r="EL67" s="64">
        <f t="shared" si="31"/>
        <v>1331964000</v>
      </c>
      <c r="EM67" s="61"/>
      <c r="EN67" s="66">
        <f t="shared" si="32"/>
        <v>13084874000</v>
      </c>
      <c r="EO67" s="66">
        <f t="shared" si="32"/>
        <v>-3825543000</v>
      </c>
      <c r="EP67" s="66">
        <f t="shared" si="32"/>
        <v>-8846815000</v>
      </c>
      <c r="EQ67" s="66">
        <f t="shared" ref="EQ67:EQ130" si="43">(EF67+DU67+DJ67)/3</f>
        <v>-645648666.66666663</v>
      </c>
      <c r="ER67" s="66">
        <f t="shared" si="33"/>
        <v>-233132666.66666663</v>
      </c>
      <c r="ES67" s="63">
        <f t="shared" si="34"/>
        <v>-1.7816959236035948E-2</v>
      </c>
      <c r="ET67" s="67">
        <f t="shared" si="35"/>
        <v>-1.7505072080356367E-2</v>
      </c>
      <c r="EU67" s="66">
        <f t="shared" si="36"/>
        <v>159304666.66666666</v>
      </c>
      <c r="EV67" s="66">
        <f t="shared" si="37"/>
        <v>3666345500</v>
      </c>
      <c r="EW67" s="66">
        <f t="shared" si="37"/>
        <v>1281506000</v>
      </c>
      <c r="EX67" s="70"/>
      <c r="EY67" s="71" t="str">
        <f t="shared" si="38"/>
        <v>完整</v>
      </c>
      <c r="EZ67" s="71" t="str">
        <f t="shared" si="39"/>
        <v>完整</v>
      </c>
      <c r="FA67" s="71" t="str">
        <f t="shared" si="40"/>
        <v>完整</v>
      </c>
      <c r="FB67" s="71" t="str">
        <f t="shared" si="41"/>
        <v>选择</v>
      </c>
      <c r="FC67" s="71" t="str">
        <f t="shared" si="42"/>
        <v>选择</v>
      </c>
    </row>
    <row r="68" spans="1:217" s="3" customFormat="1" ht="12.75" customHeight="1" x14ac:dyDescent="0.25">
      <c r="A68" s="28" t="s">
        <v>232</v>
      </c>
      <c r="B68" s="134" t="str">
        <f t="shared" ref="B68:B131" si="44">M68</f>
        <v>SANITAR CO., LTD.</v>
      </c>
      <c r="C68" s="29" t="s">
        <v>328</v>
      </c>
      <c r="D68" s="135" t="s">
        <v>312</v>
      </c>
      <c r="E68" s="29"/>
      <c r="F68" s="135"/>
      <c r="H68" s="31" t="str">
        <f t="shared" ref="H68:H131" si="45">IF(C68&lt;&gt;"exclude",ET68," ")</f>
        <v xml:space="preserve"> </v>
      </c>
      <c r="I68" s="29"/>
      <c r="J68" s="29" t="str">
        <f>VLOOKUP(Z:Z,'[1]AP 2022'!FD67:FF181,2,FALSE)</f>
        <v>exclude</v>
      </c>
      <c r="K68" s="47" t="str">
        <f>VLOOKUP(Z:Z,'[1]AP 2022'!FD67:FF181,3,0)</f>
        <v>lev SDA/SDP</v>
      </c>
      <c r="L68" s="48"/>
      <c r="M68" s="125" t="s">
        <v>839</v>
      </c>
      <c r="N68" s="125" t="s">
        <v>840</v>
      </c>
      <c r="O68" s="125" t="s">
        <v>331</v>
      </c>
      <c r="P68" s="125" t="s">
        <v>841</v>
      </c>
      <c r="Q68" s="124"/>
      <c r="R68" s="125" t="s">
        <v>842</v>
      </c>
      <c r="S68" s="125" t="s">
        <v>843</v>
      </c>
      <c r="T68" s="125" t="s">
        <v>335</v>
      </c>
      <c r="U68" s="125" t="s">
        <v>317</v>
      </c>
      <c r="V68" s="125" t="s">
        <v>844</v>
      </c>
      <c r="W68" s="125" t="s">
        <v>845</v>
      </c>
      <c r="X68" s="124"/>
      <c r="Y68" s="124"/>
      <c r="Z68" s="125" t="s">
        <v>846</v>
      </c>
      <c r="AA68" s="128">
        <v>2671748000</v>
      </c>
      <c r="AB68" s="128">
        <v>2374831000</v>
      </c>
      <c r="AC68" s="128">
        <v>2308784000</v>
      </c>
      <c r="AD68" s="128">
        <v>2337212000</v>
      </c>
      <c r="AE68" s="128">
        <v>2726929000</v>
      </c>
      <c r="AF68" s="128">
        <v>2425496000</v>
      </c>
      <c r="AG68" s="128">
        <v>2362156000</v>
      </c>
      <c r="AH68" s="128">
        <v>2402040000</v>
      </c>
      <c r="AI68" s="128">
        <v>-57323000</v>
      </c>
      <c r="AJ68" s="128">
        <v>-52858000</v>
      </c>
      <c r="AK68" s="128">
        <v>-55635000</v>
      </c>
      <c r="AL68" s="128">
        <v>-67114000</v>
      </c>
      <c r="AM68" s="128">
        <v>2669606000</v>
      </c>
      <c r="AN68" s="128">
        <v>2372638000</v>
      </c>
      <c r="AO68" s="128">
        <v>2306521000</v>
      </c>
      <c r="AP68" s="128">
        <v>2334926000</v>
      </c>
      <c r="AQ68" s="128">
        <v>2142000</v>
      </c>
      <c r="AR68" s="128">
        <v>2193000</v>
      </c>
      <c r="AS68" s="128">
        <v>2263000</v>
      </c>
      <c r="AT68" s="128">
        <v>2286000</v>
      </c>
      <c r="AU68" s="128">
        <v>-1634361000</v>
      </c>
      <c r="AV68" s="128">
        <v>-1465674000</v>
      </c>
      <c r="AW68" s="128">
        <v>-1462560000</v>
      </c>
      <c r="AX68" s="128">
        <v>-1544983000</v>
      </c>
      <c r="AY68" s="128">
        <v>-28607000</v>
      </c>
      <c r="AZ68" s="128">
        <v>-22831000</v>
      </c>
      <c r="BA68" s="128">
        <v>-17706000</v>
      </c>
      <c r="BB68" s="128">
        <v>-17223000</v>
      </c>
      <c r="BC68" s="128">
        <v>-518694000</v>
      </c>
      <c r="BD68" s="128">
        <v>-483138000</v>
      </c>
      <c r="BE68" s="128">
        <v>-424456000</v>
      </c>
      <c r="BF68" s="128">
        <v>-436097000</v>
      </c>
      <c r="BG68" s="128">
        <v>490086000</v>
      </c>
      <c r="BH68" s="128">
        <v>403188000</v>
      </c>
      <c r="BI68" s="128">
        <v>404062000</v>
      </c>
      <c r="BJ68" s="128">
        <v>338909000</v>
      </c>
      <c r="BK68" s="128">
        <v>-115901000</v>
      </c>
      <c r="BL68" s="128">
        <v>-109413000</v>
      </c>
      <c r="BM68" s="128">
        <v>-109793000</v>
      </c>
      <c r="BN68" s="128">
        <v>-88260000</v>
      </c>
      <c r="BO68" s="128">
        <v>-111416000</v>
      </c>
      <c r="BP68" s="128">
        <v>-106749000</v>
      </c>
      <c r="BQ68" s="128">
        <v>-107789000</v>
      </c>
      <c r="BR68" s="128">
        <v>-86579000</v>
      </c>
      <c r="BS68" s="128">
        <v>-4485000</v>
      </c>
      <c r="BT68" s="128">
        <v>-2664000</v>
      </c>
      <c r="BU68" s="128">
        <v>-2004000</v>
      </c>
      <c r="BV68" s="128">
        <v>-1681000</v>
      </c>
      <c r="BW68" s="128">
        <v>290827000</v>
      </c>
      <c r="BX68" s="128">
        <v>221368000</v>
      </c>
      <c r="BY68" s="128">
        <v>220092000</v>
      </c>
      <c r="BZ68" s="128">
        <v>179851000</v>
      </c>
      <c r="CA68" s="128">
        <v>1480412000</v>
      </c>
      <c r="CB68" s="128">
        <v>1444360000</v>
      </c>
      <c r="CC68" s="128">
        <v>1173183000</v>
      </c>
      <c r="CD68" s="128">
        <v>1075425000</v>
      </c>
      <c r="CE68" s="128">
        <v>774437000</v>
      </c>
      <c r="CF68" s="128">
        <v>740245000</v>
      </c>
      <c r="CG68" s="128">
        <v>652151000</v>
      </c>
      <c r="CH68" s="128">
        <v>512549000</v>
      </c>
      <c r="CI68" s="128">
        <v>304918000</v>
      </c>
      <c r="CJ68" s="128">
        <v>279161000</v>
      </c>
      <c r="CK68" s="128">
        <v>226984000</v>
      </c>
      <c r="CL68" s="128">
        <v>226806000</v>
      </c>
      <c r="CM68" s="128">
        <v>38507000</v>
      </c>
      <c r="CN68" s="128">
        <v>40373000</v>
      </c>
      <c r="CO68" s="128">
        <v>32777000</v>
      </c>
      <c r="CP68" s="128">
        <v>35308000</v>
      </c>
      <c r="CQ68" s="128">
        <v>317391000</v>
      </c>
      <c r="CR68" s="128">
        <v>332895000</v>
      </c>
      <c r="CS68" s="128">
        <v>221015000</v>
      </c>
      <c r="CT68" s="128">
        <v>285454000</v>
      </c>
      <c r="CU68" s="128">
        <v>72045000</v>
      </c>
      <c r="CV68" s="128">
        <v>64709000</v>
      </c>
      <c r="CW68" s="128">
        <v>56199000</v>
      </c>
      <c r="CX68" s="128">
        <v>46888000</v>
      </c>
      <c r="CY68" s="128">
        <v>99000</v>
      </c>
      <c r="CZ68" s="128">
        <v>452000</v>
      </c>
      <c r="DA68" s="128">
        <v>7590000</v>
      </c>
      <c r="DB68" s="128">
        <v>13780000</v>
      </c>
      <c r="DC68" s="128">
        <v>2727235000</v>
      </c>
      <c r="DD68" s="128">
        <v>2728848000</v>
      </c>
      <c r="DE68" s="128">
        <v>2549013000</v>
      </c>
      <c r="DF68" s="128">
        <v>2528005000</v>
      </c>
      <c r="DG68" s="16">
        <f t="shared" ref="DG68:DG131" si="46">IF(AM68="n.a.","无数据",AM68)</f>
        <v>2669606000</v>
      </c>
      <c r="DH68" s="16">
        <f t="shared" ref="DH68:DH131" si="47">AU68</f>
        <v>-1634361000</v>
      </c>
      <c r="DI68" s="16">
        <f t="shared" ref="DI68:DI131" si="48">IF(AY68="n.a.",BC68,(AY68+BC68))</f>
        <v>-547301000</v>
      </c>
      <c r="DJ68" s="16">
        <f t="shared" ref="DJ68:DJ131" si="49">BK68</f>
        <v>-115901000</v>
      </c>
      <c r="DK68" s="16">
        <f t="shared" ref="DK68:DK131" si="50">IF(DG68="无数据","无数据",(DG68+DH68+DI68+DJ68))</f>
        <v>372043000</v>
      </c>
      <c r="DL68" s="57">
        <f t="shared" ref="DL68:DL131" si="51">DK68/DG68</f>
        <v>0.13936251267040903</v>
      </c>
      <c r="DM68" s="57">
        <f t="shared" ref="DM68:DM131" si="52">DK68/-(DH68+DI68+DJ68)</f>
        <v>0.16192940084776783</v>
      </c>
      <c r="DN68" s="58">
        <f t="shared" ref="DN68:DN131" si="53">AY68</f>
        <v>-28607000</v>
      </c>
      <c r="DO68" s="16">
        <f t="shared" ref="DO68:DO131" si="54">(CE68+CF68)/2</f>
        <v>757341000</v>
      </c>
      <c r="DP68" s="16">
        <f t="shared" ref="DP68:DP131" si="55">(CY68+CZ68)/2</f>
        <v>275500</v>
      </c>
      <c r="DQ68" s="61"/>
      <c r="DR68" s="62">
        <f t="shared" ref="DR68:DR131" si="56">IF(AN68="n.a.","无数据",AN68)</f>
        <v>2372638000</v>
      </c>
      <c r="DS68" s="62">
        <f t="shared" ref="DS68:DS131" si="57">AV68</f>
        <v>-1465674000</v>
      </c>
      <c r="DT68" s="62">
        <f t="shared" ref="DT68:DT131" si="58">IF(AZ68="n.a.",BD68,(BD68+AZ68))</f>
        <v>-505969000</v>
      </c>
      <c r="DU68" s="62">
        <f t="shared" ref="DU68:DU131" si="59">BL68</f>
        <v>-109413000</v>
      </c>
      <c r="DV68" s="62">
        <f t="shared" ref="DV68:DV131" si="60">IF(DR68="无数据","无数据",(DR68+DS68+DT68+DU68))</f>
        <v>291582000</v>
      </c>
      <c r="DW68" s="63">
        <f t="shared" ref="DW68:DW131" si="61">DV68/DR68</f>
        <v>0.12289358932968282</v>
      </c>
      <c r="DX68" s="63">
        <f t="shared" ref="DX68:DX131" si="62">DV68/-(DS68+DT68+DU68)</f>
        <v>0.14011251979764119</v>
      </c>
      <c r="DY68" s="64">
        <f t="shared" ref="DY68:DY131" si="63">AZ68</f>
        <v>-22831000</v>
      </c>
      <c r="DZ68" s="64">
        <f t="shared" ref="DZ68:DZ131" si="64">(CF68+CG68)/2</f>
        <v>696198000</v>
      </c>
      <c r="EA68" s="64">
        <f t="shared" ref="EA68:EA131" si="65">(CZ68+DA68)/2</f>
        <v>4021000</v>
      </c>
      <c r="EB68" s="61"/>
      <c r="EC68" s="64">
        <f t="shared" ref="EC68:EC131" si="66">IF(AO68="n.a.","无数据",AO68)</f>
        <v>2306521000</v>
      </c>
      <c r="ED68" s="64">
        <f t="shared" ref="ED68:ED131" si="67">AW68</f>
        <v>-1462560000</v>
      </c>
      <c r="EE68" s="64">
        <f t="shared" ref="EE68:EE131" si="68">IF(BA68="n.a.",BE68,(BA68+BE68))</f>
        <v>-442162000</v>
      </c>
      <c r="EF68" s="64">
        <f t="shared" ref="EF68:EF131" si="69">BM68</f>
        <v>-109793000</v>
      </c>
      <c r="EG68" s="64">
        <f t="shared" ref="EG68:EG131" si="70">IF(EC68="无数据","无数据",(EC68+ED68+EE68+EF68))</f>
        <v>292006000</v>
      </c>
      <c r="EH68" s="63">
        <f t="shared" ref="EH68:EH131" si="71">EG68/EC68</f>
        <v>0.1266001913704666</v>
      </c>
      <c r="EI68" s="57">
        <f t="shared" ref="EI68:EI131" si="72">EG68/-(ED68+EE68+EF68)</f>
        <v>0.14495101798695964</v>
      </c>
      <c r="EJ68" s="64">
        <f t="shared" ref="EJ68:EJ131" si="73">BA68</f>
        <v>-17706000</v>
      </c>
      <c r="EK68" s="64">
        <f t="shared" ref="EK68:EK131" si="74">(CG68+CH68)/2</f>
        <v>582350000</v>
      </c>
      <c r="EL68" s="64">
        <f t="shared" ref="EL68:EL131" si="75">(DA68+DB68)/2</f>
        <v>10685000</v>
      </c>
      <c r="EM68" s="61"/>
      <c r="EN68" s="66">
        <f t="shared" ref="EN68:EQ131" si="76">(EC68+DR68+DG68)/3</f>
        <v>2449588333.3333335</v>
      </c>
      <c r="EO68" s="66">
        <f t="shared" si="76"/>
        <v>-1520865000</v>
      </c>
      <c r="EP68" s="66">
        <f t="shared" si="76"/>
        <v>-498477333.33333331</v>
      </c>
      <c r="EQ68" s="66">
        <f t="shared" si="43"/>
        <v>-111702333.33333333</v>
      </c>
      <c r="ER68" s="66">
        <f t="shared" ref="ER68:ER131" si="77">EN68+EO68+EP68+EQ68</f>
        <v>318543666.66666687</v>
      </c>
      <c r="ES68" s="63">
        <f t="shared" ref="ES68:ES131" si="78">ER68/EN68</f>
        <v>0.1300396733328662</v>
      </c>
      <c r="ET68" s="67">
        <f t="shared" ref="ET68:ET131" si="79">ER68/-(EO68+EP68+EQ68)</f>
        <v>0.14947770530071802</v>
      </c>
      <c r="EU68" s="66">
        <f t="shared" ref="EU68:EU131" si="80">-(EJ68+DY68+DN68)/3</f>
        <v>23048000</v>
      </c>
      <c r="EV68" s="66">
        <f t="shared" ref="EV68:EW131" si="81">AVERAGE(EK68,DZ68,DO68)</f>
        <v>678629666.66666663</v>
      </c>
      <c r="EW68" s="66">
        <f t="shared" si="81"/>
        <v>4993833.333333333</v>
      </c>
      <c r="EX68" s="70"/>
      <c r="EY68" s="71" t="str">
        <f t="shared" ref="EY68:EY131" si="82">IF(EC68="无数据","无数据","完整")</f>
        <v>完整</v>
      </c>
      <c r="EZ68" s="71" t="str">
        <f t="shared" ref="EZ68:EZ131" si="83">IF(DR68="无数据","无数据","完整")</f>
        <v>完整</v>
      </c>
      <c r="FA68" s="71" t="str">
        <f t="shared" ref="FA68:FA131" si="84">IF(DG68="无数据","无数据","完整")</f>
        <v>完整</v>
      </c>
      <c r="FB68" s="71" t="str">
        <f t="shared" ref="FB68:FB131" si="85">IF(AND(EY68="完整",EZ68="完整",FA68="完整"),"选择","删除")</f>
        <v>选择</v>
      </c>
      <c r="FC68" s="71" t="str">
        <f t="shared" ref="FC68:FC131" si="86">IF(AND(DK68&lt;0,DV68&lt;0,EG68&lt;0),"删除","选择")</f>
        <v>选择</v>
      </c>
      <c r="FD68" s="72"/>
      <c r="FE68" s="72"/>
      <c r="FF68" s="72"/>
      <c r="FG68" s="72"/>
      <c r="FH68" s="72"/>
      <c r="FI68" s="72"/>
      <c r="FJ68" s="72"/>
      <c r="FK68" s="72"/>
      <c r="FL68" s="72"/>
      <c r="FM68" s="72"/>
      <c r="FN68" s="72"/>
      <c r="FO68" s="72"/>
      <c r="FP68" s="72"/>
      <c r="FQ68" s="72"/>
      <c r="FR68" s="72"/>
      <c r="FS68" s="72"/>
      <c r="FT68" s="72"/>
      <c r="FU68" s="72"/>
      <c r="FV68" s="72"/>
      <c r="FW68" s="72"/>
      <c r="FX68" s="72"/>
      <c r="FY68" s="72"/>
      <c r="FZ68" s="72"/>
      <c r="GA68" s="72"/>
      <c r="GB68" s="72"/>
      <c r="GC68" s="72"/>
      <c r="GD68" s="72"/>
      <c r="GE68" s="72"/>
      <c r="GF68" s="72"/>
      <c r="GG68" s="72"/>
      <c r="GH68" s="72"/>
      <c r="GI68" s="72"/>
      <c r="GJ68" s="72"/>
      <c r="GK68" s="72"/>
      <c r="GL68" s="72"/>
      <c r="GM68" s="72"/>
      <c r="GN68" s="72"/>
      <c r="GO68" s="72"/>
      <c r="GP68" s="72"/>
      <c r="GQ68" s="72"/>
      <c r="GR68" s="72"/>
      <c r="GS68" s="72"/>
      <c r="GT68" s="72"/>
      <c r="GU68" s="72"/>
      <c r="GV68" s="72"/>
      <c r="GW68" s="72"/>
      <c r="GX68" s="72"/>
      <c r="GY68" s="72"/>
      <c r="GZ68" s="72"/>
      <c r="HA68" s="72"/>
      <c r="HB68" s="72"/>
      <c r="HC68" s="72"/>
      <c r="HD68" s="72"/>
      <c r="HE68" s="72"/>
      <c r="HF68" s="72"/>
      <c r="HG68" s="72"/>
      <c r="HH68" s="72"/>
      <c r="HI68" s="72"/>
    </row>
    <row r="69" spans="1:217" s="3" customFormat="1" ht="12.75" customHeight="1" x14ac:dyDescent="0.25">
      <c r="A69" s="28" t="s">
        <v>233</v>
      </c>
      <c r="B69" s="134" t="str">
        <f t="shared" si="44"/>
        <v>NIPPON SHIKIZAI INC</v>
      </c>
      <c r="C69" s="29" t="s">
        <v>341</v>
      </c>
      <c r="D69" s="29"/>
      <c r="E69" s="35"/>
      <c r="F69" s="34"/>
      <c r="G69" s="29"/>
      <c r="H69" s="31">
        <f t="shared" si="45"/>
        <v>-3.3681849849312752E-2</v>
      </c>
      <c r="I69" s="29"/>
      <c r="J69" s="29" t="str">
        <f>VLOOKUP(Z:Z,'[1]AP 2022'!FD68:FF181,2,FALSE)</f>
        <v>Include before</v>
      </c>
      <c r="K69" s="47">
        <f>VLOOKUP(Z:Z,'[1]AP 2022'!FD68:FF181,3,0)</f>
        <v>0</v>
      </c>
      <c r="L69" s="48"/>
      <c r="M69" s="125" t="s">
        <v>847</v>
      </c>
      <c r="N69" s="125" t="s">
        <v>848</v>
      </c>
      <c r="O69" s="125" t="s">
        <v>331</v>
      </c>
      <c r="P69" s="142" t="s">
        <v>849</v>
      </c>
      <c r="Q69" s="124"/>
      <c r="R69" s="125" t="s">
        <v>333</v>
      </c>
      <c r="S69" s="125" t="s">
        <v>850</v>
      </c>
      <c r="T69" s="125" t="s">
        <v>335</v>
      </c>
      <c r="U69" s="125" t="s">
        <v>321</v>
      </c>
      <c r="V69" s="125" t="s">
        <v>851</v>
      </c>
      <c r="W69" s="125" t="s">
        <v>852</v>
      </c>
      <c r="X69" s="124"/>
      <c r="Y69" s="124"/>
      <c r="Z69" s="125" t="s">
        <v>853</v>
      </c>
      <c r="AA69" s="128">
        <v>11760414000</v>
      </c>
      <c r="AB69" s="128">
        <v>8702029000</v>
      </c>
      <c r="AC69" s="128">
        <v>9143569000</v>
      </c>
      <c r="AD69" s="128">
        <v>12207752000</v>
      </c>
      <c r="AE69" s="128">
        <v>11760414000</v>
      </c>
      <c r="AF69" s="128">
        <v>8702029000</v>
      </c>
      <c r="AG69" s="128">
        <v>9143569000</v>
      </c>
      <c r="AH69" s="128">
        <v>12207752000</v>
      </c>
      <c r="AI69" s="125" t="s">
        <v>340</v>
      </c>
      <c r="AJ69" s="125" t="s">
        <v>340</v>
      </c>
      <c r="AK69" s="125" t="s">
        <v>340</v>
      </c>
      <c r="AL69" s="125" t="s">
        <v>340</v>
      </c>
      <c r="AM69" s="128">
        <v>11760414000</v>
      </c>
      <c r="AN69" s="128">
        <v>8702029000</v>
      </c>
      <c r="AO69" s="128">
        <v>9143569000</v>
      </c>
      <c r="AP69" s="128">
        <v>12207752000</v>
      </c>
      <c r="AQ69" s="125" t="s">
        <v>340</v>
      </c>
      <c r="AR69" s="125" t="s">
        <v>340</v>
      </c>
      <c r="AS69" s="125" t="s">
        <v>340</v>
      </c>
      <c r="AT69" s="125" t="s">
        <v>340</v>
      </c>
      <c r="AU69" s="128">
        <v>-9559423000</v>
      </c>
      <c r="AV69" s="128">
        <v>-7112535000</v>
      </c>
      <c r="AW69" s="128">
        <v>-7928277000</v>
      </c>
      <c r="AX69" s="128">
        <v>-9883933000</v>
      </c>
      <c r="AY69" s="128">
        <v>-646810000</v>
      </c>
      <c r="AZ69" s="128">
        <v>-610493000</v>
      </c>
      <c r="BA69" s="128">
        <v>-643860000</v>
      </c>
      <c r="BB69" s="128">
        <v>-726436000</v>
      </c>
      <c r="BC69" s="128">
        <v>-578447000</v>
      </c>
      <c r="BD69" s="128">
        <v>-461660000</v>
      </c>
      <c r="BE69" s="128">
        <v>-590430000</v>
      </c>
      <c r="BF69" s="128">
        <v>-535646000</v>
      </c>
      <c r="BG69" s="128">
        <v>975734000</v>
      </c>
      <c r="BH69" s="128">
        <v>517341000</v>
      </c>
      <c r="BI69" s="128">
        <v>-18998000</v>
      </c>
      <c r="BJ69" s="128">
        <v>1061737000</v>
      </c>
      <c r="BK69" s="128">
        <v>-813923000</v>
      </c>
      <c r="BL69" s="128">
        <v>-785250000</v>
      </c>
      <c r="BM69" s="128">
        <v>-906847000</v>
      </c>
      <c r="BN69" s="128">
        <v>-612085000</v>
      </c>
      <c r="BO69" s="128">
        <v>-796845000</v>
      </c>
      <c r="BP69" s="128">
        <v>-785250000</v>
      </c>
      <c r="BQ69" s="128">
        <v>-906847000</v>
      </c>
      <c r="BR69" s="128">
        <v>-612085000</v>
      </c>
      <c r="BS69" s="128">
        <v>-17078000</v>
      </c>
      <c r="BT69" s="128">
        <v>0</v>
      </c>
      <c r="BU69" s="128">
        <v>0</v>
      </c>
      <c r="BV69" s="128">
        <v>0</v>
      </c>
      <c r="BW69" s="128">
        <v>246295000</v>
      </c>
      <c r="BX69" s="128">
        <v>-122031000</v>
      </c>
      <c r="BY69" s="128">
        <v>-848670000</v>
      </c>
      <c r="BZ69" s="128">
        <v>283585000</v>
      </c>
      <c r="CA69" s="128">
        <v>6160163000</v>
      </c>
      <c r="CB69" s="128">
        <v>5011114000</v>
      </c>
      <c r="CC69" s="128">
        <v>4719378000</v>
      </c>
      <c r="CD69" s="128">
        <v>5731107000</v>
      </c>
      <c r="CE69" s="128">
        <v>2423405000</v>
      </c>
      <c r="CF69" s="128">
        <v>1705713000</v>
      </c>
      <c r="CG69" s="128">
        <v>1864004000</v>
      </c>
      <c r="CH69" s="128">
        <v>2099545000</v>
      </c>
      <c r="CI69" s="128">
        <v>2179133000</v>
      </c>
      <c r="CJ69" s="128">
        <v>1832400000</v>
      </c>
      <c r="CK69" s="128">
        <v>1629072000</v>
      </c>
      <c r="CL69" s="128">
        <v>2411023000</v>
      </c>
      <c r="CM69" s="128">
        <v>226060000</v>
      </c>
      <c r="CN69" s="128">
        <v>149919000</v>
      </c>
      <c r="CO69" s="128">
        <v>147720000</v>
      </c>
      <c r="CP69" s="128">
        <v>385193000</v>
      </c>
      <c r="CQ69" s="128">
        <v>1331565000</v>
      </c>
      <c r="CR69" s="128">
        <v>1323082000</v>
      </c>
      <c r="CS69" s="128">
        <v>1078582000</v>
      </c>
      <c r="CT69" s="128">
        <v>835346000</v>
      </c>
      <c r="CU69" s="125" t="s">
        <v>340</v>
      </c>
      <c r="CV69" s="125" t="s">
        <v>340</v>
      </c>
      <c r="CW69" s="125" t="s">
        <v>340</v>
      </c>
      <c r="CX69" s="125" t="s">
        <v>340</v>
      </c>
      <c r="CY69" s="128">
        <v>1430060000</v>
      </c>
      <c r="CZ69" s="128">
        <v>1167322000</v>
      </c>
      <c r="DA69" s="128">
        <v>1174808000</v>
      </c>
      <c r="DB69" s="128">
        <v>1313741000</v>
      </c>
      <c r="DC69" s="128">
        <v>16049019000</v>
      </c>
      <c r="DD69" s="128">
        <v>15353800000</v>
      </c>
      <c r="DE69" s="128">
        <v>15550749000</v>
      </c>
      <c r="DF69" s="128">
        <v>15524388000</v>
      </c>
      <c r="DG69" s="16">
        <f t="shared" si="46"/>
        <v>11760414000</v>
      </c>
      <c r="DH69" s="16">
        <f t="shared" si="47"/>
        <v>-9559423000</v>
      </c>
      <c r="DI69" s="16">
        <f t="shared" si="48"/>
        <v>-1225257000</v>
      </c>
      <c r="DJ69" s="16">
        <f t="shared" si="49"/>
        <v>-813923000</v>
      </c>
      <c r="DK69" s="16">
        <f t="shared" si="50"/>
        <v>161811000</v>
      </c>
      <c r="DL69" s="57">
        <f t="shared" si="51"/>
        <v>1.3758954404156181E-2</v>
      </c>
      <c r="DM69" s="57">
        <f t="shared" si="52"/>
        <v>1.3950904259763008E-2</v>
      </c>
      <c r="DN69" s="58">
        <f t="shared" si="53"/>
        <v>-646810000</v>
      </c>
      <c r="DO69" s="16">
        <f t="shared" si="54"/>
        <v>2064559000</v>
      </c>
      <c r="DP69" s="16">
        <f t="shared" si="55"/>
        <v>1298691000</v>
      </c>
      <c r="DQ69" s="61"/>
      <c r="DR69" s="62">
        <f t="shared" si="56"/>
        <v>8702029000</v>
      </c>
      <c r="DS69" s="62">
        <f t="shared" si="57"/>
        <v>-7112535000</v>
      </c>
      <c r="DT69" s="62">
        <f t="shared" si="58"/>
        <v>-1072153000</v>
      </c>
      <c r="DU69" s="62">
        <f t="shared" si="59"/>
        <v>-785250000</v>
      </c>
      <c r="DV69" s="62">
        <f t="shared" si="60"/>
        <v>-267909000</v>
      </c>
      <c r="DW69" s="63">
        <f t="shared" si="61"/>
        <v>-3.0786957846267806E-2</v>
      </c>
      <c r="DX69" s="63">
        <f t="shared" si="62"/>
        <v>-2.9867430521816316E-2</v>
      </c>
      <c r="DY69" s="64">
        <f t="shared" si="63"/>
        <v>-610493000</v>
      </c>
      <c r="DZ69" s="64">
        <f t="shared" si="64"/>
        <v>1784858500</v>
      </c>
      <c r="EA69" s="64">
        <f t="shared" si="65"/>
        <v>1171065000</v>
      </c>
      <c r="EB69" s="61"/>
      <c r="EC69" s="64">
        <f t="shared" si="66"/>
        <v>9143569000</v>
      </c>
      <c r="ED69" s="64">
        <f t="shared" si="67"/>
        <v>-7928277000</v>
      </c>
      <c r="EE69" s="64">
        <f t="shared" si="68"/>
        <v>-1234290000</v>
      </c>
      <c r="EF69" s="64">
        <f t="shared" si="69"/>
        <v>-906847000</v>
      </c>
      <c r="EG69" s="64">
        <f t="shared" si="70"/>
        <v>-925845000</v>
      </c>
      <c r="EH69" s="63">
        <f t="shared" si="71"/>
        <v>-0.10125641311396021</v>
      </c>
      <c r="EI69" s="57">
        <f t="shared" si="72"/>
        <v>-9.1946264201670527E-2</v>
      </c>
      <c r="EJ69" s="64">
        <f t="shared" si="73"/>
        <v>-643860000</v>
      </c>
      <c r="EK69" s="64">
        <f t="shared" si="74"/>
        <v>1981774500</v>
      </c>
      <c r="EL69" s="64">
        <f t="shared" si="75"/>
        <v>1244274500</v>
      </c>
      <c r="EM69" s="61"/>
      <c r="EN69" s="66">
        <f t="shared" si="76"/>
        <v>9868670666.666666</v>
      </c>
      <c r="EO69" s="66">
        <f t="shared" si="76"/>
        <v>-8200078333.333333</v>
      </c>
      <c r="EP69" s="66">
        <f t="shared" si="76"/>
        <v>-1177233333.3333333</v>
      </c>
      <c r="EQ69" s="66">
        <f t="shared" si="43"/>
        <v>-835340000</v>
      </c>
      <c r="ER69" s="66">
        <f t="shared" si="77"/>
        <v>-343981000.00000024</v>
      </c>
      <c r="ES69" s="63">
        <f t="shared" si="78"/>
        <v>-3.4855859681472832E-2</v>
      </c>
      <c r="ET69" s="67">
        <f t="shared" si="79"/>
        <v>-3.3681849849312752E-2</v>
      </c>
      <c r="EU69" s="66">
        <f t="shared" si="80"/>
        <v>633721000</v>
      </c>
      <c r="EV69" s="66">
        <f t="shared" si="81"/>
        <v>1943730666.6666667</v>
      </c>
      <c r="EW69" s="66">
        <f t="shared" si="81"/>
        <v>1238010166.6666667</v>
      </c>
      <c r="EX69" s="70"/>
      <c r="EY69" s="71" t="str">
        <f t="shared" si="82"/>
        <v>完整</v>
      </c>
      <c r="EZ69" s="71" t="str">
        <f t="shared" si="83"/>
        <v>完整</v>
      </c>
      <c r="FA69" s="71" t="str">
        <f t="shared" si="84"/>
        <v>完整</v>
      </c>
      <c r="FB69" s="71" t="str">
        <f t="shared" si="85"/>
        <v>选择</v>
      </c>
      <c r="FC69" s="71" t="str">
        <f t="shared" si="86"/>
        <v>选择</v>
      </c>
      <c r="FD69" s="72"/>
      <c r="FE69" s="72"/>
      <c r="FF69" s="72"/>
      <c r="FG69" s="72"/>
      <c r="FH69" s="72"/>
      <c r="FI69" s="72"/>
      <c r="FJ69" s="72"/>
      <c r="FK69" s="72"/>
      <c r="FL69" s="72"/>
      <c r="FM69" s="72"/>
      <c r="FN69" s="72"/>
      <c r="FO69" s="72"/>
      <c r="FP69" s="72"/>
      <c r="FQ69" s="72"/>
      <c r="FR69" s="72"/>
      <c r="FS69" s="72"/>
      <c r="FT69" s="72"/>
      <c r="FU69" s="72"/>
      <c r="FV69" s="72"/>
      <c r="FW69" s="72"/>
      <c r="FX69" s="72"/>
      <c r="FY69" s="72"/>
      <c r="FZ69" s="72"/>
      <c r="GA69" s="72"/>
      <c r="GB69" s="72"/>
      <c r="GC69" s="72"/>
      <c r="GD69" s="72"/>
      <c r="GE69" s="72"/>
      <c r="GF69" s="72"/>
      <c r="GG69" s="72"/>
      <c r="GH69" s="72"/>
      <c r="GI69" s="72"/>
      <c r="GJ69" s="72"/>
      <c r="GK69" s="72"/>
      <c r="GL69" s="72"/>
      <c r="GM69" s="72"/>
      <c r="GN69" s="72"/>
      <c r="GO69" s="72"/>
      <c r="GP69" s="72"/>
      <c r="GQ69" s="72"/>
      <c r="GR69" s="72"/>
      <c r="GS69" s="72"/>
      <c r="GT69" s="72"/>
      <c r="GU69" s="72"/>
      <c r="GV69" s="72"/>
      <c r="GW69" s="72"/>
      <c r="GX69" s="72"/>
      <c r="GY69" s="72"/>
      <c r="GZ69" s="72"/>
      <c r="HA69" s="72"/>
      <c r="HB69" s="72"/>
      <c r="HC69" s="72"/>
      <c r="HD69" s="72"/>
      <c r="HE69" s="72"/>
      <c r="HF69" s="72"/>
      <c r="HG69" s="72"/>
      <c r="HH69" s="72"/>
      <c r="HI69" s="72"/>
    </row>
    <row r="70" spans="1:217" s="3" customFormat="1" ht="12.75" customHeight="1" x14ac:dyDescent="0.25">
      <c r="A70" s="28" t="s">
        <v>234</v>
      </c>
      <c r="B70" s="134" t="str">
        <f t="shared" si="44"/>
        <v>KCI CO.,LTD.</v>
      </c>
      <c r="C70" s="29" t="s">
        <v>328</v>
      </c>
      <c r="D70" s="136" t="s">
        <v>309</v>
      </c>
      <c r="E70" s="35"/>
      <c r="F70" s="34"/>
      <c r="H70" s="31" t="str">
        <f t="shared" si="45"/>
        <v xml:space="preserve"> </v>
      </c>
      <c r="I70" s="29"/>
      <c r="J70" s="29" t="str">
        <f>VLOOKUP(Z:Z,'[1]AP 2022'!FD69:FF181,2,FALSE)</f>
        <v>exclude</v>
      </c>
      <c r="K70" s="47" t="str">
        <f>VLOOKUP(Z:Z,'[1]AP 2022'!FD69:FF181,3,0)</f>
        <v>Independence(A+, A, A-, U)</v>
      </c>
      <c r="L70" s="48"/>
      <c r="M70" s="125" t="s">
        <v>854</v>
      </c>
      <c r="N70" s="125" t="s">
        <v>855</v>
      </c>
      <c r="O70" s="125" t="s">
        <v>381</v>
      </c>
      <c r="P70" s="125" t="s">
        <v>856</v>
      </c>
      <c r="Q70" s="124"/>
      <c r="R70" s="125" t="s">
        <v>363</v>
      </c>
      <c r="S70" s="125" t="s">
        <v>857</v>
      </c>
      <c r="T70" s="125" t="s">
        <v>374</v>
      </c>
      <c r="U70" s="125" t="s">
        <v>319</v>
      </c>
      <c r="V70" s="125" t="s">
        <v>858</v>
      </c>
      <c r="W70" s="125" t="s">
        <v>859</v>
      </c>
      <c r="X70" s="125" t="s">
        <v>860</v>
      </c>
      <c r="Y70" s="124"/>
      <c r="Z70" s="125" t="s">
        <v>861</v>
      </c>
      <c r="AA70" s="128">
        <v>109605027000</v>
      </c>
      <c r="AB70" s="128">
        <v>81501153000</v>
      </c>
      <c r="AC70" s="128">
        <v>73251257000</v>
      </c>
      <c r="AD70" s="128">
        <v>69641355000</v>
      </c>
      <c r="AE70" s="128">
        <v>109605027000</v>
      </c>
      <c r="AF70" s="128">
        <v>81501153000</v>
      </c>
      <c r="AG70" s="128">
        <v>73251257000</v>
      </c>
      <c r="AH70" s="128">
        <v>69641355000</v>
      </c>
      <c r="AI70" s="125" t="s">
        <v>340</v>
      </c>
      <c r="AJ70" s="125" t="s">
        <v>340</v>
      </c>
      <c r="AK70" s="125" t="s">
        <v>340</v>
      </c>
      <c r="AL70" s="125" t="s">
        <v>340</v>
      </c>
      <c r="AM70" s="128">
        <v>109605027000</v>
      </c>
      <c r="AN70" s="128">
        <v>81501153000</v>
      </c>
      <c r="AO70" s="128">
        <v>73251257000</v>
      </c>
      <c r="AP70" s="128">
        <v>69641355000</v>
      </c>
      <c r="AQ70" s="125" t="s">
        <v>340</v>
      </c>
      <c r="AR70" s="125" t="s">
        <v>340</v>
      </c>
      <c r="AS70" s="125" t="s">
        <v>340</v>
      </c>
      <c r="AT70" s="125" t="s">
        <v>340</v>
      </c>
      <c r="AU70" s="128">
        <v>-70717519000</v>
      </c>
      <c r="AV70" s="128">
        <v>-54512434000</v>
      </c>
      <c r="AW70" s="128">
        <v>-49439031000</v>
      </c>
      <c r="AX70" s="128">
        <v>-46069810000</v>
      </c>
      <c r="AY70" s="128">
        <v>-12567000</v>
      </c>
      <c r="AZ70" s="128">
        <v>-1870255000</v>
      </c>
      <c r="BA70" s="128">
        <v>-1338761000</v>
      </c>
      <c r="BB70" s="128">
        <v>-1009424000</v>
      </c>
      <c r="BC70" s="128">
        <v>-16295434000</v>
      </c>
      <c r="BD70" s="128">
        <v>-12409926000</v>
      </c>
      <c r="BE70" s="128">
        <v>-8148742000</v>
      </c>
      <c r="BF70" s="128">
        <v>-7873610000</v>
      </c>
      <c r="BG70" s="128">
        <v>22579507000</v>
      </c>
      <c r="BH70" s="128">
        <v>12708538000</v>
      </c>
      <c r="BI70" s="128">
        <v>14324723000</v>
      </c>
      <c r="BJ70" s="128">
        <v>14688511000</v>
      </c>
      <c r="BK70" s="128">
        <v>-702225000</v>
      </c>
      <c r="BL70" s="128">
        <v>-265385000</v>
      </c>
      <c r="BM70" s="128">
        <v>-233007000</v>
      </c>
      <c r="BN70" s="128">
        <v>-192932000</v>
      </c>
      <c r="BO70" s="128">
        <v>-453696000</v>
      </c>
      <c r="BP70" s="128">
        <v>-250017000</v>
      </c>
      <c r="BQ70" s="128">
        <v>-218294000</v>
      </c>
      <c r="BR70" s="128">
        <v>-175682000</v>
      </c>
      <c r="BS70" s="128">
        <v>-248529000</v>
      </c>
      <c r="BT70" s="128">
        <v>-15368000</v>
      </c>
      <c r="BU70" s="128">
        <v>-14713000</v>
      </c>
      <c r="BV70" s="128">
        <v>-17250000</v>
      </c>
      <c r="BW70" s="128">
        <v>17816310000</v>
      </c>
      <c r="BX70" s="128">
        <v>10155282000</v>
      </c>
      <c r="BY70" s="128">
        <v>10615160000</v>
      </c>
      <c r="BZ70" s="128">
        <v>11414879000</v>
      </c>
      <c r="CA70" s="128">
        <v>74376525000</v>
      </c>
      <c r="CB70" s="128">
        <v>51965284000</v>
      </c>
      <c r="CC70" s="128">
        <v>42420316000</v>
      </c>
      <c r="CD70" s="128">
        <v>42315219000</v>
      </c>
      <c r="CE70" s="128">
        <v>38182382000</v>
      </c>
      <c r="CF70" s="128">
        <v>25682481000</v>
      </c>
      <c r="CG70" s="128">
        <v>20355484000</v>
      </c>
      <c r="CH70" s="128">
        <v>17440142000</v>
      </c>
      <c r="CI70" s="128">
        <v>17950591000</v>
      </c>
      <c r="CJ70" s="128">
        <v>17181381000</v>
      </c>
      <c r="CK70" s="128">
        <v>11306299000</v>
      </c>
      <c r="CL70" s="128">
        <v>12563335000</v>
      </c>
      <c r="CM70" s="128">
        <v>4581095000</v>
      </c>
      <c r="CN70" s="128">
        <v>10064000</v>
      </c>
      <c r="CO70" s="125" t="s">
        <v>340</v>
      </c>
      <c r="CP70" s="125" t="s">
        <v>340</v>
      </c>
      <c r="CQ70" s="128">
        <v>13284830000</v>
      </c>
      <c r="CR70" s="128">
        <v>8282470000</v>
      </c>
      <c r="CS70" s="128">
        <v>10093391000</v>
      </c>
      <c r="CT70" s="128">
        <v>11781850000</v>
      </c>
      <c r="CU70" s="125" t="s">
        <v>340</v>
      </c>
      <c r="CV70" s="128">
        <v>2010030000</v>
      </c>
      <c r="CW70" s="128">
        <v>1103579000</v>
      </c>
      <c r="CX70" s="128">
        <v>2000000000</v>
      </c>
      <c r="CY70" s="128">
        <v>5383678000</v>
      </c>
      <c r="CZ70" s="128">
        <v>8258805000</v>
      </c>
      <c r="DA70" s="128">
        <v>4565496000</v>
      </c>
      <c r="DB70" s="128">
        <v>907943000</v>
      </c>
      <c r="DC70" s="128">
        <v>123130036000</v>
      </c>
      <c r="DD70" s="128">
        <v>97368840000</v>
      </c>
      <c r="DE70" s="128">
        <v>84521835000</v>
      </c>
      <c r="DF70" s="128">
        <v>79319622000</v>
      </c>
      <c r="DG70" s="16">
        <f t="shared" si="46"/>
        <v>109605027000</v>
      </c>
      <c r="DH70" s="16">
        <f t="shared" si="47"/>
        <v>-70717519000</v>
      </c>
      <c r="DI70" s="16">
        <f t="shared" si="48"/>
        <v>-16308001000</v>
      </c>
      <c r="DJ70" s="16">
        <f t="shared" si="49"/>
        <v>-702225000</v>
      </c>
      <c r="DK70" s="16">
        <f t="shared" si="50"/>
        <v>21877282000</v>
      </c>
      <c r="DL70" s="57">
        <f t="shared" si="51"/>
        <v>0.199601082165693</v>
      </c>
      <c r="DM70" s="57">
        <f t="shared" si="52"/>
        <v>0.24937700154039066</v>
      </c>
      <c r="DN70" s="58">
        <f t="shared" si="53"/>
        <v>-12567000</v>
      </c>
      <c r="DO70" s="16">
        <f t="shared" si="54"/>
        <v>31932431500</v>
      </c>
      <c r="DP70" s="16">
        <f t="shared" si="55"/>
        <v>6821241500</v>
      </c>
      <c r="DQ70" s="61"/>
      <c r="DR70" s="62">
        <f t="shared" si="56"/>
        <v>81501153000</v>
      </c>
      <c r="DS70" s="62">
        <f t="shared" si="57"/>
        <v>-54512434000</v>
      </c>
      <c r="DT70" s="62">
        <f t="shared" si="58"/>
        <v>-14280181000</v>
      </c>
      <c r="DU70" s="62">
        <f t="shared" si="59"/>
        <v>-265385000</v>
      </c>
      <c r="DV70" s="62">
        <f t="shared" si="60"/>
        <v>12443153000</v>
      </c>
      <c r="DW70" s="63">
        <f t="shared" si="61"/>
        <v>0.15267456400279392</v>
      </c>
      <c r="DX70" s="63">
        <f t="shared" si="62"/>
        <v>0.18018409163311999</v>
      </c>
      <c r="DY70" s="64">
        <f t="shared" si="63"/>
        <v>-1870255000</v>
      </c>
      <c r="DZ70" s="64">
        <f t="shared" si="64"/>
        <v>23018982500</v>
      </c>
      <c r="EA70" s="64">
        <f t="shared" si="65"/>
        <v>6412150500</v>
      </c>
      <c r="EB70" s="61"/>
      <c r="EC70" s="64">
        <f t="shared" si="66"/>
        <v>73251257000</v>
      </c>
      <c r="ED70" s="64">
        <f t="shared" si="67"/>
        <v>-49439031000</v>
      </c>
      <c r="EE70" s="64">
        <f t="shared" si="68"/>
        <v>-9487503000</v>
      </c>
      <c r="EF70" s="64">
        <f t="shared" si="69"/>
        <v>-233007000</v>
      </c>
      <c r="EG70" s="64">
        <f t="shared" si="70"/>
        <v>14091716000</v>
      </c>
      <c r="EH70" s="63">
        <f t="shared" si="71"/>
        <v>0.19237507419155961</v>
      </c>
      <c r="EI70" s="57">
        <f t="shared" si="72"/>
        <v>0.23819853504272456</v>
      </c>
      <c r="EJ70" s="64">
        <f t="shared" si="73"/>
        <v>-1338761000</v>
      </c>
      <c r="EK70" s="64">
        <f t="shared" si="74"/>
        <v>18897813000</v>
      </c>
      <c r="EL70" s="64">
        <f t="shared" si="75"/>
        <v>2736719500</v>
      </c>
      <c r="EM70" s="61"/>
      <c r="EN70" s="66">
        <f t="shared" si="76"/>
        <v>88119145666.666672</v>
      </c>
      <c r="EO70" s="66">
        <f t="shared" si="76"/>
        <v>-58222994666.666664</v>
      </c>
      <c r="EP70" s="66">
        <f t="shared" si="76"/>
        <v>-13358561666.666666</v>
      </c>
      <c r="EQ70" s="66">
        <f t="shared" si="43"/>
        <v>-400205666.66666669</v>
      </c>
      <c r="ER70" s="66">
        <f t="shared" si="77"/>
        <v>16137383666.666676</v>
      </c>
      <c r="ES70" s="63">
        <f t="shared" si="78"/>
        <v>0.18313141309506653</v>
      </c>
      <c r="ET70" s="67">
        <f t="shared" si="79"/>
        <v>0.22418711654580886</v>
      </c>
      <c r="EU70" s="66">
        <f t="shared" si="80"/>
        <v>1073861000</v>
      </c>
      <c r="EV70" s="66">
        <f t="shared" si="81"/>
        <v>24616409000</v>
      </c>
      <c r="EW70" s="66">
        <f t="shared" si="81"/>
        <v>5323370500</v>
      </c>
      <c r="EX70" s="70"/>
      <c r="EY70" s="71" t="str">
        <f t="shared" si="82"/>
        <v>完整</v>
      </c>
      <c r="EZ70" s="71" t="str">
        <f t="shared" si="83"/>
        <v>完整</v>
      </c>
      <c r="FA70" s="71" t="str">
        <f t="shared" si="84"/>
        <v>完整</v>
      </c>
      <c r="FB70" s="71" t="str">
        <f t="shared" si="85"/>
        <v>选择</v>
      </c>
      <c r="FC70" s="71" t="str">
        <f t="shared" si="86"/>
        <v>选择</v>
      </c>
      <c r="FD70" s="72"/>
      <c r="FE70" s="72"/>
      <c r="FF70" s="72"/>
      <c r="FG70" s="72"/>
      <c r="FH70" s="72"/>
      <c r="FI70" s="72"/>
      <c r="FJ70" s="72"/>
      <c r="FK70" s="72"/>
      <c r="FL70" s="72"/>
      <c r="FM70" s="72"/>
      <c r="FN70" s="72"/>
      <c r="FO70" s="72"/>
      <c r="FP70" s="72"/>
      <c r="FQ70" s="72"/>
      <c r="FR70" s="72"/>
      <c r="FS70" s="72"/>
      <c r="FT70" s="72"/>
      <c r="FU70" s="72"/>
      <c r="FV70" s="72"/>
      <c r="FW70" s="72"/>
      <c r="FX70" s="72"/>
      <c r="FY70" s="72"/>
      <c r="FZ70" s="72"/>
      <c r="GA70" s="72"/>
      <c r="GB70" s="72"/>
      <c r="GC70" s="72"/>
      <c r="GD70" s="72"/>
      <c r="GE70" s="72"/>
      <c r="GF70" s="72"/>
      <c r="GG70" s="72"/>
      <c r="GH70" s="72"/>
      <c r="GI70" s="72"/>
      <c r="GJ70" s="72"/>
      <c r="GK70" s="72"/>
      <c r="GL70" s="72"/>
      <c r="GM70" s="72"/>
      <c r="GN70" s="72"/>
      <c r="GO70" s="72"/>
      <c r="GP70" s="72"/>
      <c r="GQ70" s="72"/>
      <c r="GR70" s="72"/>
      <c r="GS70" s="72"/>
      <c r="GT70" s="72"/>
      <c r="GU70" s="72"/>
      <c r="GV70" s="72"/>
      <c r="GW70" s="72"/>
      <c r="GX70" s="72"/>
      <c r="GY70" s="72"/>
      <c r="GZ70" s="72"/>
      <c r="HA70" s="72"/>
      <c r="HB70" s="72"/>
      <c r="HC70" s="72"/>
      <c r="HD70" s="72"/>
      <c r="HE70" s="72"/>
      <c r="HF70" s="72"/>
      <c r="HG70" s="72"/>
      <c r="HH70" s="72"/>
      <c r="HI70" s="72"/>
    </row>
    <row r="71" spans="1:217" s="3" customFormat="1" ht="12.75" customHeight="1" x14ac:dyDescent="0.25">
      <c r="A71" s="28" t="s">
        <v>235</v>
      </c>
      <c r="B71" s="47" t="str">
        <f t="shared" si="44"/>
        <v>HANKOOK COSMETICS MANUFACTURING CO.,LTD.</v>
      </c>
      <c r="C71" s="29" t="s">
        <v>341</v>
      </c>
      <c r="D71" s="29"/>
      <c r="E71" s="35"/>
      <c r="H71" s="31">
        <f t="shared" si="45"/>
        <v>5.8908016475508829E-3</v>
      </c>
      <c r="I71" s="29"/>
      <c r="J71" s="29" t="str">
        <f>VLOOKUP(Z:Z,'[1]AP 2022'!FD70:FF181,2,FALSE)</f>
        <v>include before</v>
      </c>
      <c r="K71" s="47">
        <f>VLOOKUP(Z:Z,'[1]AP 2022'!FD70:FF181,3,0)</f>
        <v>0</v>
      </c>
      <c r="L71" s="48"/>
      <c r="M71" s="125" t="s">
        <v>862</v>
      </c>
      <c r="N71" s="125" t="s">
        <v>863</v>
      </c>
      <c r="O71" s="125" t="s">
        <v>331</v>
      </c>
      <c r="P71" s="142" t="s">
        <v>864</v>
      </c>
      <c r="Q71" s="124"/>
      <c r="R71" s="125" t="s">
        <v>363</v>
      </c>
      <c r="S71" s="125" t="s">
        <v>865</v>
      </c>
      <c r="T71" s="125" t="s">
        <v>866</v>
      </c>
      <c r="U71" s="125" t="s">
        <v>321</v>
      </c>
      <c r="V71" s="125" t="s">
        <v>867</v>
      </c>
      <c r="W71" s="125" t="s">
        <v>868</v>
      </c>
      <c r="X71" s="125" t="s">
        <v>869</v>
      </c>
      <c r="Y71" s="125" t="s">
        <v>870</v>
      </c>
      <c r="Z71" s="125" t="s">
        <v>871</v>
      </c>
      <c r="AA71" s="128">
        <v>103876969000</v>
      </c>
      <c r="AB71" s="128">
        <v>67809682000</v>
      </c>
      <c r="AC71" s="128">
        <v>61990282000</v>
      </c>
      <c r="AD71" s="128">
        <v>76491978000</v>
      </c>
      <c r="AE71" s="128">
        <v>103876969000</v>
      </c>
      <c r="AF71" s="128">
        <v>67809682000</v>
      </c>
      <c r="AG71" s="128">
        <v>61990282000</v>
      </c>
      <c r="AH71" s="128">
        <v>76491978000</v>
      </c>
      <c r="AI71" s="125" t="s">
        <v>340</v>
      </c>
      <c r="AJ71" s="125" t="s">
        <v>340</v>
      </c>
      <c r="AK71" s="125" t="s">
        <v>340</v>
      </c>
      <c r="AL71" s="125" t="s">
        <v>340</v>
      </c>
      <c r="AM71" s="128">
        <v>103876969000</v>
      </c>
      <c r="AN71" s="128">
        <v>67809682000</v>
      </c>
      <c r="AO71" s="128">
        <v>61990282000</v>
      </c>
      <c r="AP71" s="128">
        <v>76491978000</v>
      </c>
      <c r="AQ71" s="125" t="s">
        <v>340</v>
      </c>
      <c r="AR71" s="125" t="s">
        <v>340</v>
      </c>
      <c r="AS71" s="125" t="s">
        <v>340</v>
      </c>
      <c r="AT71" s="125" t="s">
        <v>340</v>
      </c>
      <c r="AU71" s="128">
        <v>-89021055000</v>
      </c>
      <c r="AV71" s="128">
        <v>-58501199000</v>
      </c>
      <c r="AW71" s="128">
        <v>-53945279000</v>
      </c>
      <c r="AX71" s="128">
        <v>-65114089000</v>
      </c>
      <c r="AY71" s="128">
        <v>-4631418000</v>
      </c>
      <c r="AZ71" s="128">
        <v>-4597039000</v>
      </c>
      <c r="BA71" s="128">
        <v>-4083497000</v>
      </c>
      <c r="BB71" s="128">
        <v>-4069907000</v>
      </c>
      <c r="BC71" s="128">
        <v>-5016430000</v>
      </c>
      <c r="BD71" s="128">
        <v>-4466503000</v>
      </c>
      <c r="BE71" s="128">
        <v>-4653736000</v>
      </c>
      <c r="BF71" s="128">
        <v>-4577802000</v>
      </c>
      <c r="BG71" s="128">
        <v>5208066000</v>
      </c>
      <c r="BH71" s="128">
        <v>244941000</v>
      </c>
      <c r="BI71" s="128">
        <v>-692230000</v>
      </c>
      <c r="BJ71" s="128">
        <v>2730180000</v>
      </c>
      <c r="BK71" s="128">
        <v>-890065000</v>
      </c>
      <c r="BL71" s="128">
        <v>-1016256000</v>
      </c>
      <c r="BM71" s="128">
        <v>-1485973000</v>
      </c>
      <c r="BN71" s="128">
        <v>-1421194000</v>
      </c>
      <c r="BO71" s="128">
        <v>-822200000</v>
      </c>
      <c r="BP71" s="128">
        <v>-945361000</v>
      </c>
      <c r="BQ71" s="128">
        <v>-1426549000</v>
      </c>
      <c r="BR71" s="128">
        <v>-1371361000</v>
      </c>
      <c r="BS71" s="128">
        <v>-67865000</v>
      </c>
      <c r="BT71" s="128">
        <v>-70895000</v>
      </c>
      <c r="BU71" s="128">
        <v>-59424000</v>
      </c>
      <c r="BV71" s="128">
        <v>-49833000</v>
      </c>
      <c r="BW71" s="128">
        <v>4033005000</v>
      </c>
      <c r="BX71" s="128">
        <v>-1201699000</v>
      </c>
      <c r="BY71" s="128">
        <v>-4021881000</v>
      </c>
      <c r="BZ71" s="128">
        <v>-1488200000</v>
      </c>
      <c r="CA71" s="128">
        <v>53031406000</v>
      </c>
      <c r="CB71" s="128">
        <v>46335002000</v>
      </c>
      <c r="CC71" s="128">
        <v>45712402000</v>
      </c>
      <c r="CD71" s="128">
        <v>50870623000</v>
      </c>
      <c r="CE71" s="128">
        <v>9087616000</v>
      </c>
      <c r="CF71" s="128">
        <v>7351233000</v>
      </c>
      <c r="CG71" s="128">
        <v>5771577000</v>
      </c>
      <c r="CH71" s="128">
        <v>6808132000</v>
      </c>
      <c r="CI71" s="128">
        <v>16414677000</v>
      </c>
      <c r="CJ71" s="128">
        <v>14700174000</v>
      </c>
      <c r="CK71" s="128">
        <v>26161624000</v>
      </c>
      <c r="CL71" s="128">
        <v>19125862000</v>
      </c>
      <c r="CM71" s="128">
        <v>5022973000</v>
      </c>
      <c r="CN71" s="128">
        <v>2351942000</v>
      </c>
      <c r="CO71" s="128">
        <v>4371000</v>
      </c>
      <c r="CP71" s="128">
        <v>19996000</v>
      </c>
      <c r="CQ71" s="128">
        <v>22355841000</v>
      </c>
      <c r="CR71" s="128">
        <v>21860464000</v>
      </c>
      <c r="CS71" s="128">
        <v>13690400000</v>
      </c>
      <c r="CT71" s="128">
        <v>24789511000</v>
      </c>
      <c r="CU71" s="125" t="s">
        <v>340</v>
      </c>
      <c r="CV71" s="125" t="s">
        <v>340</v>
      </c>
      <c r="CW71" s="128">
        <v>2030000000</v>
      </c>
      <c r="CX71" s="128">
        <v>21627455000</v>
      </c>
      <c r="CY71" s="128">
        <v>4597445000</v>
      </c>
      <c r="CZ71" s="128">
        <v>4510110000</v>
      </c>
      <c r="DA71" s="128">
        <v>4545512000</v>
      </c>
      <c r="DB71" s="128">
        <v>4505857000</v>
      </c>
      <c r="DC71" s="128">
        <v>82665926000</v>
      </c>
      <c r="DD71" s="128">
        <v>76545671000</v>
      </c>
      <c r="DE71" s="128">
        <v>77657828000</v>
      </c>
      <c r="DF71" s="128">
        <v>84182717000</v>
      </c>
      <c r="DG71" s="16">
        <f t="shared" si="46"/>
        <v>103876969000</v>
      </c>
      <c r="DH71" s="16">
        <f t="shared" si="47"/>
        <v>-89021055000</v>
      </c>
      <c r="DI71" s="16">
        <f t="shared" si="48"/>
        <v>-9647848000</v>
      </c>
      <c r="DJ71" s="16">
        <f t="shared" si="49"/>
        <v>-890065000</v>
      </c>
      <c r="DK71" s="16">
        <f t="shared" si="50"/>
        <v>4318001000</v>
      </c>
      <c r="DL71" s="57">
        <f t="shared" si="51"/>
        <v>4.1568415420361368E-2</v>
      </c>
      <c r="DM71" s="57">
        <f t="shared" si="52"/>
        <v>4.3371291273328588E-2</v>
      </c>
      <c r="DN71" s="58">
        <f t="shared" si="53"/>
        <v>-4631418000</v>
      </c>
      <c r="DO71" s="16">
        <f t="shared" si="54"/>
        <v>8219424500</v>
      </c>
      <c r="DP71" s="16">
        <f t="shared" si="55"/>
        <v>4553777500</v>
      </c>
      <c r="DQ71" s="61"/>
      <c r="DR71" s="62">
        <f t="shared" si="56"/>
        <v>67809682000</v>
      </c>
      <c r="DS71" s="62">
        <f t="shared" si="57"/>
        <v>-58501199000</v>
      </c>
      <c r="DT71" s="62">
        <f t="shared" si="58"/>
        <v>-9063542000</v>
      </c>
      <c r="DU71" s="62">
        <f t="shared" si="59"/>
        <v>-1016256000</v>
      </c>
      <c r="DV71" s="62">
        <f t="shared" si="60"/>
        <v>-771315000</v>
      </c>
      <c r="DW71" s="63">
        <f t="shared" si="61"/>
        <v>-1.1374703099182797E-2</v>
      </c>
      <c r="DX71" s="63">
        <f t="shared" si="62"/>
        <v>-1.1246774379789199E-2</v>
      </c>
      <c r="DY71" s="66">
        <f t="shared" si="63"/>
        <v>-4597039000</v>
      </c>
      <c r="DZ71" s="66">
        <f t="shared" si="64"/>
        <v>6561405000</v>
      </c>
      <c r="EA71" s="66">
        <f t="shared" si="65"/>
        <v>4527811000</v>
      </c>
      <c r="EB71" s="61"/>
      <c r="EC71" s="66">
        <f t="shared" si="66"/>
        <v>61990282000</v>
      </c>
      <c r="ED71" s="66">
        <f t="shared" si="67"/>
        <v>-53945279000</v>
      </c>
      <c r="EE71" s="66">
        <f t="shared" si="68"/>
        <v>-8737233000</v>
      </c>
      <c r="EF71" s="66">
        <f t="shared" si="69"/>
        <v>-1485973000</v>
      </c>
      <c r="EG71" s="66">
        <f t="shared" si="70"/>
        <v>-2178203000</v>
      </c>
      <c r="EH71" s="63">
        <f t="shared" si="71"/>
        <v>-3.5137814020591164E-2</v>
      </c>
      <c r="EI71" s="57">
        <f t="shared" si="72"/>
        <v>-3.39450588556049E-2</v>
      </c>
      <c r="EJ71" s="66">
        <f t="shared" si="73"/>
        <v>-4083497000</v>
      </c>
      <c r="EK71" s="66">
        <f t="shared" si="74"/>
        <v>6289854500</v>
      </c>
      <c r="EL71" s="66">
        <f t="shared" si="75"/>
        <v>4525684500</v>
      </c>
      <c r="EM71" s="61"/>
      <c r="EN71" s="66">
        <f t="shared" si="76"/>
        <v>77892311000</v>
      </c>
      <c r="EO71" s="66">
        <f t="shared" si="76"/>
        <v>-67155844333.333336</v>
      </c>
      <c r="EP71" s="66">
        <f t="shared" si="76"/>
        <v>-9149541000</v>
      </c>
      <c r="EQ71" s="66">
        <f t="shared" si="43"/>
        <v>-1130764666.6666667</v>
      </c>
      <c r="ER71" s="66">
        <f t="shared" si="77"/>
        <v>456160999.99999738</v>
      </c>
      <c r="ES71" s="63">
        <f t="shared" si="78"/>
        <v>5.8563033262679469E-3</v>
      </c>
      <c r="ET71" s="67">
        <f t="shared" si="79"/>
        <v>5.8908016475508829E-3</v>
      </c>
      <c r="EU71" s="66">
        <f t="shared" si="80"/>
        <v>4437318000</v>
      </c>
      <c r="EV71" s="66">
        <f t="shared" si="81"/>
        <v>7023561333.333333</v>
      </c>
      <c r="EW71" s="66">
        <f t="shared" si="81"/>
        <v>4535757666.666667</v>
      </c>
      <c r="EX71" s="70"/>
      <c r="EY71" s="71" t="str">
        <f t="shared" si="82"/>
        <v>完整</v>
      </c>
      <c r="EZ71" s="71" t="str">
        <f t="shared" si="83"/>
        <v>完整</v>
      </c>
      <c r="FA71" s="71" t="str">
        <f t="shared" si="84"/>
        <v>完整</v>
      </c>
      <c r="FB71" s="71" t="str">
        <f t="shared" si="85"/>
        <v>选择</v>
      </c>
      <c r="FC71" s="71" t="str">
        <f t="shared" si="86"/>
        <v>选择</v>
      </c>
    </row>
    <row r="72" spans="1:217" s="3" customFormat="1" ht="12.75" customHeight="1" x14ac:dyDescent="0.25">
      <c r="A72" s="28" t="s">
        <v>236</v>
      </c>
      <c r="B72" s="134" t="str">
        <f t="shared" si="44"/>
        <v>MANYO FACTORY CO., LTD.</v>
      </c>
      <c r="C72" s="29" t="s">
        <v>328</v>
      </c>
      <c r="D72" s="136" t="s">
        <v>309</v>
      </c>
      <c r="E72" s="35"/>
      <c r="F72" s="34"/>
      <c r="H72" s="31" t="str">
        <f t="shared" si="45"/>
        <v xml:space="preserve"> </v>
      </c>
      <c r="I72" s="29"/>
      <c r="J72" s="29" t="e">
        <f>VLOOKUP(Z:Z,'[1]AP 2022'!FD71:FF181,2,FALSE)</f>
        <v>#N/A</v>
      </c>
      <c r="K72" s="47" t="e">
        <f>VLOOKUP(Z:Z,'[1]AP 2022'!FD71:FF181,3,0)</f>
        <v>#N/A</v>
      </c>
      <c r="L72" s="48"/>
      <c r="M72" s="125" t="s">
        <v>872</v>
      </c>
      <c r="N72" s="125" t="s">
        <v>873</v>
      </c>
      <c r="O72" s="125" t="s">
        <v>772</v>
      </c>
      <c r="P72" s="125" t="s">
        <v>874</v>
      </c>
      <c r="Q72" s="124"/>
      <c r="R72" s="125" t="s">
        <v>363</v>
      </c>
      <c r="S72" s="125" t="s">
        <v>875</v>
      </c>
      <c r="T72" s="125" t="s">
        <v>374</v>
      </c>
      <c r="U72" s="125" t="s">
        <v>321</v>
      </c>
      <c r="V72" s="125" t="s">
        <v>876</v>
      </c>
      <c r="W72" s="125" t="s">
        <v>877</v>
      </c>
      <c r="X72" s="125" t="s">
        <v>878</v>
      </c>
      <c r="Y72" s="124"/>
      <c r="Z72" s="125" t="s">
        <v>879</v>
      </c>
      <c r="AA72" s="128">
        <v>101835610000</v>
      </c>
      <c r="AB72" s="125" t="s">
        <v>340</v>
      </c>
      <c r="AC72" s="125" t="s">
        <v>340</v>
      </c>
      <c r="AD72" s="125" t="s">
        <v>340</v>
      </c>
      <c r="AE72" s="128">
        <v>101835610000</v>
      </c>
      <c r="AF72" s="125" t="s">
        <v>340</v>
      </c>
      <c r="AG72" s="125" t="s">
        <v>340</v>
      </c>
      <c r="AH72" s="125" t="s">
        <v>340</v>
      </c>
      <c r="AI72" s="125" t="s">
        <v>340</v>
      </c>
      <c r="AJ72" s="125" t="s">
        <v>340</v>
      </c>
      <c r="AK72" s="125" t="s">
        <v>340</v>
      </c>
      <c r="AL72" s="125" t="s">
        <v>340</v>
      </c>
      <c r="AM72" s="128">
        <v>101835610000</v>
      </c>
      <c r="AN72" s="125" t="s">
        <v>340</v>
      </c>
      <c r="AO72" s="125" t="s">
        <v>340</v>
      </c>
      <c r="AP72" s="125" t="s">
        <v>340</v>
      </c>
      <c r="AQ72" s="125" t="s">
        <v>340</v>
      </c>
      <c r="AR72" s="125" t="s">
        <v>340</v>
      </c>
      <c r="AS72" s="125" t="s">
        <v>340</v>
      </c>
      <c r="AT72" s="125" t="s">
        <v>340</v>
      </c>
      <c r="AU72" s="128">
        <v>-32249956000</v>
      </c>
      <c r="AV72" s="125" t="s">
        <v>340</v>
      </c>
      <c r="AW72" s="125" t="s">
        <v>340</v>
      </c>
      <c r="AX72" s="125" t="s">
        <v>340</v>
      </c>
      <c r="AY72" s="125" t="s">
        <v>340</v>
      </c>
      <c r="AZ72" s="125" t="s">
        <v>340</v>
      </c>
      <c r="BA72" s="125" t="s">
        <v>340</v>
      </c>
      <c r="BB72" s="125" t="s">
        <v>340</v>
      </c>
      <c r="BC72" s="128">
        <v>-44329439000</v>
      </c>
      <c r="BD72" s="125" t="s">
        <v>340</v>
      </c>
      <c r="BE72" s="125" t="s">
        <v>340</v>
      </c>
      <c r="BF72" s="125" t="s">
        <v>340</v>
      </c>
      <c r="BG72" s="128">
        <v>25256215000</v>
      </c>
      <c r="BH72" s="125" t="s">
        <v>340</v>
      </c>
      <c r="BI72" s="125" t="s">
        <v>340</v>
      </c>
      <c r="BJ72" s="125" t="s">
        <v>340</v>
      </c>
      <c r="BK72" s="128">
        <v>-761460000</v>
      </c>
      <c r="BL72" s="125" t="s">
        <v>340</v>
      </c>
      <c r="BM72" s="125" t="s">
        <v>340</v>
      </c>
      <c r="BN72" s="125" t="s">
        <v>340</v>
      </c>
      <c r="BO72" s="128">
        <v>-466007000</v>
      </c>
      <c r="BP72" s="125" t="s">
        <v>340</v>
      </c>
      <c r="BQ72" s="125" t="s">
        <v>340</v>
      </c>
      <c r="BR72" s="125" t="s">
        <v>340</v>
      </c>
      <c r="BS72" s="128">
        <v>-295453000</v>
      </c>
      <c r="BT72" s="125" t="s">
        <v>340</v>
      </c>
      <c r="BU72" s="125" t="s">
        <v>340</v>
      </c>
      <c r="BV72" s="125" t="s">
        <v>340</v>
      </c>
      <c r="BW72" s="128">
        <v>17297237000</v>
      </c>
      <c r="BX72" s="125" t="s">
        <v>340</v>
      </c>
      <c r="BY72" s="125" t="s">
        <v>340</v>
      </c>
      <c r="BZ72" s="125" t="s">
        <v>340</v>
      </c>
      <c r="CA72" s="128">
        <v>58349784000</v>
      </c>
      <c r="CB72" s="125" t="s">
        <v>340</v>
      </c>
      <c r="CC72" s="125" t="s">
        <v>340</v>
      </c>
      <c r="CD72" s="125" t="s">
        <v>340</v>
      </c>
      <c r="CE72" s="128">
        <v>14076009000</v>
      </c>
      <c r="CF72" s="125" t="s">
        <v>340</v>
      </c>
      <c r="CG72" s="125" t="s">
        <v>340</v>
      </c>
      <c r="CH72" s="125" t="s">
        <v>340</v>
      </c>
      <c r="CI72" s="128">
        <v>4162090000</v>
      </c>
      <c r="CJ72" s="125" t="s">
        <v>340</v>
      </c>
      <c r="CK72" s="125" t="s">
        <v>340</v>
      </c>
      <c r="CL72" s="125" t="s">
        <v>340</v>
      </c>
      <c r="CM72" s="128">
        <v>2050000000</v>
      </c>
      <c r="CN72" s="125" t="s">
        <v>340</v>
      </c>
      <c r="CO72" s="125" t="s">
        <v>340</v>
      </c>
      <c r="CP72" s="125" t="s">
        <v>340</v>
      </c>
      <c r="CQ72" s="128">
        <v>36890453000</v>
      </c>
      <c r="CR72" s="125" t="s">
        <v>340</v>
      </c>
      <c r="CS72" s="125" t="s">
        <v>340</v>
      </c>
      <c r="CT72" s="125" t="s">
        <v>340</v>
      </c>
      <c r="CU72" s="125" t="s">
        <v>340</v>
      </c>
      <c r="CV72" s="125" t="s">
        <v>340</v>
      </c>
      <c r="CW72" s="125" t="s">
        <v>340</v>
      </c>
      <c r="CX72" s="125" t="s">
        <v>340</v>
      </c>
      <c r="CY72" s="128">
        <v>855789000</v>
      </c>
      <c r="CZ72" s="125" t="s">
        <v>340</v>
      </c>
      <c r="DA72" s="125" t="s">
        <v>340</v>
      </c>
      <c r="DB72" s="125" t="s">
        <v>340</v>
      </c>
      <c r="DC72" s="128">
        <v>62788424000</v>
      </c>
      <c r="DD72" s="125" t="s">
        <v>340</v>
      </c>
      <c r="DE72" s="125" t="s">
        <v>340</v>
      </c>
      <c r="DF72" s="125" t="s">
        <v>340</v>
      </c>
      <c r="DG72" s="16">
        <f t="shared" si="46"/>
        <v>101835610000</v>
      </c>
      <c r="DH72" s="16">
        <f t="shared" si="47"/>
        <v>-32249956000</v>
      </c>
      <c r="DI72" s="16">
        <f t="shared" si="48"/>
        <v>-44329439000</v>
      </c>
      <c r="DJ72" s="16">
        <f t="shared" si="49"/>
        <v>-761460000</v>
      </c>
      <c r="DK72" s="16">
        <f t="shared" si="50"/>
        <v>24494755000</v>
      </c>
      <c r="DL72" s="57">
        <f t="shared" si="51"/>
        <v>0.24053231477672693</v>
      </c>
      <c r="DM72" s="57">
        <f t="shared" si="52"/>
        <v>0.31671171724181224</v>
      </c>
      <c r="DN72" s="58" t="str">
        <f t="shared" si="53"/>
        <v>n.a.</v>
      </c>
      <c r="DO72" s="16" t="e">
        <f t="shared" si="54"/>
        <v>#VALUE!</v>
      </c>
      <c r="DP72" s="16" t="e">
        <f t="shared" si="55"/>
        <v>#VALUE!</v>
      </c>
      <c r="DQ72" s="61"/>
      <c r="DR72" s="62" t="str">
        <f t="shared" si="56"/>
        <v>无数据</v>
      </c>
      <c r="DS72" s="62" t="str">
        <f t="shared" si="57"/>
        <v>n.a.</v>
      </c>
      <c r="DT72" s="62" t="str">
        <f t="shared" si="58"/>
        <v>n.a.</v>
      </c>
      <c r="DU72" s="62" t="str">
        <f t="shared" si="59"/>
        <v>n.a.</v>
      </c>
      <c r="DV72" s="62" t="str">
        <f t="shared" si="60"/>
        <v>无数据</v>
      </c>
      <c r="DW72" s="63" t="e">
        <f t="shared" si="61"/>
        <v>#VALUE!</v>
      </c>
      <c r="DX72" s="63" t="e">
        <f t="shared" si="62"/>
        <v>#VALUE!</v>
      </c>
      <c r="DY72" s="64" t="str">
        <f t="shared" si="63"/>
        <v>n.a.</v>
      </c>
      <c r="DZ72" s="64" t="e">
        <f t="shared" si="64"/>
        <v>#VALUE!</v>
      </c>
      <c r="EA72" s="64" t="e">
        <f t="shared" si="65"/>
        <v>#VALUE!</v>
      </c>
      <c r="EB72" s="61"/>
      <c r="EC72" s="64" t="str">
        <f t="shared" si="66"/>
        <v>无数据</v>
      </c>
      <c r="ED72" s="64" t="str">
        <f t="shared" si="67"/>
        <v>n.a.</v>
      </c>
      <c r="EE72" s="64" t="str">
        <f t="shared" si="68"/>
        <v>n.a.</v>
      </c>
      <c r="EF72" s="64" t="str">
        <f t="shared" si="69"/>
        <v>n.a.</v>
      </c>
      <c r="EG72" s="64" t="str">
        <f t="shared" si="70"/>
        <v>无数据</v>
      </c>
      <c r="EH72" s="63" t="e">
        <f t="shared" si="71"/>
        <v>#VALUE!</v>
      </c>
      <c r="EI72" s="57" t="e">
        <f t="shared" si="72"/>
        <v>#VALUE!</v>
      </c>
      <c r="EJ72" s="64" t="str">
        <f t="shared" si="73"/>
        <v>n.a.</v>
      </c>
      <c r="EK72" s="64" t="e">
        <f t="shared" si="74"/>
        <v>#VALUE!</v>
      </c>
      <c r="EL72" s="64" t="e">
        <f t="shared" si="75"/>
        <v>#VALUE!</v>
      </c>
      <c r="EM72" s="61"/>
      <c r="EN72" s="66" t="e">
        <f t="shared" si="76"/>
        <v>#VALUE!</v>
      </c>
      <c r="EO72" s="66" t="e">
        <f t="shared" si="76"/>
        <v>#VALUE!</v>
      </c>
      <c r="EP72" s="66" t="e">
        <f t="shared" si="76"/>
        <v>#VALUE!</v>
      </c>
      <c r="EQ72" s="66" t="e">
        <f t="shared" si="43"/>
        <v>#VALUE!</v>
      </c>
      <c r="ER72" s="66" t="e">
        <f t="shared" si="77"/>
        <v>#VALUE!</v>
      </c>
      <c r="ES72" s="63" t="e">
        <f t="shared" si="78"/>
        <v>#VALUE!</v>
      </c>
      <c r="ET72" s="67" t="e">
        <f t="shared" si="79"/>
        <v>#VALUE!</v>
      </c>
      <c r="EU72" s="66" t="e">
        <f t="shared" si="80"/>
        <v>#VALUE!</v>
      </c>
      <c r="EV72" s="66" t="e">
        <f t="shared" si="81"/>
        <v>#VALUE!</v>
      </c>
      <c r="EW72" s="66" t="e">
        <f t="shared" si="81"/>
        <v>#VALUE!</v>
      </c>
      <c r="EX72" s="70"/>
      <c r="EY72" s="71" t="str">
        <f t="shared" si="82"/>
        <v>无数据</v>
      </c>
      <c r="EZ72" s="71" t="str">
        <f t="shared" si="83"/>
        <v>无数据</v>
      </c>
      <c r="FA72" s="71" t="str">
        <f t="shared" si="84"/>
        <v>完整</v>
      </c>
      <c r="FB72" s="71" t="str">
        <f t="shared" si="85"/>
        <v>删除</v>
      </c>
      <c r="FC72" s="71" t="str">
        <f t="shared" si="86"/>
        <v>选择</v>
      </c>
    </row>
    <row r="73" spans="1:217" s="3" customFormat="1" ht="12.75" customHeight="1" x14ac:dyDescent="0.25">
      <c r="A73" s="28" t="s">
        <v>237</v>
      </c>
      <c r="B73" s="134" t="str">
        <f t="shared" si="44"/>
        <v>HYUNDAI BIOLAND CO.,LTD.</v>
      </c>
      <c r="C73" s="29" t="s">
        <v>328</v>
      </c>
      <c r="D73" s="136" t="s">
        <v>309</v>
      </c>
      <c r="E73" s="35"/>
      <c r="F73" s="34"/>
      <c r="H73" s="31" t="str">
        <f t="shared" si="45"/>
        <v xml:space="preserve"> </v>
      </c>
      <c r="I73" s="29"/>
      <c r="J73" s="29" t="str">
        <f>VLOOKUP(Z:Z,'[1]AP 2022'!FD72:FF181,2,FALSE)</f>
        <v>exclude</v>
      </c>
      <c r="K73" s="47" t="str">
        <f>VLOOKUP(Z:Z,'[1]AP 2022'!FD72:FF181,3,0)</f>
        <v>Independence(A+, A, A-, U)</v>
      </c>
      <c r="L73" s="48"/>
      <c r="M73" s="125" t="s">
        <v>880</v>
      </c>
      <c r="N73" s="125" t="s">
        <v>881</v>
      </c>
      <c r="O73" s="125" t="s">
        <v>381</v>
      </c>
      <c r="P73" s="125" t="s">
        <v>882</v>
      </c>
      <c r="Q73" s="124"/>
      <c r="R73" s="125" t="s">
        <v>363</v>
      </c>
      <c r="S73" s="125" t="s">
        <v>883</v>
      </c>
      <c r="T73" s="125" t="s">
        <v>365</v>
      </c>
      <c r="U73" s="125" t="s">
        <v>321</v>
      </c>
      <c r="V73" s="125" t="s">
        <v>884</v>
      </c>
      <c r="W73" s="125" t="s">
        <v>885</v>
      </c>
      <c r="X73" s="125" t="s">
        <v>886</v>
      </c>
      <c r="Y73" s="124"/>
      <c r="Z73" s="125" t="s">
        <v>887</v>
      </c>
      <c r="AA73" s="128">
        <v>99153525000</v>
      </c>
      <c r="AB73" s="128">
        <v>102801832000</v>
      </c>
      <c r="AC73" s="128">
        <v>88898821000</v>
      </c>
      <c r="AD73" s="128">
        <v>106310862000</v>
      </c>
      <c r="AE73" s="128">
        <v>99153525000</v>
      </c>
      <c r="AF73" s="128">
        <v>102801832000</v>
      </c>
      <c r="AG73" s="128">
        <v>88898821000</v>
      </c>
      <c r="AH73" s="128">
        <v>106310862000</v>
      </c>
      <c r="AI73" s="125" t="s">
        <v>340</v>
      </c>
      <c r="AJ73" s="125" t="s">
        <v>340</v>
      </c>
      <c r="AK73" s="125" t="s">
        <v>340</v>
      </c>
      <c r="AL73" s="125" t="s">
        <v>340</v>
      </c>
      <c r="AM73" s="128">
        <v>99153525000</v>
      </c>
      <c r="AN73" s="128">
        <v>102801832000</v>
      </c>
      <c r="AO73" s="128">
        <v>88898821000</v>
      </c>
      <c r="AP73" s="128">
        <v>106310862000</v>
      </c>
      <c r="AQ73" s="125" t="s">
        <v>340</v>
      </c>
      <c r="AR73" s="125" t="s">
        <v>340</v>
      </c>
      <c r="AS73" s="125" t="s">
        <v>340</v>
      </c>
      <c r="AT73" s="125" t="s">
        <v>340</v>
      </c>
      <c r="AU73" s="128">
        <v>-63503600000</v>
      </c>
      <c r="AV73" s="128">
        <v>-65510861000</v>
      </c>
      <c r="AW73" s="128">
        <v>-71600573000</v>
      </c>
      <c r="AX73" s="128">
        <v>-67032809000</v>
      </c>
      <c r="AY73" s="128">
        <v>-7470070000</v>
      </c>
      <c r="AZ73" s="128">
        <v>-7935013000</v>
      </c>
      <c r="BA73" s="128">
        <v>-7235510000</v>
      </c>
      <c r="BB73" s="128">
        <v>-6313761000</v>
      </c>
      <c r="BC73" s="128">
        <v>-17865288000</v>
      </c>
      <c r="BD73" s="128">
        <v>-17247379000</v>
      </c>
      <c r="BE73" s="128">
        <v>-17799724000</v>
      </c>
      <c r="BF73" s="128">
        <v>-17344396000</v>
      </c>
      <c r="BG73" s="128">
        <v>10314567000</v>
      </c>
      <c r="BH73" s="128">
        <v>12108579000</v>
      </c>
      <c r="BI73" s="128">
        <v>-7736986000</v>
      </c>
      <c r="BJ73" s="128">
        <v>15619896000</v>
      </c>
      <c r="BK73" s="128">
        <v>-1259858000</v>
      </c>
      <c r="BL73" s="128">
        <v>-1451661000</v>
      </c>
      <c r="BM73" s="128">
        <v>-1124423000</v>
      </c>
      <c r="BN73" s="128">
        <v>-1159445000</v>
      </c>
      <c r="BO73" s="128">
        <v>-978366000</v>
      </c>
      <c r="BP73" s="128">
        <v>-1193325000</v>
      </c>
      <c r="BQ73" s="128">
        <v>-1006003000</v>
      </c>
      <c r="BR73" s="128">
        <v>-1087550000</v>
      </c>
      <c r="BS73" s="128">
        <v>-281492000</v>
      </c>
      <c r="BT73" s="128">
        <v>-258336000</v>
      </c>
      <c r="BU73" s="128">
        <v>-118420000</v>
      </c>
      <c r="BV73" s="128">
        <v>-71895000</v>
      </c>
      <c r="BW73" s="128">
        <v>4764327000</v>
      </c>
      <c r="BX73" s="128">
        <v>-11686160000</v>
      </c>
      <c r="BY73" s="128">
        <v>-13545413000</v>
      </c>
      <c r="BZ73" s="128">
        <v>10848889000</v>
      </c>
      <c r="CA73" s="128">
        <v>71216130000</v>
      </c>
      <c r="CB73" s="128">
        <v>63973522000</v>
      </c>
      <c r="CC73" s="128">
        <v>57162930000</v>
      </c>
      <c r="CD73" s="128">
        <v>72750759000</v>
      </c>
      <c r="CE73" s="128">
        <v>34325819000</v>
      </c>
      <c r="CF73" s="128">
        <v>30131464000</v>
      </c>
      <c r="CG73" s="128">
        <v>29079788000</v>
      </c>
      <c r="CH73" s="128">
        <v>40112270000</v>
      </c>
      <c r="CI73" s="128">
        <v>12248436000</v>
      </c>
      <c r="CJ73" s="128">
        <v>14350604000</v>
      </c>
      <c r="CK73" s="128">
        <v>12643388000</v>
      </c>
      <c r="CL73" s="128">
        <v>15289988000</v>
      </c>
      <c r="CM73" s="128">
        <v>994510000</v>
      </c>
      <c r="CN73" s="128">
        <v>2766629000</v>
      </c>
      <c r="CO73" s="128">
        <v>2719167000</v>
      </c>
      <c r="CP73" s="128">
        <v>58280000</v>
      </c>
      <c r="CQ73" s="128">
        <v>22573651000</v>
      </c>
      <c r="CR73" s="128">
        <v>14742096000</v>
      </c>
      <c r="CS73" s="128">
        <v>10380837000</v>
      </c>
      <c r="CT73" s="128">
        <v>14314123000</v>
      </c>
      <c r="CU73" s="128">
        <v>14926364000</v>
      </c>
      <c r="CV73" s="125" t="s">
        <v>340</v>
      </c>
      <c r="CW73" s="125" t="s">
        <v>340</v>
      </c>
      <c r="CX73" s="125" t="s">
        <v>340</v>
      </c>
      <c r="CY73" s="128">
        <v>2931972000</v>
      </c>
      <c r="CZ73" s="128">
        <v>5284560000</v>
      </c>
      <c r="DA73" s="128">
        <v>6701308000</v>
      </c>
      <c r="DB73" s="128">
        <v>33077079000</v>
      </c>
      <c r="DC73" s="128">
        <v>176097326000</v>
      </c>
      <c r="DD73" s="128">
        <v>172744144000</v>
      </c>
      <c r="DE73" s="128">
        <v>187657605000</v>
      </c>
      <c r="DF73" s="128">
        <v>209051968000</v>
      </c>
      <c r="DG73" s="16">
        <f t="shared" si="46"/>
        <v>99153525000</v>
      </c>
      <c r="DH73" s="16">
        <f t="shared" si="47"/>
        <v>-63503600000</v>
      </c>
      <c r="DI73" s="16">
        <f t="shared" si="48"/>
        <v>-25335358000</v>
      </c>
      <c r="DJ73" s="16">
        <f t="shared" si="49"/>
        <v>-1259858000</v>
      </c>
      <c r="DK73" s="16">
        <f t="shared" si="50"/>
        <v>9054709000</v>
      </c>
      <c r="DL73" s="57">
        <f t="shared" si="51"/>
        <v>9.1320091746612139E-2</v>
      </c>
      <c r="DM73" s="57">
        <f t="shared" si="52"/>
        <v>0.10049753594986198</v>
      </c>
      <c r="DN73" s="58">
        <f t="shared" si="53"/>
        <v>-7470070000</v>
      </c>
      <c r="DO73" s="16">
        <f t="shared" si="54"/>
        <v>32228641500</v>
      </c>
      <c r="DP73" s="16">
        <f t="shared" si="55"/>
        <v>4108266000</v>
      </c>
      <c r="DQ73" s="61"/>
      <c r="DR73" s="62">
        <f t="shared" si="56"/>
        <v>102801832000</v>
      </c>
      <c r="DS73" s="62">
        <f t="shared" si="57"/>
        <v>-65510861000</v>
      </c>
      <c r="DT73" s="62">
        <f t="shared" si="58"/>
        <v>-25182392000</v>
      </c>
      <c r="DU73" s="62">
        <f t="shared" si="59"/>
        <v>-1451661000</v>
      </c>
      <c r="DV73" s="62">
        <f t="shared" si="60"/>
        <v>10656918000</v>
      </c>
      <c r="DW73" s="63">
        <f t="shared" si="61"/>
        <v>0.10366467010043168</v>
      </c>
      <c r="DX73" s="63">
        <f t="shared" si="62"/>
        <v>0.11565389273682539</v>
      </c>
      <c r="DY73" s="64">
        <f t="shared" si="63"/>
        <v>-7935013000</v>
      </c>
      <c r="DZ73" s="64">
        <f t="shared" si="64"/>
        <v>29605626000</v>
      </c>
      <c r="EA73" s="64">
        <f t="shared" si="65"/>
        <v>5992934000</v>
      </c>
      <c r="EB73" s="61"/>
      <c r="EC73" s="64">
        <f t="shared" si="66"/>
        <v>88898821000</v>
      </c>
      <c r="ED73" s="64">
        <f t="shared" si="67"/>
        <v>-71600573000</v>
      </c>
      <c r="EE73" s="64">
        <f t="shared" si="68"/>
        <v>-25035234000</v>
      </c>
      <c r="EF73" s="64">
        <f t="shared" si="69"/>
        <v>-1124423000</v>
      </c>
      <c r="EG73" s="64">
        <f t="shared" si="70"/>
        <v>-8861409000</v>
      </c>
      <c r="EH73" s="63">
        <f t="shared" si="71"/>
        <v>-9.9679713412622203E-2</v>
      </c>
      <c r="EI73" s="57">
        <f t="shared" si="72"/>
        <v>-9.0644314155152866E-2</v>
      </c>
      <c r="EJ73" s="64">
        <f t="shared" si="73"/>
        <v>-7235510000</v>
      </c>
      <c r="EK73" s="64">
        <f t="shared" si="74"/>
        <v>34596029000</v>
      </c>
      <c r="EL73" s="64">
        <f t="shared" si="75"/>
        <v>19889193500</v>
      </c>
      <c r="EM73" s="61"/>
      <c r="EN73" s="66">
        <f t="shared" si="76"/>
        <v>96951392666.666672</v>
      </c>
      <c r="EO73" s="66">
        <f t="shared" si="76"/>
        <v>-66871678000</v>
      </c>
      <c r="EP73" s="66">
        <f t="shared" si="76"/>
        <v>-25184328000</v>
      </c>
      <c r="EQ73" s="66">
        <f t="shared" si="43"/>
        <v>-1278647333.3333333</v>
      </c>
      <c r="ER73" s="66">
        <f t="shared" si="77"/>
        <v>3616739333.3333387</v>
      </c>
      <c r="ES73" s="63">
        <f t="shared" si="78"/>
        <v>3.7304666120354012E-2</v>
      </c>
      <c r="ET73" s="67">
        <f t="shared" si="79"/>
        <v>3.8750230532453959E-2</v>
      </c>
      <c r="EU73" s="66">
        <f t="shared" si="80"/>
        <v>7546864333.333333</v>
      </c>
      <c r="EV73" s="66">
        <f t="shared" si="81"/>
        <v>32143432166.666668</v>
      </c>
      <c r="EW73" s="66">
        <f t="shared" si="81"/>
        <v>9996797833.333334</v>
      </c>
      <c r="EX73" s="70"/>
      <c r="EY73" s="71" t="str">
        <f t="shared" si="82"/>
        <v>完整</v>
      </c>
      <c r="EZ73" s="71" t="str">
        <f t="shared" si="83"/>
        <v>完整</v>
      </c>
      <c r="FA73" s="71" t="str">
        <f t="shared" si="84"/>
        <v>完整</v>
      </c>
      <c r="FB73" s="71" t="str">
        <f t="shared" si="85"/>
        <v>选择</v>
      </c>
      <c r="FC73" s="71" t="str">
        <f t="shared" si="86"/>
        <v>选择</v>
      </c>
      <c r="FD73" s="72"/>
      <c r="FE73" s="72"/>
      <c r="FF73" s="72"/>
      <c r="FG73" s="72"/>
      <c r="FH73" s="72"/>
      <c r="FI73" s="72"/>
      <c r="FJ73" s="72"/>
      <c r="FK73" s="72"/>
      <c r="FL73" s="72"/>
      <c r="FM73" s="72"/>
      <c r="FN73" s="72"/>
      <c r="FO73" s="72"/>
      <c r="FP73" s="72"/>
      <c r="FQ73" s="72"/>
      <c r="FR73" s="72"/>
      <c r="FS73" s="72"/>
      <c r="FT73" s="72"/>
      <c r="FU73" s="72"/>
      <c r="FV73" s="72"/>
      <c r="FW73" s="72"/>
      <c r="FX73" s="72"/>
      <c r="FY73" s="72"/>
      <c r="FZ73" s="72"/>
      <c r="GA73" s="72"/>
      <c r="GB73" s="72"/>
      <c r="GC73" s="72"/>
      <c r="GD73" s="72"/>
      <c r="GE73" s="72"/>
      <c r="GF73" s="72"/>
      <c r="GG73" s="72"/>
      <c r="GH73" s="72"/>
      <c r="GI73" s="72"/>
      <c r="GJ73" s="72"/>
      <c r="GK73" s="72"/>
      <c r="GL73" s="72"/>
      <c r="GM73" s="72"/>
      <c r="GN73" s="72"/>
      <c r="GO73" s="72"/>
      <c r="GP73" s="72"/>
      <c r="GQ73" s="72"/>
      <c r="GR73" s="72"/>
      <c r="GS73" s="72"/>
      <c r="GT73" s="72"/>
      <c r="GU73" s="72"/>
      <c r="GV73" s="72"/>
      <c r="GW73" s="72"/>
      <c r="GX73" s="72"/>
      <c r="GY73" s="72"/>
      <c r="GZ73" s="72"/>
      <c r="HA73" s="72"/>
      <c r="HB73" s="72"/>
      <c r="HC73" s="72"/>
      <c r="HD73" s="72"/>
      <c r="HE73" s="72"/>
      <c r="HF73" s="72"/>
      <c r="HG73" s="72"/>
      <c r="HH73" s="72"/>
      <c r="HI73" s="72"/>
    </row>
    <row r="74" spans="1:217" s="3" customFormat="1" ht="12.75" customHeight="1" x14ac:dyDescent="0.25">
      <c r="A74" s="28" t="s">
        <v>238</v>
      </c>
      <c r="B74" s="134" t="str">
        <f t="shared" si="44"/>
        <v>SD BIOTECHNOLOGIES CO., LTD.</v>
      </c>
      <c r="C74" s="29" t="s">
        <v>328</v>
      </c>
      <c r="D74" s="136" t="s">
        <v>309</v>
      </c>
      <c r="E74" s="35"/>
      <c r="H74" s="31" t="str">
        <f t="shared" si="45"/>
        <v xml:space="preserve"> </v>
      </c>
      <c r="I74" s="29"/>
      <c r="J74" s="29" t="e">
        <f>VLOOKUP(Z:Z,'[1]AP 2022'!FD73:FF181,2,FALSE)</f>
        <v>#N/A</v>
      </c>
      <c r="K74" s="47" t="e">
        <f>VLOOKUP(Z:Z,'[1]AP 2022'!FD73:FF181,3,0)</f>
        <v>#N/A</v>
      </c>
      <c r="L74" s="48"/>
      <c r="M74" s="125" t="s">
        <v>888</v>
      </c>
      <c r="N74" s="125" t="s">
        <v>889</v>
      </c>
      <c r="O74" s="125" t="s">
        <v>331</v>
      </c>
      <c r="P74" s="125" t="s">
        <v>890</v>
      </c>
      <c r="Q74" s="124"/>
      <c r="R74" s="125" t="s">
        <v>363</v>
      </c>
      <c r="S74" s="125" t="s">
        <v>891</v>
      </c>
      <c r="T74" s="125" t="s">
        <v>820</v>
      </c>
      <c r="U74" s="125" t="s">
        <v>321</v>
      </c>
      <c r="V74" s="125" t="s">
        <v>892</v>
      </c>
      <c r="W74" s="125" t="s">
        <v>893</v>
      </c>
      <c r="X74" s="124"/>
      <c r="Y74" s="124"/>
      <c r="Z74" s="125" t="s">
        <v>894</v>
      </c>
      <c r="AA74" s="128">
        <v>92860030000</v>
      </c>
      <c r="AB74" s="128">
        <v>124680967000</v>
      </c>
      <c r="AC74" s="128">
        <v>140725431000</v>
      </c>
      <c r="AD74" s="128">
        <v>156259210000</v>
      </c>
      <c r="AE74" s="128">
        <v>92860030000</v>
      </c>
      <c r="AF74" s="128">
        <v>124680967000</v>
      </c>
      <c r="AG74" s="128">
        <v>140725431000</v>
      </c>
      <c r="AH74" s="128">
        <v>156259210000</v>
      </c>
      <c r="AI74" s="125" t="s">
        <v>340</v>
      </c>
      <c r="AJ74" s="125" t="s">
        <v>340</v>
      </c>
      <c r="AK74" s="125" t="s">
        <v>340</v>
      </c>
      <c r="AL74" s="125" t="s">
        <v>340</v>
      </c>
      <c r="AM74" s="128">
        <v>92860030000</v>
      </c>
      <c r="AN74" s="128">
        <v>124680967000</v>
      </c>
      <c r="AO74" s="128">
        <v>140725431000</v>
      </c>
      <c r="AP74" s="128">
        <v>156259210000</v>
      </c>
      <c r="AQ74" s="125" t="s">
        <v>340</v>
      </c>
      <c r="AR74" s="125" t="s">
        <v>340</v>
      </c>
      <c r="AS74" s="125" t="s">
        <v>340</v>
      </c>
      <c r="AT74" s="125" t="s">
        <v>340</v>
      </c>
      <c r="AU74" s="128">
        <v>-72236710000</v>
      </c>
      <c r="AV74" s="128">
        <v>-88479520000</v>
      </c>
      <c r="AW74" s="128">
        <v>-89165115000</v>
      </c>
      <c r="AX74" s="128">
        <v>-105545064000</v>
      </c>
      <c r="AY74" s="128">
        <v>-3205721000</v>
      </c>
      <c r="AZ74" s="128">
        <v>-5314485000</v>
      </c>
      <c r="BA74" s="128">
        <v>-3350036000</v>
      </c>
      <c r="BB74" s="128">
        <v>-3413833000</v>
      </c>
      <c r="BC74" s="128">
        <v>-54912273000</v>
      </c>
      <c r="BD74" s="128">
        <v>-63389387000</v>
      </c>
      <c r="BE74" s="128">
        <v>-49620204000</v>
      </c>
      <c r="BF74" s="128">
        <v>-62300869000</v>
      </c>
      <c r="BG74" s="128">
        <v>-37494674000</v>
      </c>
      <c r="BH74" s="128">
        <v>-32502425000</v>
      </c>
      <c r="BI74" s="128">
        <v>-1409924000</v>
      </c>
      <c r="BJ74" s="128">
        <v>-15000556000</v>
      </c>
      <c r="BK74" s="128">
        <v>-3533879000</v>
      </c>
      <c r="BL74" s="128">
        <v>-2320028000</v>
      </c>
      <c r="BM74" s="128">
        <v>-2302281000</v>
      </c>
      <c r="BN74" s="128">
        <v>-1407292000</v>
      </c>
      <c r="BO74" s="128">
        <v>-3203969000</v>
      </c>
      <c r="BP74" s="128">
        <v>-2001524000</v>
      </c>
      <c r="BQ74" s="128">
        <v>-2014653000</v>
      </c>
      <c r="BR74" s="128">
        <v>-1155468000</v>
      </c>
      <c r="BS74" s="128">
        <v>-329910000</v>
      </c>
      <c r="BT74" s="128">
        <v>-318504000</v>
      </c>
      <c r="BU74" s="128">
        <v>-287628000</v>
      </c>
      <c r="BV74" s="128">
        <v>-251824000</v>
      </c>
      <c r="BW74" s="128">
        <v>-72749372000</v>
      </c>
      <c r="BX74" s="128">
        <v>-43566666000</v>
      </c>
      <c r="BY74" s="128">
        <v>-8667797000</v>
      </c>
      <c r="BZ74" s="128">
        <v>-18444691000</v>
      </c>
      <c r="CA74" s="128">
        <v>44050828000</v>
      </c>
      <c r="CB74" s="128">
        <v>80415433000</v>
      </c>
      <c r="CC74" s="128">
        <v>86228818000</v>
      </c>
      <c r="CD74" s="128">
        <v>77337789000</v>
      </c>
      <c r="CE74" s="128">
        <v>16699866000</v>
      </c>
      <c r="CF74" s="128">
        <v>25336229000</v>
      </c>
      <c r="CG74" s="128">
        <v>39588893000</v>
      </c>
      <c r="CH74" s="128">
        <v>32988736000</v>
      </c>
      <c r="CI74" s="128">
        <v>7863595000</v>
      </c>
      <c r="CJ74" s="128">
        <v>13964156000</v>
      </c>
      <c r="CK74" s="128">
        <v>14999449000</v>
      </c>
      <c r="CL74" s="128">
        <v>18358201000</v>
      </c>
      <c r="CM74" s="128">
        <v>5992825000</v>
      </c>
      <c r="CN74" s="128">
        <v>21463960000</v>
      </c>
      <c r="CO74" s="128">
        <v>13100237000</v>
      </c>
      <c r="CP74" s="128">
        <v>8713145000</v>
      </c>
      <c r="CQ74" s="128">
        <v>7959941000</v>
      </c>
      <c r="CR74" s="128">
        <v>15121031000</v>
      </c>
      <c r="CS74" s="128">
        <v>12642464000</v>
      </c>
      <c r="CT74" s="128">
        <v>10119311000</v>
      </c>
      <c r="CU74" s="125" t="s">
        <v>340</v>
      </c>
      <c r="CV74" s="125" t="s">
        <v>340</v>
      </c>
      <c r="CW74" s="125" t="s">
        <v>340</v>
      </c>
      <c r="CX74" s="125" t="s">
        <v>340</v>
      </c>
      <c r="CY74" s="128">
        <v>1984571000</v>
      </c>
      <c r="CZ74" s="128">
        <v>16994586000</v>
      </c>
      <c r="DA74" s="128">
        <v>1522130000</v>
      </c>
      <c r="DB74" s="128">
        <v>1190347000</v>
      </c>
      <c r="DC74" s="128">
        <v>96439310000</v>
      </c>
      <c r="DD74" s="128">
        <v>146466675000</v>
      </c>
      <c r="DE74" s="128">
        <v>146262464000</v>
      </c>
      <c r="DF74" s="128">
        <v>137235392000</v>
      </c>
      <c r="DG74" s="16">
        <f t="shared" si="46"/>
        <v>92860030000</v>
      </c>
      <c r="DH74" s="16">
        <f t="shared" si="47"/>
        <v>-72236710000</v>
      </c>
      <c r="DI74" s="16">
        <f t="shared" si="48"/>
        <v>-58117994000</v>
      </c>
      <c r="DJ74" s="16">
        <f t="shared" si="49"/>
        <v>-3533879000</v>
      </c>
      <c r="DK74" s="16">
        <f t="shared" si="50"/>
        <v>-41028553000</v>
      </c>
      <c r="DL74" s="57">
        <f t="shared" si="51"/>
        <v>-0.44183221780135112</v>
      </c>
      <c r="DM74" s="57">
        <f t="shared" si="52"/>
        <v>-0.30643802541401161</v>
      </c>
      <c r="DN74" s="58">
        <f t="shared" si="53"/>
        <v>-3205721000</v>
      </c>
      <c r="DO74" s="16">
        <f t="shared" si="54"/>
        <v>21018047500</v>
      </c>
      <c r="DP74" s="16">
        <f t="shared" si="55"/>
        <v>9489578500</v>
      </c>
      <c r="DQ74" s="61"/>
      <c r="DR74" s="62">
        <f t="shared" si="56"/>
        <v>124680967000</v>
      </c>
      <c r="DS74" s="62">
        <f t="shared" si="57"/>
        <v>-88479520000</v>
      </c>
      <c r="DT74" s="62">
        <f t="shared" si="58"/>
        <v>-68703872000</v>
      </c>
      <c r="DU74" s="62">
        <f t="shared" si="59"/>
        <v>-2320028000</v>
      </c>
      <c r="DV74" s="62">
        <f t="shared" si="60"/>
        <v>-34822453000</v>
      </c>
      <c r="DW74" s="63">
        <f t="shared" si="61"/>
        <v>-0.27929245207089226</v>
      </c>
      <c r="DX74" s="63">
        <f t="shared" si="62"/>
        <v>-0.21831790816773708</v>
      </c>
      <c r="DY74" s="64">
        <f t="shared" si="63"/>
        <v>-5314485000</v>
      </c>
      <c r="DZ74" s="64">
        <f t="shared" si="64"/>
        <v>32462561000</v>
      </c>
      <c r="EA74" s="64">
        <f t="shared" si="65"/>
        <v>9258358000</v>
      </c>
      <c r="EB74" s="61"/>
      <c r="EC74" s="64">
        <f t="shared" si="66"/>
        <v>140725431000</v>
      </c>
      <c r="ED74" s="64">
        <f t="shared" si="67"/>
        <v>-89165115000</v>
      </c>
      <c r="EE74" s="64">
        <f t="shared" si="68"/>
        <v>-52970240000</v>
      </c>
      <c r="EF74" s="64">
        <f t="shared" si="69"/>
        <v>-2302281000</v>
      </c>
      <c r="EG74" s="64">
        <f t="shared" si="70"/>
        <v>-3712205000</v>
      </c>
      <c r="EH74" s="63">
        <f t="shared" si="71"/>
        <v>-2.6379062928576145E-2</v>
      </c>
      <c r="EI74" s="57">
        <f t="shared" si="72"/>
        <v>-2.5701092200096656E-2</v>
      </c>
      <c r="EJ74" s="64">
        <f t="shared" si="73"/>
        <v>-3350036000</v>
      </c>
      <c r="EK74" s="64">
        <f t="shared" si="74"/>
        <v>36288814500</v>
      </c>
      <c r="EL74" s="64">
        <f t="shared" si="75"/>
        <v>1356238500</v>
      </c>
      <c r="EM74" s="61"/>
      <c r="EN74" s="66">
        <f t="shared" si="76"/>
        <v>119422142666.66667</v>
      </c>
      <c r="EO74" s="66">
        <f t="shared" si="76"/>
        <v>-83293781666.666672</v>
      </c>
      <c r="EP74" s="66">
        <f t="shared" si="76"/>
        <v>-59930702000</v>
      </c>
      <c r="EQ74" s="66">
        <f t="shared" si="43"/>
        <v>-2718729333.3333335</v>
      </c>
      <c r="ER74" s="66">
        <f t="shared" si="77"/>
        <v>-26521070333.333332</v>
      </c>
      <c r="ES74" s="63">
        <f t="shared" si="78"/>
        <v>-0.22207833272058636</v>
      </c>
      <c r="ET74" s="67">
        <f t="shared" si="79"/>
        <v>-0.1817218477527511</v>
      </c>
      <c r="EU74" s="66">
        <f t="shared" si="80"/>
        <v>3956747333.3333335</v>
      </c>
      <c r="EV74" s="66">
        <f t="shared" si="81"/>
        <v>29923141000</v>
      </c>
      <c r="EW74" s="66">
        <f t="shared" si="81"/>
        <v>6701391666.666667</v>
      </c>
      <c r="EX74" s="70"/>
      <c r="EY74" s="151" t="str">
        <f t="shared" si="82"/>
        <v>完整</v>
      </c>
      <c r="EZ74" s="151" t="str">
        <f t="shared" si="83"/>
        <v>完整</v>
      </c>
      <c r="FA74" s="151" t="str">
        <f t="shared" si="84"/>
        <v>完整</v>
      </c>
      <c r="FB74" s="151" t="str">
        <f t="shared" si="85"/>
        <v>选择</v>
      </c>
      <c r="FC74" s="151" t="str">
        <f t="shared" si="86"/>
        <v>删除</v>
      </c>
      <c r="FD74" s="72"/>
      <c r="FE74" s="72"/>
      <c r="FF74" s="72"/>
      <c r="FG74" s="72"/>
      <c r="FH74" s="72"/>
      <c r="FI74" s="72"/>
      <c r="FJ74" s="72"/>
      <c r="FK74" s="72"/>
      <c r="FL74" s="72"/>
      <c r="FM74" s="72"/>
      <c r="FN74" s="72"/>
      <c r="FO74" s="72"/>
      <c r="FP74" s="72"/>
      <c r="FQ74" s="72"/>
      <c r="FR74" s="72"/>
      <c r="FS74" s="72"/>
      <c r="FT74" s="72"/>
      <c r="FU74" s="72"/>
      <c r="FV74" s="72"/>
      <c r="FW74" s="72"/>
      <c r="FX74" s="72"/>
      <c r="FY74" s="72"/>
      <c r="FZ74" s="72"/>
      <c r="GA74" s="72"/>
      <c r="GB74" s="72"/>
      <c r="GC74" s="72"/>
      <c r="GD74" s="72"/>
      <c r="GE74" s="72"/>
      <c r="GF74" s="72"/>
      <c r="GG74" s="72"/>
      <c r="GH74" s="72"/>
      <c r="GI74" s="72"/>
      <c r="GJ74" s="72"/>
      <c r="GK74" s="72"/>
      <c r="GL74" s="72"/>
      <c r="GM74" s="72"/>
      <c r="GN74" s="72"/>
      <c r="GO74" s="72"/>
      <c r="GP74" s="72"/>
      <c r="GQ74" s="72"/>
      <c r="GR74" s="72"/>
      <c r="GS74" s="72"/>
      <c r="GT74" s="72"/>
      <c r="GU74" s="72"/>
      <c r="GV74" s="72"/>
      <c r="GW74" s="72"/>
      <c r="GX74" s="72"/>
      <c r="GY74" s="72"/>
      <c r="GZ74" s="72"/>
      <c r="HA74" s="72"/>
      <c r="HB74" s="72"/>
      <c r="HC74" s="72"/>
      <c r="HD74" s="72"/>
      <c r="HE74" s="72"/>
      <c r="HF74" s="72"/>
      <c r="HG74" s="72"/>
      <c r="HH74" s="72"/>
      <c r="HI74" s="72"/>
    </row>
    <row r="75" spans="1:217" s="3" customFormat="1" ht="12.75" customHeight="1" x14ac:dyDescent="0.25">
      <c r="A75" s="28" t="s">
        <v>239</v>
      </c>
      <c r="B75" s="134" t="str">
        <f t="shared" si="44"/>
        <v>I FAMILY SC CO.,LTD.</v>
      </c>
      <c r="C75" s="29" t="s">
        <v>328</v>
      </c>
      <c r="D75" s="136" t="s">
        <v>309</v>
      </c>
      <c r="E75" s="35"/>
      <c r="F75" s="34"/>
      <c r="H75" s="31" t="str">
        <f t="shared" si="45"/>
        <v xml:space="preserve"> </v>
      </c>
      <c r="I75" s="29"/>
      <c r="J75" s="29" t="str">
        <f>VLOOKUP(Z:Z,'[1]AP 2022'!FD74:FF181,2,FALSE)</f>
        <v>exclude</v>
      </c>
      <c r="K75" s="47" t="str">
        <f>VLOOKUP(Z:Z,'[1]AP 2022'!FD74:FF181,3,0)</f>
        <v>Independence(A+, A, A-, U)</v>
      </c>
      <c r="L75" s="48"/>
      <c r="M75" s="125" t="s">
        <v>895</v>
      </c>
      <c r="N75" s="125" t="s">
        <v>896</v>
      </c>
      <c r="O75" s="125" t="s">
        <v>413</v>
      </c>
      <c r="P75" s="125" t="s">
        <v>897</v>
      </c>
      <c r="Q75" s="124"/>
      <c r="R75" s="125" t="s">
        <v>363</v>
      </c>
      <c r="S75" s="125" t="s">
        <v>898</v>
      </c>
      <c r="T75" s="125" t="s">
        <v>899</v>
      </c>
      <c r="U75" s="125" t="s">
        <v>321</v>
      </c>
      <c r="V75" s="125" t="s">
        <v>900</v>
      </c>
      <c r="W75" s="125" t="s">
        <v>901</v>
      </c>
      <c r="X75" s="125" t="s">
        <v>902</v>
      </c>
      <c r="Y75" s="124"/>
      <c r="Z75" s="125" t="s">
        <v>903</v>
      </c>
      <c r="AA75" s="128">
        <v>85335169000</v>
      </c>
      <c r="AB75" s="128">
        <v>71618220000</v>
      </c>
      <c r="AC75" s="128">
        <v>79218233000</v>
      </c>
      <c r="AD75" s="128">
        <v>39452949000</v>
      </c>
      <c r="AE75" s="128">
        <v>85335169000</v>
      </c>
      <c r="AF75" s="128">
        <v>71618220000</v>
      </c>
      <c r="AG75" s="128">
        <v>79218233000</v>
      </c>
      <c r="AH75" s="128">
        <v>39452949000</v>
      </c>
      <c r="AI75" s="125" t="s">
        <v>340</v>
      </c>
      <c r="AJ75" s="125" t="s">
        <v>340</v>
      </c>
      <c r="AK75" s="125" t="s">
        <v>340</v>
      </c>
      <c r="AL75" s="125" t="s">
        <v>340</v>
      </c>
      <c r="AM75" s="128">
        <v>85335169000</v>
      </c>
      <c r="AN75" s="128">
        <v>71618220000</v>
      </c>
      <c r="AO75" s="128">
        <v>79218233000</v>
      </c>
      <c r="AP75" s="128">
        <v>39452949000</v>
      </c>
      <c r="AQ75" s="125" t="s">
        <v>340</v>
      </c>
      <c r="AR75" s="125" t="s">
        <v>340</v>
      </c>
      <c r="AS75" s="125" t="s">
        <v>340</v>
      </c>
      <c r="AT75" s="125" t="s">
        <v>340</v>
      </c>
      <c r="AU75" s="128">
        <v>-52330840000</v>
      </c>
      <c r="AV75" s="128">
        <v>-42653969000</v>
      </c>
      <c r="AW75" s="128">
        <v>-45977831000</v>
      </c>
      <c r="AX75" s="128">
        <v>-17822443000</v>
      </c>
      <c r="AY75" s="128">
        <v>-864579000</v>
      </c>
      <c r="AZ75" s="128">
        <v>-814421000</v>
      </c>
      <c r="BA75" s="128">
        <v>-709948000</v>
      </c>
      <c r="BB75" s="128">
        <v>-619005000</v>
      </c>
      <c r="BC75" s="128">
        <v>-22013089000</v>
      </c>
      <c r="BD75" s="128">
        <v>-21765791000</v>
      </c>
      <c r="BE75" s="128">
        <v>-20138359000</v>
      </c>
      <c r="BF75" s="128">
        <v>-16907068000</v>
      </c>
      <c r="BG75" s="128">
        <v>10126661000</v>
      </c>
      <c r="BH75" s="128">
        <v>6384039000</v>
      </c>
      <c r="BI75" s="128">
        <v>12392095000</v>
      </c>
      <c r="BJ75" s="128">
        <v>4104433000</v>
      </c>
      <c r="BK75" s="128">
        <v>-618260000</v>
      </c>
      <c r="BL75" s="128">
        <v>-784652000</v>
      </c>
      <c r="BM75" s="128">
        <v>-763903000</v>
      </c>
      <c r="BN75" s="128">
        <v>-65500000</v>
      </c>
      <c r="BO75" s="128">
        <v>-606700000</v>
      </c>
      <c r="BP75" s="128">
        <v>-777277000</v>
      </c>
      <c r="BQ75" s="128">
        <v>-758487000</v>
      </c>
      <c r="BR75" s="128">
        <v>-52669000</v>
      </c>
      <c r="BS75" s="128">
        <v>-11560000</v>
      </c>
      <c r="BT75" s="128">
        <v>-7375000</v>
      </c>
      <c r="BU75" s="128">
        <v>-5416000</v>
      </c>
      <c r="BV75" s="128">
        <v>-12831000</v>
      </c>
      <c r="BW75" s="128">
        <v>7639365000</v>
      </c>
      <c r="BX75" s="128">
        <v>3644727000</v>
      </c>
      <c r="BY75" s="128">
        <v>8747100000</v>
      </c>
      <c r="BZ75" s="128">
        <v>4110117000</v>
      </c>
      <c r="CA75" s="128">
        <v>48152686000</v>
      </c>
      <c r="CB75" s="128">
        <v>49256711000</v>
      </c>
      <c r="CC75" s="128">
        <v>26735496000</v>
      </c>
      <c r="CD75" s="128">
        <v>13998892000</v>
      </c>
      <c r="CE75" s="128">
        <v>14667881000</v>
      </c>
      <c r="CF75" s="128">
        <v>12321827000</v>
      </c>
      <c r="CG75" s="128">
        <v>11116623000</v>
      </c>
      <c r="CH75" s="128">
        <v>3992728000</v>
      </c>
      <c r="CI75" s="128">
        <v>5241917000</v>
      </c>
      <c r="CJ75" s="128">
        <v>5686789000</v>
      </c>
      <c r="CK75" s="128">
        <v>3206354000</v>
      </c>
      <c r="CL75" s="128">
        <v>3063524000</v>
      </c>
      <c r="CM75" s="128">
        <v>15905116000</v>
      </c>
      <c r="CN75" s="128">
        <v>10015596000</v>
      </c>
      <c r="CO75" s="125" t="s">
        <v>340</v>
      </c>
      <c r="CP75" s="125" t="s">
        <v>340</v>
      </c>
      <c r="CQ75" s="128">
        <v>11822055000</v>
      </c>
      <c r="CR75" s="128">
        <v>21003898000</v>
      </c>
      <c r="CS75" s="128">
        <v>11866045000</v>
      </c>
      <c r="CT75" s="128">
        <v>6758357000</v>
      </c>
      <c r="CU75" s="125" t="s">
        <v>340</v>
      </c>
      <c r="CV75" s="125" t="s">
        <v>340</v>
      </c>
      <c r="CW75" s="128">
        <v>502570000</v>
      </c>
      <c r="CX75" s="128">
        <v>736819000</v>
      </c>
      <c r="CY75" s="128">
        <v>1600886000</v>
      </c>
      <c r="CZ75" s="128">
        <v>1010753000</v>
      </c>
      <c r="DA75" s="128">
        <v>875421000</v>
      </c>
      <c r="DB75" s="128">
        <v>773204000</v>
      </c>
      <c r="DC75" s="128">
        <v>72333626000</v>
      </c>
      <c r="DD75" s="128">
        <v>52974588000</v>
      </c>
      <c r="DE75" s="128">
        <v>30201839000</v>
      </c>
      <c r="DF75" s="128">
        <v>15177684000</v>
      </c>
      <c r="DG75" s="16">
        <f t="shared" si="46"/>
        <v>85335169000</v>
      </c>
      <c r="DH75" s="16">
        <f t="shared" si="47"/>
        <v>-52330840000</v>
      </c>
      <c r="DI75" s="16">
        <f t="shared" si="48"/>
        <v>-22877668000</v>
      </c>
      <c r="DJ75" s="16">
        <f t="shared" si="49"/>
        <v>-618260000</v>
      </c>
      <c r="DK75" s="16">
        <f t="shared" si="50"/>
        <v>9508401000</v>
      </c>
      <c r="DL75" s="57">
        <f t="shared" si="51"/>
        <v>0.11142417729318611</v>
      </c>
      <c r="DM75" s="57">
        <f t="shared" si="52"/>
        <v>0.12539636398586843</v>
      </c>
      <c r="DN75" s="58">
        <f t="shared" si="53"/>
        <v>-864579000</v>
      </c>
      <c r="DO75" s="16">
        <f t="shared" si="54"/>
        <v>13494854000</v>
      </c>
      <c r="DP75" s="16">
        <f t="shared" si="55"/>
        <v>1305819500</v>
      </c>
      <c r="DQ75" s="61"/>
      <c r="DR75" s="62">
        <f t="shared" si="56"/>
        <v>71618220000</v>
      </c>
      <c r="DS75" s="62">
        <f t="shared" si="57"/>
        <v>-42653969000</v>
      </c>
      <c r="DT75" s="62">
        <f t="shared" si="58"/>
        <v>-22580212000</v>
      </c>
      <c r="DU75" s="62">
        <f t="shared" si="59"/>
        <v>-784652000</v>
      </c>
      <c r="DV75" s="62">
        <f t="shared" si="60"/>
        <v>5599387000</v>
      </c>
      <c r="DW75" s="63">
        <f t="shared" si="61"/>
        <v>7.8183833666907662E-2</v>
      </c>
      <c r="DX75" s="63">
        <f t="shared" si="62"/>
        <v>8.4814995139341529E-2</v>
      </c>
      <c r="DY75" s="64">
        <f t="shared" si="63"/>
        <v>-814421000</v>
      </c>
      <c r="DZ75" s="64">
        <f t="shared" si="64"/>
        <v>11719225000</v>
      </c>
      <c r="EA75" s="64">
        <f t="shared" si="65"/>
        <v>943087000</v>
      </c>
      <c r="EB75" s="61"/>
      <c r="EC75" s="64">
        <f t="shared" si="66"/>
        <v>79218233000</v>
      </c>
      <c r="ED75" s="64">
        <f t="shared" si="67"/>
        <v>-45977831000</v>
      </c>
      <c r="EE75" s="64">
        <f t="shared" si="68"/>
        <v>-20848307000</v>
      </c>
      <c r="EF75" s="64">
        <f t="shared" si="69"/>
        <v>-763903000</v>
      </c>
      <c r="EG75" s="64">
        <f t="shared" si="70"/>
        <v>11628192000</v>
      </c>
      <c r="EH75" s="63">
        <f t="shared" si="71"/>
        <v>0.14678681358621065</v>
      </c>
      <c r="EI75" s="57">
        <f t="shared" si="72"/>
        <v>0.17204001991950263</v>
      </c>
      <c r="EJ75" s="64">
        <f t="shared" si="73"/>
        <v>-709948000</v>
      </c>
      <c r="EK75" s="64">
        <f t="shared" si="74"/>
        <v>7554675500</v>
      </c>
      <c r="EL75" s="64">
        <f t="shared" si="75"/>
        <v>824312500</v>
      </c>
      <c r="EM75" s="61"/>
      <c r="EN75" s="66">
        <f t="shared" si="76"/>
        <v>78723874000</v>
      </c>
      <c r="EO75" s="66">
        <f t="shared" si="76"/>
        <v>-46987546666.666664</v>
      </c>
      <c r="EP75" s="66">
        <f t="shared" si="76"/>
        <v>-22102062333.333332</v>
      </c>
      <c r="EQ75" s="66">
        <f t="shared" si="43"/>
        <v>-722271666.66666663</v>
      </c>
      <c r="ER75" s="66">
        <f t="shared" si="77"/>
        <v>8911993333.3333378</v>
      </c>
      <c r="ES75" s="63">
        <f t="shared" si="78"/>
        <v>0.11320572630017341</v>
      </c>
      <c r="ET75" s="67">
        <f t="shared" si="79"/>
        <v>0.12765725902566294</v>
      </c>
      <c r="EU75" s="66">
        <f t="shared" si="80"/>
        <v>796316000</v>
      </c>
      <c r="EV75" s="66">
        <f t="shared" si="81"/>
        <v>10922918166.666666</v>
      </c>
      <c r="EW75" s="66">
        <f t="shared" si="81"/>
        <v>1024406333.3333334</v>
      </c>
      <c r="EX75" s="70"/>
      <c r="EY75" s="71" t="str">
        <f t="shared" si="82"/>
        <v>完整</v>
      </c>
      <c r="EZ75" s="71" t="str">
        <f t="shared" si="83"/>
        <v>完整</v>
      </c>
      <c r="FA75" s="71" t="str">
        <f t="shared" si="84"/>
        <v>完整</v>
      </c>
      <c r="FB75" s="71" t="str">
        <f t="shared" si="85"/>
        <v>选择</v>
      </c>
      <c r="FC75" s="71" t="str">
        <f t="shared" si="86"/>
        <v>选择</v>
      </c>
    </row>
    <row r="76" spans="1:217" s="3" customFormat="1" ht="12.75" customHeight="1" x14ac:dyDescent="0.25">
      <c r="A76" s="28" t="s">
        <v>240</v>
      </c>
      <c r="B76" s="134" t="str">
        <f t="shared" si="44"/>
        <v>NEOPHARM CO.,LTD.</v>
      </c>
      <c r="C76" s="29" t="s">
        <v>328</v>
      </c>
      <c r="D76" s="136" t="s">
        <v>309</v>
      </c>
      <c r="E76" s="35"/>
      <c r="F76" s="34"/>
      <c r="G76" s="32"/>
      <c r="H76" s="31" t="str">
        <f t="shared" si="45"/>
        <v xml:space="preserve"> </v>
      </c>
      <c r="I76" s="29"/>
      <c r="J76" s="29" t="str">
        <f>VLOOKUP(Z:Z,'[1]AP 2022'!FD75:FF181,2,FALSE)</f>
        <v>exclude</v>
      </c>
      <c r="K76" s="47" t="str">
        <f>VLOOKUP(Z:Z,'[1]AP 2022'!FD75:FF181,3,0)</f>
        <v>Independence(A+, A, A-, U)</v>
      </c>
      <c r="L76" s="48"/>
      <c r="M76" s="125" t="s">
        <v>904</v>
      </c>
      <c r="N76" s="125" t="s">
        <v>905</v>
      </c>
      <c r="O76" s="125" t="s">
        <v>331</v>
      </c>
      <c r="P76" s="125" t="s">
        <v>906</v>
      </c>
      <c r="Q76" s="124"/>
      <c r="R76" s="125" t="s">
        <v>363</v>
      </c>
      <c r="S76" s="125" t="s">
        <v>907</v>
      </c>
      <c r="T76" s="125" t="s">
        <v>365</v>
      </c>
      <c r="U76" s="125" t="s">
        <v>321</v>
      </c>
      <c r="V76" s="125" t="s">
        <v>908</v>
      </c>
      <c r="W76" s="125" t="s">
        <v>909</v>
      </c>
      <c r="X76" s="124"/>
      <c r="Y76" s="125" t="s">
        <v>910</v>
      </c>
      <c r="Z76" s="125" t="s">
        <v>911</v>
      </c>
      <c r="AA76" s="128">
        <v>85033138000</v>
      </c>
      <c r="AB76" s="128">
        <v>87930720000</v>
      </c>
      <c r="AC76" s="128">
        <v>81625348000</v>
      </c>
      <c r="AD76" s="128">
        <v>83240333000</v>
      </c>
      <c r="AE76" s="128">
        <v>85033138000</v>
      </c>
      <c r="AF76" s="128">
        <v>87930720000</v>
      </c>
      <c r="AG76" s="128">
        <v>81625348000</v>
      </c>
      <c r="AH76" s="128">
        <v>83240333000</v>
      </c>
      <c r="AI76" s="125" t="s">
        <v>340</v>
      </c>
      <c r="AJ76" s="125" t="s">
        <v>340</v>
      </c>
      <c r="AK76" s="125" t="s">
        <v>340</v>
      </c>
      <c r="AL76" s="125" t="s">
        <v>340</v>
      </c>
      <c r="AM76" s="128">
        <v>85033138000</v>
      </c>
      <c r="AN76" s="128">
        <v>87930720000</v>
      </c>
      <c r="AO76" s="128">
        <v>81625348000</v>
      </c>
      <c r="AP76" s="128">
        <v>83240333000</v>
      </c>
      <c r="AQ76" s="125" t="s">
        <v>340</v>
      </c>
      <c r="AR76" s="125" t="s">
        <v>340</v>
      </c>
      <c r="AS76" s="125" t="s">
        <v>340</v>
      </c>
      <c r="AT76" s="125" t="s">
        <v>340</v>
      </c>
      <c r="AU76" s="128">
        <v>-26653114000</v>
      </c>
      <c r="AV76" s="128">
        <v>-25544405000</v>
      </c>
      <c r="AW76" s="128">
        <v>-22983728000</v>
      </c>
      <c r="AX76" s="128">
        <v>-23136104000</v>
      </c>
      <c r="AY76" s="128">
        <v>-2853984000</v>
      </c>
      <c r="AZ76" s="128">
        <v>-2935148000</v>
      </c>
      <c r="BA76" s="128">
        <v>-2801542000</v>
      </c>
      <c r="BB76" s="128">
        <v>-2518107000</v>
      </c>
      <c r="BC76" s="128">
        <v>-32984011000</v>
      </c>
      <c r="BD76" s="128">
        <v>-36021761000</v>
      </c>
      <c r="BE76" s="128">
        <v>-32990780000</v>
      </c>
      <c r="BF76" s="128">
        <v>-33958410000</v>
      </c>
      <c r="BG76" s="128">
        <v>22542029000</v>
      </c>
      <c r="BH76" s="128">
        <v>23429406000</v>
      </c>
      <c r="BI76" s="128">
        <v>22849298000</v>
      </c>
      <c r="BJ76" s="128">
        <v>23627712000</v>
      </c>
      <c r="BK76" s="128">
        <v>-1103239000</v>
      </c>
      <c r="BL76" s="128">
        <v>-998560000</v>
      </c>
      <c r="BM76" s="128">
        <v>-947205000</v>
      </c>
      <c r="BN76" s="128">
        <v>-667211000</v>
      </c>
      <c r="BO76" s="128">
        <v>-686570000</v>
      </c>
      <c r="BP76" s="128">
        <v>-578357000</v>
      </c>
      <c r="BQ76" s="128">
        <v>-546078000</v>
      </c>
      <c r="BR76" s="128">
        <v>-534735000</v>
      </c>
      <c r="BS76" s="128">
        <v>-416669000</v>
      </c>
      <c r="BT76" s="128">
        <v>-420203000</v>
      </c>
      <c r="BU76" s="128">
        <v>-401127000</v>
      </c>
      <c r="BV76" s="128">
        <v>-132476000</v>
      </c>
      <c r="BW76" s="128">
        <v>17027040000</v>
      </c>
      <c r="BX76" s="128">
        <v>17713276000</v>
      </c>
      <c r="BY76" s="128">
        <v>18130855000</v>
      </c>
      <c r="BZ76" s="128">
        <v>19245382000</v>
      </c>
      <c r="CA76" s="128">
        <v>131270044000</v>
      </c>
      <c r="CB76" s="128">
        <v>121483816000</v>
      </c>
      <c r="CC76" s="128">
        <v>113551469000</v>
      </c>
      <c r="CD76" s="128">
        <v>101680178000</v>
      </c>
      <c r="CE76" s="128">
        <v>8749037000</v>
      </c>
      <c r="CF76" s="128">
        <v>7973482000</v>
      </c>
      <c r="CG76" s="128">
        <v>8089751000</v>
      </c>
      <c r="CH76" s="128">
        <v>5840464000</v>
      </c>
      <c r="CI76" s="128">
        <v>6593068000</v>
      </c>
      <c r="CJ76" s="128">
        <v>7572763000</v>
      </c>
      <c r="CK76" s="128">
        <v>8431865000</v>
      </c>
      <c r="CL76" s="128">
        <v>8944227000</v>
      </c>
      <c r="CM76" s="128">
        <v>103088532000</v>
      </c>
      <c r="CN76" s="128">
        <v>98018197000</v>
      </c>
      <c r="CO76" s="128">
        <v>84013688000</v>
      </c>
      <c r="CP76" s="128">
        <v>80011517000</v>
      </c>
      <c r="CQ76" s="128">
        <v>11485361000</v>
      </c>
      <c r="CR76" s="128">
        <v>7048975000</v>
      </c>
      <c r="CS76" s="128">
        <v>12180788000</v>
      </c>
      <c r="CT76" s="128">
        <v>5515261000</v>
      </c>
      <c r="CU76" s="128">
        <v>602498000</v>
      </c>
      <c r="CV76" s="125" t="s">
        <v>340</v>
      </c>
      <c r="CW76" s="128">
        <v>992058000</v>
      </c>
      <c r="CX76" s="125" t="s">
        <v>340</v>
      </c>
      <c r="CY76" s="128">
        <v>1351046000</v>
      </c>
      <c r="CZ76" s="128">
        <v>1233012000</v>
      </c>
      <c r="DA76" s="128">
        <v>1207010000</v>
      </c>
      <c r="DB76" s="128">
        <v>2402807000</v>
      </c>
      <c r="DC76" s="128">
        <v>155347427000</v>
      </c>
      <c r="DD76" s="128">
        <v>143408029000</v>
      </c>
      <c r="DE76" s="128">
        <v>132977764000</v>
      </c>
      <c r="DF76" s="128">
        <v>122741537000</v>
      </c>
      <c r="DG76" s="16">
        <f t="shared" si="46"/>
        <v>85033138000</v>
      </c>
      <c r="DH76" s="16">
        <f t="shared" si="47"/>
        <v>-26653114000</v>
      </c>
      <c r="DI76" s="16">
        <f t="shared" si="48"/>
        <v>-35837995000</v>
      </c>
      <c r="DJ76" s="16">
        <f t="shared" si="49"/>
        <v>-1103239000</v>
      </c>
      <c r="DK76" s="16">
        <f t="shared" si="50"/>
        <v>21438790000</v>
      </c>
      <c r="DL76" s="57">
        <f t="shared" si="51"/>
        <v>0.25212276653838178</v>
      </c>
      <c r="DM76" s="57">
        <f t="shared" si="52"/>
        <v>0.33711785204559375</v>
      </c>
      <c r="DN76" s="58">
        <f t="shared" si="53"/>
        <v>-2853984000</v>
      </c>
      <c r="DO76" s="16">
        <f t="shared" si="54"/>
        <v>8361259500</v>
      </c>
      <c r="DP76" s="16">
        <f t="shared" si="55"/>
        <v>1292029000</v>
      </c>
      <c r="DQ76" s="61"/>
      <c r="DR76" s="62">
        <f t="shared" si="56"/>
        <v>87930720000</v>
      </c>
      <c r="DS76" s="62">
        <f t="shared" si="57"/>
        <v>-25544405000</v>
      </c>
      <c r="DT76" s="62">
        <f t="shared" si="58"/>
        <v>-38956909000</v>
      </c>
      <c r="DU76" s="62">
        <f t="shared" si="59"/>
        <v>-998560000</v>
      </c>
      <c r="DV76" s="62">
        <f t="shared" si="60"/>
        <v>22430846000</v>
      </c>
      <c r="DW76" s="63">
        <f t="shared" si="61"/>
        <v>0.25509680803250562</v>
      </c>
      <c r="DX76" s="63">
        <f t="shared" si="62"/>
        <v>0.34245632289307915</v>
      </c>
      <c r="DY76" s="64">
        <f t="shared" si="63"/>
        <v>-2935148000</v>
      </c>
      <c r="DZ76" s="64">
        <f t="shared" si="64"/>
        <v>8031616500</v>
      </c>
      <c r="EA76" s="64">
        <f t="shared" si="65"/>
        <v>1220011000</v>
      </c>
      <c r="EB76" s="61"/>
      <c r="EC76" s="64">
        <f t="shared" si="66"/>
        <v>81625348000</v>
      </c>
      <c r="ED76" s="64">
        <f t="shared" si="67"/>
        <v>-22983728000</v>
      </c>
      <c r="EE76" s="64">
        <f t="shared" si="68"/>
        <v>-35792322000</v>
      </c>
      <c r="EF76" s="64">
        <f t="shared" si="69"/>
        <v>-947205000</v>
      </c>
      <c r="EG76" s="64">
        <f t="shared" si="70"/>
        <v>21902093000</v>
      </c>
      <c r="EH76" s="63">
        <f t="shared" si="71"/>
        <v>0.26832465081802775</v>
      </c>
      <c r="EI76" s="57">
        <f t="shared" si="72"/>
        <v>0.36672637819221338</v>
      </c>
      <c r="EJ76" s="64">
        <f t="shared" si="73"/>
        <v>-2801542000</v>
      </c>
      <c r="EK76" s="64">
        <f t="shared" si="74"/>
        <v>6965107500</v>
      </c>
      <c r="EL76" s="64">
        <f t="shared" si="75"/>
        <v>1804908500</v>
      </c>
      <c r="EM76" s="61"/>
      <c r="EN76" s="66">
        <f t="shared" si="76"/>
        <v>84863068666.666672</v>
      </c>
      <c r="EO76" s="66">
        <f t="shared" si="76"/>
        <v>-25060415666.666668</v>
      </c>
      <c r="EP76" s="66">
        <f t="shared" si="76"/>
        <v>-36862408666.666664</v>
      </c>
      <c r="EQ76" s="66">
        <f t="shared" si="43"/>
        <v>-1016334666.6666666</v>
      </c>
      <c r="ER76" s="66">
        <f t="shared" si="77"/>
        <v>21923909666.666668</v>
      </c>
      <c r="ES76" s="63">
        <f t="shared" si="78"/>
        <v>0.25834453091463744</v>
      </c>
      <c r="ET76" s="67">
        <f t="shared" si="79"/>
        <v>0.34833496371736822</v>
      </c>
      <c r="EU76" s="66">
        <f t="shared" si="80"/>
        <v>2863558000</v>
      </c>
      <c r="EV76" s="66">
        <f t="shared" si="81"/>
        <v>7785994500</v>
      </c>
      <c r="EW76" s="66">
        <f t="shared" si="81"/>
        <v>1438982833.3333333</v>
      </c>
      <c r="EX76" s="70"/>
      <c r="EY76" s="71" t="str">
        <f t="shared" si="82"/>
        <v>完整</v>
      </c>
      <c r="EZ76" s="71" t="str">
        <f t="shared" si="83"/>
        <v>完整</v>
      </c>
      <c r="FA76" s="71" t="str">
        <f t="shared" si="84"/>
        <v>完整</v>
      </c>
      <c r="FB76" s="71" t="str">
        <f t="shared" si="85"/>
        <v>选择</v>
      </c>
      <c r="FC76" s="71" t="str">
        <f t="shared" si="86"/>
        <v>选择</v>
      </c>
      <c r="FD76" s="72"/>
      <c r="FE76" s="72"/>
      <c r="FF76" s="72"/>
      <c r="FG76" s="72"/>
      <c r="FH76" s="72"/>
      <c r="FI76" s="72"/>
      <c r="FJ76" s="72"/>
      <c r="FK76" s="72"/>
      <c r="FL76" s="72"/>
      <c r="FM76" s="72"/>
      <c r="FN76" s="72"/>
      <c r="FO76" s="72"/>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c r="GR76" s="72"/>
      <c r="GS76" s="72"/>
      <c r="GT76" s="72"/>
      <c r="GU76" s="72"/>
      <c r="GV76" s="72"/>
      <c r="GW76" s="72"/>
      <c r="GX76" s="72"/>
      <c r="GY76" s="72"/>
      <c r="GZ76" s="72"/>
      <c r="HA76" s="72"/>
      <c r="HB76" s="72"/>
      <c r="HC76" s="72"/>
      <c r="HD76" s="72"/>
      <c r="HE76" s="72"/>
      <c r="HF76" s="72"/>
      <c r="HG76" s="72"/>
      <c r="HH76" s="72"/>
      <c r="HI76" s="72"/>
    </row>
    <row r="77" spans="1:217" s="3" customFormat="1" ht="12.75" customHeight="1" x14ac:dyDescent="0.25">
      <c r="A77" s="28" t="s">
        <v>241</v>
      </c>
      <c r="B77" s="134" t="str">
        <f t="shared" si="44"/>
        <v>UNILEVER NEPAL LIMITED</v>
      </c>
      <c r="C77" s="29" t="s">
        <v>328</v>
      </c>
      <c r="D77" s="136" t="s">
        <v>309</v>
      </c>
      <c r="E77" s="35"/>
      <c r="F77" s="34"/>
      <c r="H77" s="31" t="str">
        <f t="shared" si="45"/>
        <v xml:space="preserve"> </v>
      </c>
      <c r="I77" s="29"/>
      <c r="J77" s="29" t="str">
        <f>VLOOKUP(Z:Z,'[1]AP 2022'!FD76:FF181,2,FALSE)</f>
        <v>exclude</v>
      </c>
      <c r="K77" s="47" t="str">
        <f>VLOOKUP(Z:Z,'[1]AP 2022'!FD76:FF181,3,0)</f>
        <v>Independence(A+, A, A-, U)</v>
      </c>
      <c r="L77" s="48"/>
      <c r="M77" s="125" t="s">
        <v>912</v>
      </c>
      <c r="N77" s="125" t="s">
        <v>913</v>
      </c>
      <c r="O77" s="125" t="s">
        <v>381</v>
      </c>
      <c r="P77" s="125" t="s">
        <v>914</v>
      </c>
      <c r="Q77" s="124"/>
      <c r="R77" s="125" t="s">
        <v>915</v>
      </c>
      <c r="S77" s="125" t="s">
        <v>916</v>
      </c>
      <c r="T77" s="125" t="s">
        <v>374</v>
      </c>
      <c r="U77" s="125" t="s">
        <v>315</v>
      </c>
      <c r="V77" s="125" t="s">
        <v>917</v>
      </c>
      <c r="W77" s="125" t="s">
        <v>918</v>
      </c>
      <c r="X77" s="124"/>
      <c r="Y77" s="125" t="s">
        <v>919</v>
      </c>
      <c r="Z77" s="125" t="s">
        <v>920</v>
      </c>
      <c r="AA77" s="128">
        <v>7525388000</v>
      </c>
      <c r="AB77" s="128">
        <v>5743973000</v>
      </c>
      <c r="AC77" s="128">
        <v>5639772000</v>
      </c>
      <c r="AD77" s="128">
        <v>6215263000</v>
      </c>
      <c r="AE77" s="128">
        <v>7790308000</v>
      </c>
      <c r="AF77" s="128">
        <v>6132943000</v>
      </c>
      <c r="AG77" s="128">
        <v>5966068000</v>
      </c>
      <c r="AH77" s="128">
        <v>6250829000</v>
      </c>
      <c r="AI77" s="128">
        <v>-456693000</v>
      </c>
      <c r="AJ77" s="128">
        <v>-402219000</v>
      </c>
      <c r="AK77" s="128">
        <v>-418846000</v>
      </c>
      <c r="AL77" s="128">
        <v>-496767000</v>
      </c>
      <c r="AM77" s="128">
        <v>7333615000</v>
      </c>
      <c r="AN77" s="128">
        <v>5730724000</v>
      </c>
      <c r="AO77" s="128">
        <v>5547222000</v>
      </c>
      <c r="AP77" s="128">
        <v>5754062000</v>
      </c>
      <c r="AQ77" s="128">
        <v>191773000</v>
      </c>
      <c r="AR77" s="128">
        <v>13249000</v>
      </c>
      <c r="AS77" s="128">
        <v>92550000</v>
      </c>
      <c r="AT77" s="128">
        <v>461201000</v>
      </c>
      <c r="AU77" s="128">
        <v>-3827369000</v>
      </c>
      <c r="AV77" s="128">
        <v>-2964731000</v>
      </c>
      <c r="AW77" s="128">
        <v>-3081037000</v>
      </c>
      <c r="AX77" s="128">
        <v>-3089237000</v>
      </c>
      <c r="AY77" s="128">
        <v>0</v>
      </c>
      <c r="AZ77" s="128">
        <v>0</v>
      </c>
      <c r="BA77" s="128">
        <v>0</v>
      </c>
      <c r="BB77" s="128">
        <v>0</v>
      </c>
      <c r="BC77" s="128">
        <v>-1683404000</v>
      </c>
      <c r="BD77" s="128">
        <v>-1632584000</v>
      </c>
      <c r="BE77" s="128">
        <v>-1602718000</v>
      </c>
      <c r="BF77" s="128">
        <v>-1744226000</v>
      </c>
      <c r="BG77" s="128">
        <v>2014615000</v>
      </c>
      <c r="BH77" s="128">
        <v>1146658000</v>
      </c>
      <c r="BI77" s="128">
        <v>956017000</v>
      </c>
      <c r="BJ77" s="128">
        <v>1381800000</v>
      </c>
      <c r="BK77" s="128">
        <v>-192171000</v>
      </c>
      <c r="BL77" s="128">
        <v>-117568000</v>
      </c>
      <c r="BM77" s="128">
        <v>-98645000</v>
      </c>
      <c r="BN77" s="128">
        <v>-66935000</v>
      </c>
      <c r="BO77" s="128">
        <v>-169272000</v>
      </c>
      <c r="BP77" s="128">
        <v>-94217000</v>
      </c>
      <c r="BQ77" s="128">
        <v>-75377000</v>
      </c>
      <c r="BR77" s="128">
        <v>-55677000</v>
      </c>
      <c r="BS77" s="128">
        <v>-22899000</v>
      </c>
      <c r="BT77" s="128">
        <v>-23351000</v>
      </c>
      <c r="BU77" s="128">
        <v>-23268000</v>
      </c>
      <c r="BV77" s="128">
        <v>-11258000</v>
      </c>
      <c r="BW77" s="128">
        <v>1541981000</v>
      </c>
      <c r="BX77" s="128">
        <v>860877000</v>
      </c>
      <c r="BY77" s="128">
        <v>358005000</v>
      </c>
      <c r="BZ77" s="128">
        <v>1065392000</v>
      </c>
      <c r="CA77" s="128">
        <v>4190078000</v>
      </c>
      <c r="CB77" s="128">
        <v>3672846000</v>
      </c>
      <c r="CC77" s="128">
        <v>2513698000</v>
      </c>
      <c r="CD77" s="128">
        <v>2871362000</v>
      </c>
      <c r="CE77" s="128">
        <v>1123329000</v>
      </c>
      <c r="CF77" s="128">
        <v>842543000</v>
      </c>
      <c r="CG77" s="128">
        <v>626121000</v>
      </c>
      <c r="CH77" s="128">
        <v>822422000</v>
      </c>
      <c r="CI77" s="128">
        <v>1003580000</v>
      </c>
      <c r="CJ77" s="128">
        <v>655259000</v>
      </c>
      <c r="CK77" s="128">
        <v>583493000</v>
      </c>
      <c r="CL77" s="128">
        <v>452825000</v>
      </c>
      <c r="CM77" s="128">
        <v>18107000</v>
      </c>
      <c r="CN77" s="128">
        <v>17242000</v>
      </c>
      <c r="CO77" s="128">
        <v>46449000</v>
      </c>
      <c r="CP77" s="128">
        <v>383238000</v>
      </c>
      <c r="CQ77" s="128">
        <v>1692569000</v>
      </c>
      <c r="CR77" s="128">
        <v>1733051000</v>
      </c>
      <c r="CS77" s="128">
        <v>1031635000</v>
      </c>
      <c r="CT77" s="128">
        <v>823091000</v>
      </c>
      <c r="CU77" s="128">
        <v>1121000000</v>
      </c>
      <c r="CV77" s="128">
        <v>932900000</v>
      </c>
      <c r="CW77" s="128">
        <v>334900000</v>
      </c>
      <c r="CX77" s="128">
        <v>574023000</v>
      </c>
      <c r="CY77" s="128">
        <v>603112000</v>
      </c>
      <c r="CZ77" s="128">
        <v>158171000</v>
      </c>
      <c r="DA77" s="128">
        <v>188028000</v>
      </c>
      <c r="DB77" s="128">
        <v>202442000</v>
      </c>
      <c r="DC77" s="128">
        <v>5804683000</v>
      </c>
      <c r="DD77" s="128">
        <v>4753226000</v>
      </c>
      <c r="DE77" s="128">
        <v>3723422000</v>
      </c>
      <c r="DF77" s="128">
        <v>3857187000</v>
      </c>
      <c r="DG77" s="16">
        <f t="shared" si="46"/>
        <v>7333615000</v>
      </c>
      <c r="DH77" s="16">
        <f t="shared" si="47"/>
        <v>-3827369000</v>
      </c>
      <c r="DI77" s="16">
        <f t="shared" si="48"/>
        <v>-1683404000</v>
      </c>
      <c r="DJ77" s="16">
        <f t="shared" si="49"/>
        <v>-192171000</v>
      </c>
      <c r="DK77" s="16">
        <f t="shared" si="50"/>
        <v>1630671000</v>
      </c>
      <c r="DL77" s="57">
        <f t="shared" si="51"/>
        <v>0.2223556867929391</v>
      </c>
      <c r="DM77" s="57">
        <f t="shared" si="52"/>
        <v>0.28593494868615227</v>
      </c>
      <c r="DN77" s="58">
        <f t="shared" si="53"/>
        <v>0</v>
      </c>
      <c r="DO77" s="16">
        <f t="shared" si="54"/>
        <v>982936000</v>
      </c>
      <c r="DP77" s="16">
        <f t="shared" si="55"/>
        <v>380641500</v>
      </c>
      <c r="DQ77" s="61"/>
      <c r="DR77" s="62">
        <f t="shared" si="56"/>
        <v>5730724000</v>
      </c>
      <c r="DS77" s="62">
        <f t="shared" si="57"/>
        <v>-2964731000</v>
      </c>
      <c r="DT77" s="62">
        <f t="shared" si="58"/>
        <v>-1632584000</v>
      </c>
      <c r="DU77" s="62">
        <f t="shared" si="59"/>
        <v>-117568000</v>
      </c>
      <c r="DV77" s="62">
        <f t="shared" si="60"/>
        <v>1015841000</v>
      </c>
      <c r="DW77" s="63">
        <f t="shared" si="61"/>
        <v>0.17726224470066959</v>
      </c>
      <c r="DX77" s="63">
        <f t="shared" si="62"/>
        <v>0.2154541268574427</v>
      </c>
      <c r="DY77" s="64">
        <f t="shared" si="63"/>
        <v>0</v>
      </c>
      <c r="DZ77" s="64">
        <f t="shared" si="64"/>
        <v>734332000</v>
      </c>
      <c r="EA77" s="64">
        <f t="shared" si="65"/>
        <v>173099500</v>
      </c>
      <c r="EB77" s="61"/>
      <c r="EC77" s="64">
        <f t="shared" si="66"/>
        <v>5547222000</v>
      </c>
      <c r="ED77" s="64">
        <f t="shared" si="67"/>
        <v>-3081037000</v>
      </c>
      <c r="EE77" s="64">
        <f t="shared" si="68"/>
        <v>-1602718000</v>
      </c>
      <c r="EF77" s="64">
        <f t="shared" si="69"/>
        <v>-98645000</v>
      </c>
      <c r="EG77" s="64">
        <f t="shared" si="70"/>
        <v>764822000</v>
      </c>
      <c r="EH77" s="63">
        <f t="shared" si="71"/>
        <v>0.13787477768151338</v>
      </c>
      <c r="EI77" s="57">
        <f t="shared" si="72"/>
        <v>0.15992430578788894</v>
      </c>
      <c r="EJ77" s="64">
        <f t="shared" si="73"/>
        <v>0</v>
      </c>
      <c r="EK77" s="64">
        <f t="shared" si="74"/>
        <v>724271500</v>
      </c>
      <c r="EL77" s="64">
        <f t="shared" si="75"/>
        <v>195235000</v>
      </c>
      <c r="EM77" s="61"/>
      <c r="EN77" s="66">
        <f t="shared" si="76"/>
        <v>6203853666.666667</v>
      </c>
      <c r="EO77" s="66">
        <f t="shared" si="76"/>
        <v>-3291045666.6666665</v>
      </c>
      <c r="EP77" s="66">
        <f t="shared" si="76"/>
        <v>-1639568666.6666667</v>
      </c>
      <c r="EQ77" s="66">
        <f t="shared" si="43"/>
        <v>-136128000</v>
      </c>
      <c r="ER77" s="66">
        <f t="shared" si="77"/>
        <v>1137111333.3333337</v>
      </c>
      <c r="ES77" s="63">
        <f t="shared" si="78"/>
        <v>0.18329112748790932</v>
      </c>
      <c r="ET77" s="67">
        <f t="shared" si="79"/>
        <v>0.22442651678820333</v>
      </c>
      <c r="EU77" s="66">
        <f t="shared" si="80"/>
        <v>0</v>
      </c>
      <c r="EV77" s="66">
        <f t="shared" si="81"/>
        <v>813846500</v>
      </c>
      <c r="EW77" s="66">
        <f t="shared" si="81"/>
        <v>249658666.66666666</v>
      </c>
      <c r="EX77" s="70"/>
      <c r="EY77" s="71" t="str">
        <f t="shared" si="82"/>
        <v>完整</v>
      </c>
      <c r="EZ77" s="71" t="str">
        <f t="shared" si="83"/>
        <v>完整</v>
      </c>
      <c r="FA77" s="71" t="str">
        <f t="shared" si="84"/>
        <v>完整</v>
      </c>
      <c r="FB77" s="71" t="str">
        <f t="shared" si="85"/>
        <v>选择</v>
      </c>
      <c r="FC77" s="71" t="str">
        <f t="shared" si="86"/>
        <v>选择</v>
      </c>
      <c r="FD77" s="72"/>
      <c r="FE77" s="72"/>
      <c r="FF77" s="72"/>
      <c r="FG77" s="72"/>
      <c r="FH77" s="72"/>
      <c r="FI77" s="72"/>
      <c r="FJ77" s="72"/>
      <c r="FK77" s="72"/>
      <c r="FL77" s="72"/>
      <c r="FM77" s="72"/>
      <c r="FN77" s="72"/>
      <c r="FO77" s="72"/>
      <c r="FP77" s="72"/>
      <c r="FQ77" s="72"/>
      <c r="FR77" s="72"/>
      <c r="FS77" s="72"/>
      <c r="FT77" s="72"/>
      <c r="FU77" s="72"/>
      <c r="FV77" s="72"/>
      <c r="FW77" s="72"/>
      <c r="FX77" s="72"/>
      <c r="FY77" s="72"/>
      <c r="FZ77" s="72"/>
      <c r="GA77" s="72"/>
      <c r="GB77" s="72"/>
      <c r="GC77" s="72"/>
      <c r="GD77" s="72"/>
      <c r="GE77" s="72"/>
      <c r="GF77" s="72"/>
      <c r="GG77" s="72"/>
      <c r="GH77" s="72"/>
      <c r="GI77" s="72"/>
      <c r="GJ77" s="72"/>
      <c r="GK77" s="72"/>
      <c r="GL77" s="72"/>
      <c r="GM77" s="72"/>
      <c r="GN77" s="72"/>
      <c r="GO77" s="72"/>
      <c r="GP77" s="72"/>
      <c r="GQ77" s="72"/>
      <c r="GR77" s="72"/>
      <c r="GS77" s="72"/>
      <c r="GT77" s="72"/>
      <c r="GU77" s="72"/>
      <c r="GV77" s="72"/>
      <c r="GW77" s="72"/>
      <c r="GX77" s="72"/>
      <c r="GY77" s="72"/>
      <c r="GZ77" s="72"/>
      <c r="HA77" s="72"/>
      <c r="HB77" s="72"/>
      <c r="HC77" s="72"/>
      <c r="HD77" s="72"/>
      <c r="HE77" s="72"/>
      <c r="HF77" s="72"/>
      <c r="HG77" s="72"/>
      <c r="HH77" s="72"/>
      <c r="HI77" s="72"/>
    </row>
    <row r="78" spans="1:217" s="3" customFormat="1" ht="12.75" customHeight="1" x14ac:dyDescent="0.25">
      <c r="A78" s="28" t="s">
        <v>242</v>
      </c>
      <c r="B78" s="134" t="str">
        <f t="shared" si="44"/>
        <v>CONG TY CO PHAN BOT GIAT NET</v>
      </c>
      <c r="C78" s="29" t="s">
        <v>328</v>
      </c>
      <c r="D78" s="136" t="s">
        <v>309</v>
      </c>
      <c r="E78" s="35"/>
      <c r="F78" s="34"/>
      <c r="H78" s="31" t="str">
        <f t="shared" si="45"/>
        <v xml:space="preserve"> </v>
      </c>
      <c r="I78" s="29"/>
      <c r="J78" s="29" t="str">
        <f>VLOOKUP(Z:Z,'[1]AP 2022'!FD77:FF181,2,FALSE)</f>
        <v>exclude</v>
      </c>
      <c r="K78" s="47" t="str">
        <f>VLOOKUP(Z:Z,'[1]AP 2022'!FD77:FF181,3,0)</f>
        <v>Independence(A+, A, A-, U)</v>
      </c>
      <c r="L78" s="48"/>
      <c r="M78" s="125" t="s">
        <v>921</v>
      </c>
      <c r="N78" s="125" t="s">
        <v>922</v>
      </c>
      <c r="O78" s="125" t="s">
        <v>381</v>
      </c>
      <c r="P78" s="125" t="s">
        <v>923</v>
      </c>
      <c r="Q78" s="124"/>
      <c r="R78" s="125" t="s">
        <v>787</v>
      </c>
      <c r="S78" s="125" t="s">
        <v>924</v>
      </c>
      <c r="T78" s="125" t="s">
        <v>374</v>
      </c>
      <c r="U78" s="125" t="s">
        <v>315</v>
      </c>
      <c r="V78" s="125" t="s">
        <v>925</v>
      </c>
      <c r="W78" s="125" t="s">
        <v>926</v>
      </c>
      <c r="X78" s="125" t="s">
        <v>927</v>
      </c>
      <c r="Y78" s="124"/>
      <c r="Z78" s="125" t="s">
        <v>928</v>
      </c>
      <c r="AA78" s="128">
        <v>1529909122000</v>
      </c>
      <c r="AB78" s="128">
        <v>1479644750000</v>
      </c>
      <c r="AC78" s="128">
        <v>1470113908000</v>
      </c>
      <c r="AD78" s="128">
        <v>1157310901000</v>
      </c>
      <c r="AE78" s="128">
        <v>1540164943000</v>
      </c>
      <c r="AF78" s="128">
        <v>1479644750000</v>
      </c>
      <c r="AG78" s="128">
        <v>1490490627000</v>
      </c>
      <c r="AH78" s="128">
        <v>1157310901000</v>
      </c>
      <c r="AI78" s="128">
        <v>-10255821000</v>
      </c>
      <c r="AJ78" s="125" t="s">
        <v>340</v>
      </c>
      <c r="AK78" s="128">
        <v>-20376719000</v>
      </c>
      <c r="AL78" s="125" t="s">
        <v>340</v>
      </c>
      <c r="AM78" s="128">
        <v>1529909122000</v>
      </c>
      <c r="AN78" s="128">
        <v>1479644750000</v>
      </c>
      <c r="AO78" s="128">
        <v>1470113908000</v>
      </c>
      <c r="AP78" s="128">
        <v>1157310901000</v>
      </c>
      <c r="AQ78" s="125" t="s">
        <v>340</v>
      </c>
      <c r="AR78" s="125" t="s">
        <v>340</v>
      </c>
      <c r="AS78" s="125" t="s">
        <v>340</v>
      </c>
      <c r="AT78" s="125" t="s">
        <v>340</v>
      </c>
      <c r="AU78" s="128">
        <v>-1241145948000</v>
      </c>
      <c r="AV78" s="128">
        <v>-1164314749000</v>
      </c>
      <c r="AW78" s="128">
        <v>-1108784739000</v>
      </c>
      <c r="AX78" s="128">
        <v>-911660825000</v>
      </c>
      <c r="AY78" s="128">
        <v>0</v>
      </c>
      <c r="AZ78" s="128">
        <v>0</v>
      </c>
      <c r="BA78" s="128">
        <v>0</v>
      </c>
      <c r="BB78" s="128">
        <v>0</v>
      </c>
      <c r="BC78" s="128">
        <v>-169198610000</v>
      </c>
      <c r="BD78" s="128">
        <v>-171021327000</v>
      </c>
      <c r="BE78" s="128">
        <v>-194013338000</v>
      </c>
      <c r="BF78" s="128">
        <v>-141599393000</v>
      </c>
      <c r="BG78" s="128">
        <v>119564564000</v>
      </c>
      <c r="BH78" s="128">
        <v>144308674000</v>
      </c>
      <c r="BI78" s="128">
        <v>167315831000</v>
      </c>
      <c r="BJ78" s="128">
        <v>104050683000</v>
      </c>
      <c r="BK78" s="128">
        <v>-22132237000</v>
      </c>
      <c r="BL78" s="128">
        <v>-21533949000</v>
      </c>
      <c r="BM78" s="128">
        <v>-20964660000</v>
      </c>
      <c r="BN78" s="128">
        <v>-21547036000</v>
      </c>
      <c r="BO78" s="128">
        <v>-22068737000</v>
      </c>
      <c r="BP78" s="128">
        <v>-21470449000</v>
      </c>
      <c r="BQ78" s="128">
        <v>-20964660000</v>
      </c>
      <c r="BR78" s="128">
        <v>-21528244000</v>
      </c>
      <c r="BS78" s="128">
        <v>-63500000</v>
      </c>
      <c r="BT78" s="128">
        <v>-63500000</v>
      </c>
      <c r="BU78" s="128">
        <v>0</v>
      </c>
      <c r="BV78" s="128">
        <v>-18792000</v>
      </c>
      <c r="BW78" s="128">
        <v>88155063000</v>
      </c>
      <c r="BX78" s="128">
        <v>113363537000</v>
      </c>
      <c r="BY78" s="128">
        <v>133411233000</v>
      </c>
      <c r="BZ78" s="128">
        <v>81123374000</v>
      </c>
      <c r="CA78" s="128">
        <v>481207043000</v>
      </c>
      <c r="CB78" s="128">
        <v>405908492000</v>
      </c>
      <c r="CC78" s="128">
        <v>388752612000</v>
      </c>
      <c r="CD78" s="128">
        <v>254792225000</v>
      </c>
      <c r="CE78" s="128">
        <v>204562354000</v>
      </c>
      <c r="CF78" s="128">
        <v>201792625000</v>
      </c>
      <c r="CG78" s="128">
        <v>198920247000</v>
      </c>
      <c r="CH78" s="128">
        <v>104650353000</v>
      </c>
      <c r="CI78" s="128">
        <v>70216051000</v>
      </c>
      <c r="CJ78" s="128">
        <v>64703359000</v>
      </c>
      <c r="CK78" s="128">
        <v>58608877000</v>
      </c>
      <c r="CL78" s="128">
        <v>47480166000</v>
      </c>
      <c r="CM78" s="128">
        <v>3260408000</v>
      </c>
      <c r="CN78" s="128">
        <v>2578191000</v>
      </c>
      <c r="CO78" s="128">
        <v>4032139000</v>
      </c>
      <c r="CP78" s="128">
        <v>2324737000</v>
      </c>
      <c r="CQ78" s="128">
        <v>198822689000</v>
      </c>
      <c r="CR78" s="128">
        <v>136385827000</v>
      </c>
      <c r="CS78" s="128">
        <v>124863917000</v>
      </c>
      <c r="CT78" s="128">
        <v>100032948000</v>
      </c>
      <c r="CU78" s="128">
        <v>6500000000</v>
      </c>
      <c r="CV78" s="128">
        <v>94975000000</v>
      </c>
      <c r="CW78" s="128">
        <v>85300000000</v>
      </c>
      <c r="CX78" s="128">
        <v>63500000000</v>
      </c>
      <c r="CY78" s="128">
        <v>2087374000</v>
      </c>
      <c r="CZ78" s="128">
        <v>2293979000</v>
      </c>
      <c r="DA78" s="128">
        <v>2625844000</v>
      </c>
      <c r="DB78" s="128">
        <v>1383295000</v>
      </c>
      <c r="DC78" s="128">
        <v>758946959000</v>
      </c>
      <c r="DD78" s="128">
        <v>704509867000</v>
      </c>
      <c r="DE78" s="128">
        <v>695640970000</v>
      </c>
      <c r="DF78" s="128">
        <v>576491142000</v>
      </c>
      <c r="DG78" s="16">
        <f t="shared" si="46"/>
        <v>1529909122000</v>
      </c>
      <c r="DH78" s="16">
        <f t="shared" si="47"/>
        <v>-1241145948000</v>
      </c>
      <c r="DI78" s="16">
        <f t="shared" si="48"/>
        <v>-169198610000</v>
      </c>
      <c r="DJ78" s="16">
        <f t="shared" si="49"/>
        <v>-22132237000</v>
      </c>
      <c r="DK78" s="16">
        <f t="shared" si="50"/>
        <v>97432327000</v>
      </c>
      <c r="DL78" s="57">
        <f t="shared" si="51"/>
        <v>6.3685042202134154E-2</v>
      </c>
      <c r="DM78" s="57">
        <f t="shared" si="52"/>
        <v>6.8016687837515716E-2</v>
      </c>
      <c r="DN78" s="58">
        <f t="shared" si="53"/>
        <v>0</v>
      </c>
      <c r="DO78" s="16">
        <f t="shared" si="54"/>
        <v>203177489500</v>
      </c>
      <c r="DP78" s="16">
        <f t="shared" si="55"/>
        <v>2190676500</v>
      </c>
      <c r="DQ78" s="61"/>
      <c r="DR78" s="62">
        <f t="shared" si="56"/>
        <v>1479644750000</v>
      </c>
      <c r="DS78" s="62">
        <f t="shared" si="57"/>
        <v>-1164314749000</v>
      </c>
      <c r="DT78" s="62">
        <f t="shared" si="58"/>
        <v>-171021327000</v>
      </c>
      <c r="DU78" s="62">
        <f t="shared" si="59"/>
        <v>-21533949000</v>
      </c>
      <c r="DV78" s="62">
        <f t="shared" si="60"/>
        <v>122774725000</v>
      </c>
      <c r="DW78" s="63">
        <f t="shared" si="61"/>
        <v>8.2975812268451604E-2</v>
      </c>
      <c r="DX78" s="63">
        <f t="shared" si="62"/>
        <v>9.0483777176815439E-2</v>
      </c>
      <c r="DY78" s="64">
        <f t="shared" si="63"/>
        <v>0</v>
      </c>
      <c r="DZ78" s="64">
        <f t="shared" si="64"/>
        <v>200356436000</v>
      </c>
      <c r="EA78" s="64">
        <f t="shared" si="65"/>
        <v>2459911500</v>
      </c>
      <c r="EB78" s="61"/>
      <c r="EC78" s="64">
        <f t="shared" si="66"/>
        <v>1470113908000</v>
      </c>
      <c r="ED78" s="64">
        <f t="shared" si="67"/>
        <v>-1108784739000</v>
      </c>
      <c r="EE78" s="64">
        <f t="shared" si="68"/>
        <v>-194013338000</v>
      </c>
      <c r="EF78" s="64">
        <f t="shared" si="69"/>
        <v>-20964660000</v>
      </c>
      <c r="EG78" s="64">
        <f t="shared" si="70"/>
        <v>146351171000</v>
      </c>
      <c r="EH78" s="63">
        <f t="shared" si="71"/>
        <v>9.9550905683969626E-2</v>
      </c>
      <c r="EI78" s="57">
        <f t="shared" si="72"/>
        <v>0.1105569502067046</v>
      </c>
      <c r="EJ78" s="64">
        <f t="shared" si="73"/>
        <v>0</v>
      </c>
      <c r="EK78" s="64">
        <f t="shared" si="74"/>
        <v>151785300000</v>
      </c>
      <c r="EL78" s="64">
        <f t="shared" si="75"/>
        <v>2004569500</v>
      </c>
      <c r="EM78" s="61"/>
      <c r="EN78" s="66">
        <f t="shared" si="76"/>
        <v>1493222593333.3333</v>
      </c>
      <c r="EO78" s="66">
        <f t="shared" si="76"/>
        <v>-1171415145333.3333</v>
      </c>
      <c r="EP78" s="66">
        <f t="shared" si="76"/>
        <v>-178077758333.33334</v>
      </c>
      <c r="EQ78" s="66">
        <f t="shared" si="43"/>
        <v>-21543615333.333332</v>
      </c>
      <c r="ER78" s="66">
        <f t="shared" si="77"/>
        <v>122186074333.33333</v>
      </c>
      <c r="ES78" s="63">
        <f t="shared" si="78"/>
        <v>8.1827099910520604E-2</v>
      </c>
      <c r="ET78" s="67">
        <f t="shared" si="79"/>
        <v>8.9119489262366874E-2</v>
      </c>
      <c r="EU78" s="66">
        <f t="shared" si="80"/>
        <v>0</v>
      </c>
      <c r="EV78" s="66">
        <f t="shared" si="81"/>
        <v>185106408500</v>
      </c>
      <c r="EW78" s="66">
        <f t="shared" si="81"/>
        <v>2218385833.3333335</v>
      </c>
      <c r="EX78" s="70"/>
      <c r="EY78" s="71" t="str">
        <f t="shared" si="82"/>
        <v>完整</v>
      </c>
      <c r="EZ78" s="71" t="str">
        <f t="shared" si="83"/>
        <v>完整</v>
      </c>
      <c r="FA78" s="71" t="str">
        <f t="shared" si="84"/>
        <v>完整</v>
      </c>
      <c r="FB78" s="71" t="str">
        <f t="shared" si="85"/>
        <v>选择</v>
      </c>
      <c r="FC78" s="71" t="str">
        <f t="shared" si="86"/>
        <v>选择</v>
      </c>
      <c r="FD78" s="72"/>
      <c r="FE78" s="72"/>
      <c r="FF78" s="72"/>
      <c r="FG78" s="72"/>
      <c r="FH78" s="72"/>
      <c r="FI78" s="72"/>
      <c r="FJ78" s="72"/>
      <c r="FK78" s="72"/>
      <c r="FL78" s="72"/>
      <c r="FM78" s="72"/>
      <c r="FN78" s="72"/>
      <c r="FO78" s="72"/>
      <c r="FP78" s="72"/>
      <c r="FQ78" s="72"/>
      <c r="FR78" s="72"/>
      <c r="FS78" s="72"/>
      <c r="FT78" s="72"/>
      <c r="FU78" s="72"/>
      <c r="FV78" s="72"/>
      <c r="FW78" s="72"/>
      <c r="FX78" s="72"/>
      <c r="FY78" s="72"/>
      <c r="FZ78" s="72"/>
      <c r="GA78" s="72"/>
      <c r="GB78" s="72"/>
      <c r="GC78" s="72"/>
      <c r="GD78" s="72"/>
      <c r="GE78" s="72"/>
      <c r="GF78" s="72"/>
      <c r="GG78" s="72"/>
      <c r="GH78" s="72"/>
      <c r="GI78" s="72"/>
      <c r="GJ78" s="72"/>
      <c r="GK78" s="72"/>
      <c r="GL78" s="72"/>
      <c r="GM78" s="72"/>
      <c r="GN78" s="72"/>
      <c r="GO78" s="72"/>
      <c r="GP78" s="72"/>
      <c r="GQ78" s="72"/>
      <c r="GR78" s="72"/>
      <c r="GS78" s="72"/>
      <c r="GT78" s="72"/>
      <c r="GU78" s="72"/>
      <c r="GV78" s="72"/>
      <c r="GW78" s="72"/>
      <c r="GX78" s="72"/>
      <c r="GY78" s="72"/>
      <c r="GZ78" s="72"/>
      <c r="HA78" s="72"/>
      <c r="HB78" s="72"/>
      <c r="HC78" s="72"/>
      <c r="HD78" s="72"/>
      <c r="HE78" s="72"/>
      <c r="HF78" s="72"/>
      <c r="HG78" s="72"/>
      <c r="HH78" s="72"/>
      <c r="HI78" s="72"/>
    </row>
    <row r="79" spans="1:217" s="3" customFormat="1" ht="12.75" customHeight="1" x14ac:dyDescent="0.25">
      <c r="A79" s="28" t="s">
        <v>243</v>
      </c>
      <c r="B79" s="134" t="str">
        <f t="shared" si="44"/>
        <v>C'BON COSMETICS CO LTD</v>
      </c>
      <c r="C79" s="29" t="s">
        <v>328</v>
      </c>
      <c r="D79" s="135" t="s">
        <v>311</v>
      </c>
      <c r="E79" s="35"/>
      <c r="H79" s="31" t="str">
        <f t="shared" si="45"/>
        <v xml:space="preserve"> </v>
      </c>
      <c r="I79" s="29"/>
      <c r="J79" s="29" t="str">
        <f>VLOOKUP(Z:Z,'[1]AP 2022'!FD78:FF181,2,FALSE)</f>
        <v>exclude</v>
      </c>
      <c r="K79" s="47" t="str">
        <f>VLOOKUP(Z:Z,'[1]AP 2022'!FD78:FF181,3,0)</f>
        <v>Consecutive loss</v>
      </c>
      <c r="L79" s="48"/>
      <c r="M79" s="125" t="s">
        <v>929</v>
      </c>
      <c r="N79" s="125" t="s">
        <v>930</v>
      </c>
      <c r="O79" s="125" t="s">
        <v>331</v>
      </c>
      <c r="P79" s="125" t="s">
        <v>931</v>
      </c>
      <c r="Q79" s="124"/>
      <c r="R79" s="125" t="s">
        <v>333</v>
      </c>
      <c r="S79" s="125" t="s">
        <v>932</v>
      </c>
      <c r="T79" s="125" t="s">
        <v>335</v>
      </c>
      <c r="U79" s="125" t="s">
        <v>321</v>
      </c>
      <c r="V79" s="125" t="s">
        <v>620</v>
      </c>
      <c r="W79" s="125" t="s">
        <v>933</v>
      </c>
      <c r="X79" s="124"/>
      <c r="Y79" s="124"/>
      <c r="Z79" s="125" t="s">
        <v>934</v>
      </c>
      <c r="AA79" s="128">
        <v>8525428000</v>
      </c>
      <c r="AB79" s="128">
        <v>9153473000</v>
      </c>
      <c r="AC79" s="128">
        <v>9101930000</v>
      </c>
      <c r="AD79" s="128">
        <v>11101799000</v>
      </c>
      <c r="AE79" s="128">
        <v>8525428000</v>
      </c>
      <c r="AF79" s="128">
        <v>9153473000</v>
      </c>
      <c r="AG79" s="128">
        <v>9101930000</v>
      </c>
      <c r="AH79" s="128">
        <v>11101799000</v>
      </c>
      <c r="AI79" s="125" t="s">
        <v>340</v>
      </c>
      <c r="AJ79" s="125" t="s">
        <v>340</v>
      </c>
      <c r="AK79" s="125" t="s">
        <v>340</v>
      </c>
      <c r="AL79" s="125" t="s">
        <v>340</v>
      </c>
      <c r="AM79" s="128">
        <v>8525428000</v>
      </c>
      <c r="AN79" s="128">
        <v>9153473000</v>
      </c>
      <c r="AO79" s="128">
        <v>9101930000</v>
      </c>
      <c r="AP79" s="128">
        <v>11101799000</v>
      </c>
      <c r="AQ79" s="125" t="s">
        <v>340</v>
      </c>
      <c r="AR79" s="125" t="s">
        <v>340</v>
      </c>
      <c r="AS79" s="125" t="s">
        <v>340</v>
      </c>
      <c r="AT79" s="125" t="s">
        <v>340</v>
      </c>
      <c r="AU79" s="128">
        <v>-1914542000</v>
      </c>
      <c r="AV79" s="128">
        <v>-1825327000</v>
      </c>
      <c r="AW79" s="128">
        <v>-1957085000</v>
      </c>
      <c r="AX79" s="128">
        <v>-2219117000</v>
      </c>
      <c r="AY79" s="128">
        <v>-160882000</v>
      </c>
      <c r="AZ79" s="128">
        <v>-170011000</v>
      </c>
      <c r="BA79" s="128">
        <v>-187046000</v>
      </c>
      <c r="BB79" s="128">
        <v>-230497000</v>
      </c>
      <c r="BC79" s="128">
        <v>-6323618000</v>
      </c>
      <c r="BD79" s="128">
        <v>-6740081000</v>
      </c>
      <c r="BE79" s="128">
        <v>-7637776000</v>
      </c>
      <c r="BF79" s="128">
        <v>-8667057000</v>
      </c>
      <c r="BG79" s="128">
        <v>126386000</v>
      </c>
      <c r="BH79" s="128">
        <v>418054000</v>
      </c>
      <c r="BI79" s="128">
        <v>-679977000</v>
      </c>
      <c r="BJ79" s="128">
        <v>-14872000</v>
      </c>
      <c r="BK79" s="128">
        <v>-324933000</v>
      </c>
      <c r="BL79" s="128">
        <v>-512863000</v>
      </c>
      <c r="BM79" s="128">
        <v>-286862000</v>
      </c>
      <c r="BN79" s="128">
        <v>-647879000</v>
      </c>
      <c r="BO79" s="128">
        <v>-324933000</v>
      </c>
      <c r="BP79" s="128">
        <v>-512863000</v>
      </c>
      <c r="BQ79" s="128">
        <v>-286862000</v>
      </c>
      <c r="BR79" s="128">
        <v>-589879000</v>
      </c>
      <c r="BS79" s="128">
        <v>0</v>
      </c>
      <c r="BT79" s="128">
        <v>0</v>
      </c>
      <c r="BU79" s="128">
        <v>0</v>
      </c>
      <c r="BV79" s="128">
        <v>-58000000</v>
      </c>
      <c r="BW79" s="128">
        <v>-421768000</v>
      </c>
      <c r="BX79" s="128">
        <v>44872000</v>
      </c>
      <c r="BY79" s="128">
        <v>-621872000</v>
      </c>
      <c r="BZ79" s="128">
        <v>-1070075000</v>
      </c>
      <c r="CA79" s="128">
        <v>5967985000</v>
      </c>
      <c r="CB79" s="128">
        <v>4852086000</v>
      </c>
      <c r="CC79" s="128">
        <v>4401315000</v>
      </c>
      <c r="CD79" s="128">
        <v>4915566000</v>
      </c>
      <c r="CE79" s="128">
        <v>964276000</v>
      </c>
      <c r="CF79" s="128">
        <v>870659000</v>
      </c>
      <c r="CG79" s="128">
        <v>944509000</v>
      </c>
      <c r="CH79" s="128">
        <v>882334000</v>
      </c>
      <c r="CI79" s="128">
        <v>836587000</v>
      </c>
      <c r="CJ79" s="128">
        <v>756929000</v>
      </c>
      <c r="CK79" s="128">
        <v>898212000</v>
      </c>
      <c r="CL79" s="128">
        <v>685411000</v>
      </c>
      <c r="CM79" s="128">
        <v>185088000</v>
      </c>
      <c r="CN79" s="128">
        <v>424751000</v>
      </c>
      <c r="CO79" s="128">
        <v>234802000</v>
      </c>
      <c r="CP79" s="128">
        <v>194139000</v>
      </c>
      <c r="CQ79" s="128">
        <v>3982034000</v>
      </c>
      <c r="CR79" s="128">
        <v>2799747000</v>
      </c>
      <c r="CS79" s="128">
        <v>2323792000</v>
      </c>
      <c r="CT79" s="128">
        <v>3153682000</v>
      </c>
      <c r="CU79" s="125" t="s">
        <v>340</v>
      </c>
      <c r="CV79" s="125" t="s">
        <v>340</v>
      </c>
      <c r="CW79" s="125" t="s">
        <v>340</v>
      </c>
      <c r="CX79" s="125" t="s">
        <v>340</v>
      </c>
      <c r="CY79" s="128">
        <v>1210423000</v>
      </c>
      <c r="CZ79" s="128">
        <v>1073175000</v>
      </c>
      <c r="DA79" s="128">
        <v>1131339000</v>
      </c>
      <c r="DB79" s="128">
        <v>1153416000</v>
      </c>
      <c r="DC79" s="128">
        <v>8838730000</v>
      </c>
      <c r="DD79" s="128">
        <v>9563362000</v>
      </c>
      <c r="DE79" s="128">
        <v>9564741000</v>
      </c>
      <c r="DF79" s="128">
        <v>10229960000</v>
      </c>
      <c r="DG79" s="16">
        <f t="shared" si="46"/>
        <v>8525428000</v>
      </c>
      <c r="DH79" s="16">
        <f t="shared" si="47"/>
        <v>-1914542000</v>
      </c>
      <c r="DI79" s="16">
        <f t="shared" si="48"/>
        <v>-6484500000</v>
      </c>
      <c r="DJ79" s="16">
        <f t="shared" si="49"/>
        <v>-324933000</v>
      </c>
      <c r="DK79" s="16">
        <f t="shared" si="50"/>
        <v>-198547000</v>
      </c>
      <c r="DL79" s="57">
        <f t="shared" si="51"/>
        <v>-2.3288801453721739E-2</v>
      </c>
      <c r="DM79" s="57">
        <f t="shared" si="52"/>
        <v>-2.275877681905324E-2</v>
      </c>
      <c r="DN79" s="58">
        <f t="shared" si="53"/>
        <v>-160882000</v>
      </c>
      <c r="DO79" s="16">
        <f t="shared" si="54"/>
        <v>917467500</v>
      </c>
      <c r="DP79" s="16">
        <f t="shared" si="55"/>
        <v>1141799000</v>
      </c>
      <c r="DQ79" s="61"/>
      <c r="DR79" s="62">
        <f t="shared" si="56"/>
        <v>9153473000</v>
      </c>
      <c r="DS79" s="62">
        <f t="shared" si="57"/>
        <v>-1825327000</v>
      </c>
      <c r="DT79" s="62">
        <f t="shared" si="58"/>
        <v>-6910092000</v>
      </c>
      <c r="DU79" s="62">
        <f t="shared" si="59"/>
        <v>-512863000</v>
      </c>
      <c r="DV79" s="62">
        <f t="shared" si="60"/>
        <v>-94809000</v>
      </c>
      <c r="DW79" s="63">
        <f t="shared" si="61"/>
        <v>-1.0357707943203634E-2</v>
      </c>
      <c r="DX79" s="63">
        <f t="shared" si="62"/>
        <v>-1.0251525634707073E-2</v>
      </c>
      <c r="DY79" s="64">
        <f t="shared" si="63"/>
        <v>-170011000</v>
      </c>
      <c r="DZ79" s="64">
        <f t="shared" si="64"/>
        <v>907584000</v>
      </c>
      <c r="EA79" s="64">
        <f t="shared" si="65"/>
        <v>1102257000</v>
      </c>
      <c r="EB79" s="61"/>
      <c r="EC79" s="64">
        <f t="shared" si="66"/>
        <v>9101930000</v>
      </c>
      <c r="ED79" s="64">
        <f t="shared" si="67"/>
        <v>-1957085000</v>
      </c>
      <c r="EE79" s="64">
        <f t="shared" si="68"/>
        <v>-7824822000</v>
      </c>
      <c r="EF79" s="64">
        <f t="shared" si="69"/>
        <v>-286862000</v>
      </c>
      <c r="EG79" s="64">
        <f t="shared" si="70"/>
        <v>-966839000</v>
      </c>
      <c r="EH79" s="63">
        <f t="shared" si="71"/>
        <v>-0.10622351523248366</v>
      </c>
      <c r="EI79" s="57">
        <f t="shared" si="72"/>
        <v>-9.6023555610422681E-2</v>
      </c>
      <c r="EJ79" s="64">
        <f t="shared" si="73"/>
        <v>-187046000</v>
      </c>
      <c r="EK79" s="64">
        <f t="shared" si="74"/>
        <v>913421500</v>
      </c>
      <c r="EL79" s="64">
        <f t="shared" si="75"/>
        <v>1142377500</v>
      </c>
      <c r="EM79" s="61"/>
      <c r="EN79" s="66">
        <f t="shared" si="76"/>
        <v>8926943666.666666</v>
      </c>
      <c r="EO79" s="66">
        <f t="shared" si="76"/>
        <v>-1898984666.6666667</v>
      </c>
      <c r="EP79" s="66">
        <f t="shared" si="76"/>
        <v>-7073138000</v>
      </c>
      <c r="EQ79" s="66">
        <f t="shared" si="43"/>
        <v>-374886000</v>
      </c>
      <c r="ER79" s="66">
        <f t="shared" si="77"/>
        <v>-420065000.00000095</v>
      </c>
      <c r="ES79" s="63">
        <f t="shared" si="78"/>
        <v>-4.7055858722233189E-2</v>
      </c>
      <c r="ET79" s="67">
        <f t="shared" si="79"/>
        <v>-4.494111592065151E-2</v>
      </c>
      <c r="EU79" s="66">
        <f t="shared" si="80"/>
        <v>172646333.33333334</v>
      </c>
      <c r="EV79" s="66">
        <f t="shared" si="81"/>
        <v>912824333.33333337</v>
      </c>
      <c r="EW79" s="66">
        <f t="shared" si="81"/>
        <v>1128811166.6666667</v>
      </c>
      <c r="EX79" s="70"/>
      <c r="EY79" s="151" t="str">
        <f t="shared" si="82"/>
        <v>完整</v>
      </c>
      <c r="EZ79" s="151" t="str">
        <f t="shared" si="83"/>
        <v>完整</v>
      </c>
      <c r="FA79" s="151" t="str">
        <f t="shared" si="84"/>
        <v>完整</v>
      </c>
      <c r="FB79" s="151" t="str">
        <f t="shared" si="85"/>
        <v>选择</v>
      </c>
      <c r="FC79" s="151" t="str">
        <f t="shared" si="86"/>
        <v>删除</v>
      </c>
      <c r="FD79" s="72"/>
      <c r="FE79" s="72"/>
      <c r="FF79" s="72"/>
      <c r="FG79" s="72"/>
      <c r="FH79" s="72"/>
      <c r="FI79" s="72"/>
      <c r="FJ79" s="72"/>
      <c r="FK79" s="72"/>
      <c r="FL79" s="72"/>
      <c r="FM79" s="72"/>
      <c r="FN79" s="72"/>
      <c r="FO79" s="72"/>
      <c r="FP79" s="72"/>
      <c r="FQ79" s="72"/>
      <c r="FR79" s="72"/>
      <c r="FS79" s="72"/>
      <c r="FT79" s="72"/>
      <c r="FU79" s="72"/>
      <c r="FV79" s="72"/>
      <c r="FW79" s="72"/>
      <c r="FX79" s="72"/>
      <c r="FY79" s="72"/>
      <c r="FZ79" s="72"/>
      <c r="GA79" s="72"/>
      <c r="GB79" s="72"/>
      <c r="GC79" s="72"/>
      <c r="GD79" s="72"/>
      <c r="GE79" s="72"/>
      <c r="GF79" s="72"/>
      <c r="GG79" s="72"/>
      <c r="GH79" s="72"/>
      <c r="GI79" s="72"/>
      <c r="GJ79" s="72"/>
      <c r="GK79" s="72"/>
      <c r="GL79" s="72"/>
      <c r="GM79" s="72"/>
      <c r="GN79" s="72"/>
      <c r="GO79" s="72"/>
      <c r="GP79" s="72"/>
      <c r="GQ79" s="72"/>
      <c r="GR79" s="72"/>
      <c r="GS79" s="72"/>
      <c r="GT79" s="72"/>
      <c r="GU79" s="72"/>
      <c r="GV79" s="72"/>
      <c r="GW79" s="72"/>
      <c r="GX79" s="72"/>
      <c r="GY79" s="72"/>
      <c r="GZ79" s="72"/>
      <c r="HA79" s="72"/>
      <c r="HB79" s="72"/>
      <c r="HC79" s="72"/>
      <c r="HD79" s="72"/>
      <c r="HE79" s="72"/>
      <c r="HF79" s="72"/>
      <c r="HG79" s="72"/>
      <c r="HH79" s="72"/>
      <c r="HI79" s="72"/>
    </row>
    <row r="80" spans="1:217" s="3" customFormat="1" ht="12.75" customHeight="1" x14ac:dyDescent="0.25">
      <c r="A80" s="28" t="s">
        <v>244</v>
      </c>
      <c r="B80" s="134" t="str">
        <f t="shared" si="44"/>
        <v>COREANA COSMETICS CO.,LTD.</v>
      </c>
      <c r="C80" s="29" t="s">
        <v>341</v>
      </c>
      <c r="D80" s="29"/>
      <c r="E80" s="35"/>
      <c r="H80" s="31">
        <f t="shared" si="45"/>
        <v>1.3851248258788742E-2</v>
      </c>
      <c r="I80" s="29"/>
      <c r="J80" s="29" t="str">
        <f>VLOOKUP(Z:Z,'[1]AP 2022'!FD79:FF181,2,FALSE)</f>
        <v>include before</v>
      </c>
      <c r="K80" s="47">
        <f>VLOOKUP(Z:Z,'[1]AP 2022'!FD79:FF181,3,0)</f>
        <v>0</v>
      </c>
      <c r="L80" s="48"/>
      <c r="M80" s="125" t="s">
        <v>935</v>
      </c>
      <c r="N80" s="125" t="s">
        <v>936</v>
      </c>
      <c r="O80" s="125" t="s">
        <v>331</v>
      </c>
      <c r="P80" s="142" t="s">
        <v>937</v>
      </c>
      <c r="Q80" s="124"/>
      <c r="R80" s="125" t="s">
        <v>363</v>
      </c>
      <c r="S80" s="125" t="s">
        <v>938</v>
      </c>
      <c r="T80" s="125" t="s">
        <v>335</v>
      </c>
      <c r="U80" s="125" t="s">
        <v>321</v>
      </c>
      <c r="V80" s="125" t="s">
        <v>939</v>
      </c>
      <c r="W80" s="125" t="s">
        <v>940</v>
      </c>
      <c r="X80" s="125" t="s">
        <v>941</v>
      </c>
      <c r="Y80" s="125" t="s">
        <v>942</v>
      </c>
      <c r="Z80" s="125" t="s">
        <v>943</v>
      </c>
      <c r="AA80" s="128">
        <v>80393939000</v>
      </c>
      <c r="AB80" s="128">
        <v>87050015000</v>
      </c>
      <c r="AC80" s="128">
        <v>86658437000</v>
      </c>
      <c r="AD80" s="128">
        <v>117202282000</v>
      </c>
      <c r="AE80" s="128">
        <v>80393939000</v>
      </c>
      <c r="AF80" s="128">
        <v>87050015000</v>
      </c>
      <c r="AG80" s="128">
        <v>86658437000</v>
      </c>
      <c r="AH80" s="128">
        <v>117202282000</v>
      </c>
      <c r="AI80" s="125" t="s">
        <v>340</v>
      </c>
      <c r="AJ80" s="125" t="s">
        <v>340</v>
      </c>
      <c r="AK80" s="125" t="s">
        <v>340</v>
      </c>
      <c r="AL80" s="125" t="s">
        <v>340</v>
      </c>
      <c r="AM80" s="128">
        <v>80393939000</v>
      </c>
      <c r="AN80" s="128">
        <v>87050015000</v>
      </c>
      <c r="AO80" s="128">
        <v>86658437000</v>
      </c>
      <c r="AP80" s="128">
        <v>117202282000</v>
      </c>
      <c r="AQ80" s="125" t="s">
        <v>340</v>
      </c>
      <c r="AR80" s="125" t="s">
        <v>340</v>
      </c>
      <c r="AS80" s="125" t="s">
        <v>340</v>
      </c>
      <c r="AT80" s="125" t="s">
        <v>340</v>
      </c>
      <c r="AU80" s="128">
        <v>-45650953000</v>
      </c>
      <c r="AV80" s="128">
        <v>-46771327000</v>
      </c>
      <c r="AW80" s="128">
        <v>-46587117000</v>
      </c>
      <c r="AX80" s="128">
        <v>-64070756000</v>
      </c>
      <c r="AY80" s="125" t="s">
        <v>340</v>
      </c>
      <c r="AZ80" s="125" t="s">
        <v>340</v>
      </c>
      <c r="BA80" s="125" t="s">
        <v>340</v>
      </c>
      <c r="BB80" s="125" t="s">
        <v>340</v>
      </c>
      <c r="BC80" s="128">
        <v>-31339942000</v>
      </c>
      <c r="BD80" s="128">
        <v>-33881867000</v>
      </c>
      <c r="BE80" s="128">
        <v>-37392288000</v>
      </c>
      <c r="BF80" s="128">
        <v>-45837609000</v>
      </c>
      <c r="BG80" s="128">
        <v>3403044000</v>
      </c>
      <c r="BH80" s="128">
        <v>6396821000</v>
      </c>
      <c r="BI80" s="128">
        <v>2679032000</v>
      </c>
      <c r="BJ80" s="128">
        <v>7293917000</v>
      </c>
      <c r="BK80" s="128">
        <v>-2526961000</v>
      </c>
      <c r="BL80" s="128">
        <v>-2956875000</v>
      </c>
      <c r="BM80" s="128">
        <v>-3523511000</v>
      </c>
      <c r="BN80" s="128">
        <v>-4227142000</v>
      </c>
      <c r="BO80" s="128">
        <v>-1977858000</v>
      </c>
      <c r="BP80" s="128">
        <v>-2358470000</v>
      </c>
      <c r="BQ80" s="128">
        <v>-2943779000</v>
      </c>
      <c r="BR80" s="128">
        <v>-3717953000</v>
      </c>
      <c r="BS80" s="128">
        <v>-549103000</v>
      </c>
      <c r="BT80" s="128">
        <v>-598405000</v>
      </c>
      <c r="BU80" s="128">
        <v>-579732000</v>
      </c>
      <c r="BV80" s="128">
        <v>-509189000</v>
      </c>
      <c r="BW80" s="128">
        <v>1516112000</v>
      </c>
      <c r="BX80" s="128">
        <v>3323120000</v>
      </c>
      <c r="BY80" s="128">
        <v>-495643000</v>
      </c>
      <c r="BZ80" s="128">
        <v>592477000</v>
      </c>
      <c r="CA80" s="128">
        <v>35681731000</v>
      </c>
      <c r="CB80" s="128">
        <v>41128567000</v>
      </c>
      <c r="CC80" s="128">
        <v>35514739000</v>
      </c>
      <c r="CD80" s="128">
        <v>38183955000</v>
      </c>
      <c r="CE80" s="128">
        <v>13160363000</v>
      </c>
      <c r="CF80" s="128">
        <v>13170299000</v>
      </c>
      <c r="CG80" s="128">
        <v>14150936000</v>
      </c>
      <c r="CH80" s="128">
        <v>16476988000</v>
      </c>
      <c r="CI80" s="128">
        <v>7132835000</v>
      </c>
      <c r="CJ80" s="128">
        <v>8746534000</v>
      </c>
      <c r="CK80" s="128">
        <v>10196247000</v>
      </c>
      <c r="CL80" s="128">
        <v>10194207000</v>
      </c>
      <c r="CM80" s="128">
        <v>125234000</v>
      </c>
      <c r="CN80" s="128">
        <v>3088473000</v>
      </c>
      <c r="CO80" s="128">
        <v>224791000</v>
      </c>
      <c r="CP80" s="128">
        <v>280656000</v>
      </c>
      <c r="CQ80" s="128">
        <v>14190895000</v>
      </c>
      <c r="CR80" s="128">
        <v>15211581000</v>
      </c>
      <c r="CS80" s="128">
        <v>9878498000</v>
      </c>
      <c r="CT80" s="128">
        <v>10404840000</v>
      </c>
      <c r="CU80" s="125" t="s">
        <v>340</v>
      </c>
      <c r="CV80" s="125" t="s">
        <v>340</v>
      </c>
      <c r="CW80" s="125" t="s">
        <v>340</v>
      </c>
      <c r="CX80" s="125" t="s">
        <v>340</v>
      </c>
      <c r="CY80" s="128">
        <v>365641000</v>
      </c>
      <c r="CZ80" s="128">
        <v>491042000</v>
      </c>
      <c r="DA80" s="128">
        <v>589262000</v>
      </c>
      <c r="DB80" s="125" t="s">
        <v>340</v>
      </c>
      <c r="DC80" s="128">
        <v>105528766000</v>
      </c>
      <c r="DD80" s="128">
        <v>113499141000</v>
      </c>
      <c r="DE80" s="128">
        <v>114172898000</v>
      </c>
      <c r="DF80" s="128">
        <v>122298260000</v>
      </c>
      <c r="DG80" s="16">
        <f t="shared" si="46"/>
        <v>80393939000</v>
      </c>
      <c r="DH80" s="16">
        <f t="shared" si="47"/>
        <v>-45650953000</v>
      </c>
      <c r="DI80" s="16">
        <f t="shared" si="48"/>
        <v>-31339942000</v>
      </c>
      <c r="DJ80" s="16">
        <f t="shared" si="49"/>
        <v>-2526961000</v>
      </c>
      <c r="DK80" s="16">
        <f t="shared" si="50"/>
        <v>876083000</v>
      </c>
      <c r="DL80" s="57">
        <f t="shared" si="51"/>
        <v>1.0897376231310174E-2</v>
      </c>
      <c r="DM80" s="57">
        <f t="shared" si="52"/>
        <v>1.101743739167213E-2</v>
      </c>
      <c r="DN80" s="58" t="str">
        <f t="shared" si="53"/>
        <v>n.a.</v>
      </c>
      <c r="DO80" s="16">
        <f t="shared" si="54"/>
        <v>13165331000</v>
      </c>
      <c r="DP80" s="16">
        <f t="shared" si="55"/>
        <v>428341500</v>
      </c>
      <c r="DQ80" s="61"/>
      <c r="DR80" s="62">
        <f t="shared" si="56"/>
        <v>87050015000</v>
      </c>
      <c r="DS80" s="62">
        <f t="shared" si="57"/>
        <v>-46771327000</v>
      </c>
      <c r="DT80" s="62">
        <f t="shared" si="58"/>
        <v>-33881867000</v>
      </c>
      <c r="DU80" s="62">
        <f t="shared" si="59"/>
        <v>-2956875000</v>
      </c>
      <c r="DV80" s="62">
        <f t="shared" si="60"/>
        <v>3439946000</v>
      </c>
      <c r="DW80" s="63">
        <f t="shared" si="61"/>
        <v>3.9516891524946897E-2</v>
      </c>
      <c r="DX80" s="63">
        <f t="shared" si="62"/>
        <v>4.1142724089846164E-2</v>
      </c>
      <c r="DY80" s="64" t="str">
        <f t="shared" si="63"/>
        <v>n.a.</v>
      </c>
      <c r="DZ80" s="64">
        <f t="shared" si="64"/>
        <v>13660617500</v>
      </c>
      <c r="EA80" s="64">
        <f t="shared" si="65"/>
        <v>540152000</v>
      </c>
      <c r="EB80" s="61"/>
      <c r="EC80" s="64">
        <f t="shared" si="66"/>
        <v>86658437000</v>
      </c>
      <c r="ED80" s="64">
        <f t="shared" si="67"/>
        <v>-46587117000</v>
      </c>
      <c r="EE80" s="64">
        <f t="shared" si="68"/>
        <v>-37392288000</v>
      </c>
      <c r="EF80" s="64">
        <f t="shared" si="69"/>
        <v>-3523511000</v>
      </c>
      <c r="EG80" s="64">
        <f t="shared" si="70"/>
        <v>-844479000</v>
      </c>
      <c r="EH80" s="63">
        <f t="shared" si="71"/>
        <v>-9.7449138160661721E-3</v>
      </c>
      <c r="EI80" s="57">
        <f t="shared" si="72"/>
        <v>-9.6508669493940071E-3</v>
      </c>
      <c r="EJ80" s="64" t="str">
        <f t="shared" si="73"/>
        <v>n.a.</v>
      </c>
      <c r="EK80" s="64">
        <f t="shared" si="74"/>
        <v>15313962000</v>
      </c>
      <c r="EL80" s="64" t="e">
        <f t="shared" si="75"/>
        <v>#VALUE!</v>
      </c>
      <c r="EM80" s="61"/>
      <c r="EN80" s="66">
        <f t="shared" si="76"/>
        <v>84700797000</v>
      </c>
      <c r="EO80" s="66">
        <f t="shared" si="76"/>
        <v>-46336465666.666664</v>
      </c>
      <c r="EP80" s="66">
        <f t="shared" si="76"/>
        <v>-34204699000</v>
      </c>
      <c r="EQ80" s="66">
        <f t="shared" si="43"/>
        <v>-3002449000</v>
      </c>
      <c r="ER80" s="66">
        <f t="shared" si="77"/>
        <v>1157183333.3333359</v>
      </c>
      <c r="ES80" s="63">
        <f t="shared" si="78"/>
        <v>1.366201233423265E-2</v>
      </c>
      <c r="ET80" s="67">
        <f t="shared" si="79"/>
        <v>1.3851248258788742E-2</v>
      </c>
      <c r="EU80" s="66" t="e">
        <f t="shared" si="80"/>
        <v>#VALUE!</v>
      </c>
      <c r="EV80" s="66">
        <f t="shared" si="81"/>
        <v>14046636833.333334</v>
      </c>
      <c r="EW80" s="66" t="e">
        <f t="shared" si="81"/>
        <v>#VALUE!</v>
      </c>
      <c r="EX80" s="70"/>
      <c r="EY80" s="71" t="str">
        <f t="shared" si="82"/>
        <v>完整</v>
      </c>
      <c r="EZ80" s="71" t="str">
        <f t="shared" si="83"/>
        <v>完整</v>
      </c>
      <c r="FA80" s="71" t="str">
        <f t="shared" si="84"/>
        <v>完整</v>
      </c>
      <c r="FB80" s="71" t="str">
        <f t="shared" si="85"/>
        <v>选择</v>
      </c>
      <c r="FC80" s="71" t="str">
        <f t="shared" si="86"/>
        <v>选择</v>
      </c>
      <c r="FD80" s="72"/>
      <c r="FE80" s="72"/>
      <c r="FF80" s="72"/>
      <c r="FG80" s="72"/>
      <c r="FH80" s="72"/>
      <c r="FI80" s="72"/>
      <c r="FJ80" s="72"/>
      <c r="FK80" s="72"/>
      <c r="FL80" s="72"/>
      <c r="FM80" s="72"/>
      <c r="FN80" s="72"/>
      <c r="FO80" s="72"/>
      <c r="FP80" s="72"/>
      <c r="FQ80" s="72"/>
      <c r="FR80" s="72"/>
      <c r="FS80" s="72"/>
      <c r="FT80" s="72"/>
      <c r="FU80" s="72"/>
      <c r="FV80" s="72"/>
      <c r="FW80" s="72"/>
      <c r="FX80" s="72"/>
      <c r="FY80" s="72"/>
      <c r="FZ80" s="72"/>
      <c r="GA80" s="72"/>
      <c r="GB80" s="72"/>
      <c r="GC80" s="72"/>
      <c r="GD80" s="72"/>
      <c r="GE80" s="72"/>
      <c r="GF80" s="72"/>
      <c r="GG80" s="72"/>
      <c r="GH80" s="72"/>
      <c r="GI80" s="72"/>
      <c r="GJ80" s="72"/>
      <c r="GK80" s="72"/>
      <c r="GL80" s="72"/>
      <c r="GM80" s="72"/>
      <c r="GN80" s="72"/>
      <c r="GO80" s="72"/>
      <c r="GP80" s="72"/>
      <c r="GQ80" s="72"/>
      <c r="GR80" s="72"/>
      <c r="GS80" s="72"/>
      <c r="GT80" s="72"/>
      <c r="GU80" s="72"/>
      <c r="GV80" s="72"/>
      <c r="GW80" s="72"/>
      <c r="GX80" s="72"/>
      <c r="GY80" s="72"/>
      <c r="GZ80" s="72"/>
      <c r="HA80" s="72"/>
      <c r="HB80" s="72"/>
      <c r="HC80" s="72"/>
      <c r="HD80" s="72"/>
      <c r="HE80" s="72"/>
      <c r="HF80" s="72"/>
      <c r="HG80" s="72"/>
      <c r="HH80" s="72"/>
      <c r="HI80" s="72"/>
    </row>
    <row r="81" spans="1:217" s="3" customFormat="1" ht="12.75" customHeight="1" x14ac:dyDescent="0.25">
      <c r="A81" s="28" t="s">
        <v>245</v>
      </c>
      <c r="B81" s="134" t="str">
        <f t="shared" si="44"/>
        <v>COTA CO.,LTD.</v>
      </c>
      <c r="C81" s="29" t="s">
        <v>328</v>
      </c>
      <c r="D81" s="137" t="s">
        <v>310</v>
      </c>
      <c r="E81" s="35"/>
      <c r="F81" s="34"/>
      <c r="H81" s="31" t="str">
        <f t="shared" si="45"/>
        <v xml:space="preserve"> </v>
      </c>
      <c r="I81" s="29"/>
      <c r="J81" s="29" t="str">
        <f>VLOOKUP(Z:Z,'[1]AP 2022'!FD80:FF181,2,FALSE)</f>
        <v>exclude</v>
      </c>
      <c r="K81" s="47" t="str">
        <f>VLOOKUP(Z:Z,'[1]AP 2022'!FD80:FF181,3,0)</f>
        <v>Insufficient financial data</v>
      </c>
      <c r="L81" s="48"/>
      <c r="M81" s="125" t="s">
        <v>944</v>
      </c>
      <c r="N81" s="125" t="s">
        <v>945</v>
      </c>
      <c r="O81" s="125" t="s">
        <v>331</v>
      </c>
      <c r="P81" s="125" t="s">
        <v>946</v>
      </c>
      <c r="Q81" s="124"/>
      <c r="R81" s="125" t="s">
        <v>333</v>
      </c>
      <c r="S81" s="125" t="s">
        <v>947</v>
      </c>
      <c r="T81" s="125" t="s">
        <v>335</v>
      </c>
      <c r="U81" s="125" t="s">
        <v>321</v>
      </c>
      <c r="V81" s="125" t="s">
        <v>948</v>
      </c>
      <c r="W81" s="125" t="s">
        <v>949</v>
      </c>
      <c r="X81" s="124"/>
      <c r="Y81" s="124"/>
      <c r="Z81" s="125" t="s">
        <v>950</v>
      </c>
      <c r="AA81" s="125" t="s">
        <v>340</v>
      </c>
      <c r="AB81" s="125" t="s">
        <v>340</v>
      </c>
      <c r="AC81" s="125" t="s">
        <v>340</v>
      </c>
      <c r="AD81" s="125" t="s">
        <v>340</v>
      </c>
      <c r="AE81" s="125" t="s">
        <v>340</v>
      </c>
      <c r="AF81" s="125" t="s">
        <v>340</v>
      </c>
      <c r="AG81" s="125" t="s">
        <v>340</v>
      </c>
      <c r="AH81" s="125" t="s">
        <v>340</v>
      </c>
      <c r="AI81" s="125" t="s">
        <v>340</v>
      </c>
      <c r="AJ81" s="125" t="s">
        <v>340</v>
      </c>
      <c r="AK81" s="125" t="s">
        <v>340</v>
      </c>
      <c r="AL81" s="125" t="s">
        <v>340</v>
      </c>
      <c r="AM81" s="125" t="s">
        <v>340</v>
      </c>
      <c r="AN81" s="125" t="s">
        <v>340</v>
      </c>
      <c r="AO81" s="125" t="s">
        <v>340</v>
      </c>
      <c r="AP81" s="125" t="s">
        <v>340</v>
      </c>
      <c r="AQ81" s="125" t="s">
        <v>340</v>
      </c>
      <c r="AR81" s="125" t="s">
        <v>340</v>
      </c>
      <c r="AS81" s="125" t="s">
        <v>340</v>
      </c>
      <c r="AT81" s="125" t="s">
        <v>340</v>
      </c>
      <c r="AU81" s="125" t="s">
        <v>340</v>
      </c>
      <c r="AV81" s="125" t="s">
        <v>340</v>
      </c>
      <c r="AW81" s="125" t="s">
        <v>340</v>
      </c>
      <c r="AX81" s="125" t="s">
        <v>340</v>
      </c>
      <c r="AY81" s="125" t="s">
        <v>340</v>
      </c>
      <c r="AZ81" s="125" t="s">
        <v>340</v>
      </c>
      <c r="BA81" s="125" t="s">
        <v>340</v>
      </c>
      <c r="BB81" s="125" t="s">
        <v>340</v>
      </c>
      <c r="BC81" s="125" t="s">
        <v>340</v>
      </c>
      <c r="BD81" s="125" t="s">
        <v>340</v>
      </c>
      <c r="BE81" s="125" t="s">
        <v>340</v>
      </c>
      <c r="BF81" s="125" t="s">
        <v>340</v>
      </c>
      <c r="BG81" s="125" t="s">
        <v>340</v>
      </c>
      <c r="BH81" s="125" t="s">
        <v>340</v>
      </c>
      <c r="BI81" s="125" t="s">
        <v>340</v>
      </c>
      <c r="BJ81" s="125" t="s">
        <v>340</v>
      </c>
      <c r="BK81" s="125" t="s">
        <v>340</v>
      </c>
      <c r="BL81" s="125" t="s">
        <v>340</v>
      </c>
      <c r="BM81" s="125" t="s">
        <v>340</v>
      </c>
      <c r="BN81" s="125" t="s">
        <v>340</v>
      </c>
      <c r="BO81" s="125" t="s">
        <v>340</v>
      </c>
      <c r="BP81" s="125" t="s">
        <v>340</v>
      </c>
      <c r="BQ81" s="125" t="s">
        <v>340</v>
      </c>
      <c r="BR81" s="125" t="s">
        <v>340</v>
      </c>
      <c r="BS81" s="125" t="s">
        <v>340</v>
      </c>
      <c r="BT81" s="125" t="s">
        <v>340</v>
      </c>
      <c r="BU81" s="125" t="s">
        <v>340</v>
      </c>
      <c r="BV81" s="125" t="s">
        <v>340</v>
      </c>
      <c r="BW81" s="125" t="s">
        <v>340</v>
      </c>
      <c r="BX81" s="125" t="s">
        <v>340</v>
      </c>
      <c r="BY81" s="125" t="s">
        <v>340</v>
      </c>
      <c r="BZ81" s="125" t="s">
        <v>340</v>
      </c>
      <c r="CA81" s="125" t="s">
        <v>340</v>
      </c>
      <c r="CB81" s="125" t="s">
        <v>340</v>
      </c>
      <c r="CC81" s="125" t="s">
        <v>340</v>
      </c>
      <c r="CD81" s="125" t="s">
        <v>340</v>
      </c>
      <c r="CE81" s="125" t="s">
        <v>340</v>
      </c>
      <c r="CF81" s="125" t="s">
        <v>340</v>
      </c>
      <c r="CG81" s="125" t="s">
        <v>340</v>
      </c>
      <c r="CH81" s="125" t="s">
        <v>340</v>
      </c>
      <c r="CI81" s="125" t="s">
        <v>340</v>
      </c>
      <c r="CJ81" s="125" t="s">
        <v>340</v>
      </c>
      <c r="CK81" s="125" t="s">
        <v>340</v>
      </c>
      <c r="CL81" s="125" t="s">
        <v>340</v>
      </c>
      <c r="CM81" s="125" t="s">
        <v>340</v>
      </c>
      <c r="CN81" s="125" t="s">
        <v>340</v>
      </c>
      <c r="CO81" s="125" t="s">
        <v>340</v>
      </c>
      <c r="CP81" s="125" t="s">
        <v>340</v>
      </c>
      <c r="CQ81" s="125" t="s">
        <v>340</v>
      </c>
      <c r="CR81" s="125" t="s">
        <v>340</v>
      </c>
      <c r="CS81" s="125" t="s">
        <v>340</v>
      </c>
      <c r="CT81" s="125" t="s">
        <v>340</v>
      </c>
      <c r="CU81" s="125" t="s">
        <v>340</v>
      </c>
      <c r="CV81" s="125" t="s">
        <v>340</v>
      </c>
      <c r="CW81" s="125" t="s">
        <v>340</v>
      </c>
      <c r="CX81" s="125" t="s">
        <v>340</v>
      </c>
      <c r="CY81" s="125" t="s">
        <v>340</v>
      </c>
      <c r="CZ81" s="125" t="s">
        <v>340</v>
      </c>
      <c r="DA81" s="125" t="s">
        <v>340</v>
      </c>
      <c r="DB81" s="125" t="s">
        <v>340</v>
      </c>
      <c r="DC81" s="125" t="s">
        <v>340</v>
      </c>
      <c r="DD81" s="125" t="s">
        <v>340</v>
      </c>
      <c r="DE81" s="125" t="s">
        <v>340</v>
      </c>
      <c r="DF81" s="125" t="s">
        <v>340</v>
      </c>
      <c r="DG81" s="16" t="str">
        <f t="shared" si="46"/>
        <v>无数据</v>
      </c>
      <c r="DH81" s="16" t="str">
        <f t="shared" si="47"/>
        <v>n.a.</v>
      </c>
      <c r="DI81" s="16" t="str">
        <f t="shared" si="48"/>
        <v>n.a.</v>
      </c>
      <c r="DJ81" s="16" t="str">
        <f t="shared" si="49"/>
        <v>n.a.</v>
      </c>
      <c r="DK81" s="16" t="str">
        <f t="shared" si="50"/>
        <v>无数据</v>
      </c>
      <c r="DL81" s="57" t="e">
        <f t="shared" si="51"/>
        <v>#VALUE!</v>
      </c>
      <c r="DM81" s="57" t="e">
        <f t="shared" si="52"/>
        <v>#VALUE!</v>
      </c>
      <c r="DN81" s="58" t="str">
        <f t="shared" si="53"/>
        <v>n.a.</v>
      </c>
      <c r="DO81" s="16" t="e">
        <f t="shared" si="54"/>
        <v>#VALUE!</v>
      </c>
      <c r="DP81" s="16" t="e">
        <f t="shared" si="55"/>
        <v>#VALUE!</v>
      </c>
      <c r="DQ81" s="61"/>
      <c r="DR81" s="62" t="str">
        <f t="shared" si="56"/>
        <v>无数据</v>
      </c>
      <c r="DS81" s="62" t="str">
        <f t="shared" si="57"/>
        <v>n.a.</v>
      </c>
      <c r="DT81" s="62" t="str">
        <f t="shared" si="58"/>
        <v>n.a.</v>
      </c>
      <c r="DU81" s="62" t="str">
        <f t="shared" si="59"/>
        <v>n.a.</v>
      </c>
      <c r="DV81" s="62" t="str">
        <f t="shared" si="60"/>
        <v>无数据</v>
      </c>
      <c r="DW81" s="63" t="e">
        <f t="shared" si="61"/>
        <v>#VALUE!</v>
      </c>
      <c r="DX81" s="63" t="e">
        <f t="shared" si="62"/>
        <v>#VALUE!</v>
      </c>
      <c r="DY81" s="64" t="str">
        <f t="shared" si="63"/>
        <v>n.a.</v>
      </c>
      <c r="DZ81" s="64" t="e">
        <f t="shared" si="64"/>
        <v>#VALUE!</v>
      </c>
      <c r="EA81" s="64" t="e">
        <f t="shared" si="65"/>
        <v>#VALUE!</v>
      </c>
      <c r="EB81" s="61"/>
      <c r="EC81" s="64" t="str">
        <f t="shared" si="66"/>
        <v>无数据</v>
      </c>
      <c r="ED81" s="64" t="str">
        <f t="shared" si="67"/>
        <v>n.a.</v>
      </c>
      <c r="EE81" s="64" t="str">
        <f t="shared" si="68"/>
        <v>n.a.</v>
      </c>
      <c r="EF81" s="64" t="str">
        <f t="shared" si="69"/>
        <v>n.a.</v>
      </c>
      <c r="EG81" s="64" t="str">
        <f t="shared" si="70"/>
        <v>无数据</v>
      </c>
      <c r="EH81" s="63" t="e">
        <f t="shared" si="71"/>
        <v>#VALUE!</v>
      </c>
      <c r="EI81" s="57" t="e">
        <f t="shared" si="72"/>
        <v>#VALUE!</v>
      </c>
      <c r="EJ81" s="64" t="str">
        <f t="shared" si="73"/>
        <v>n.a.</v>
      </c>
      <c r="EK81" s="64" t="e">
        <f t="shared" si="74"/>
        <v>#VALUE!</v>
      </c>
      <c r="EL81" s="64" t="e">
        <f t="shared" si="75"/>
        <v>#VALUE!</v>
      </c>
      <c r="EM81" s="61"/>
      <c r="EN81" s="66" t="e">
        <f t="shared" si="76"/>
        <v>#VALUE!</v>
      </c>
      <c r="EO81" s="66" t="e">
        <f t="shared" si="76"/>
        <v>#VALUE!</v>
      </c>
      <c r="EP81" s="66" t="e">
        <f t="shared" si="76"/>
        <v>#VALUE!</v>
      </c>
      <c r="EQ81" s="66" t="e">
        <f t="shared" si="43"/>
        <v>#VALUE!</v>
      </c>
      <c r="ER81" s="66" t="e">
        <f t="shared" si="77"/>
        <v>#VALUE!</v>
      </c>
      <c r="ES81" s="63" t="e">
        <f t="shared" si="78"/>
        <v>#VALUE!</v>
      </c>
      <c r="ET81" s="67" t="e">
        <f t="shared" si="79"/>
        <v>#VALUE!</v>
      </c>
      <c r="EU81" s="66" t="e">
        <f t="shared" si="80"/>
        <v>#VALUE!</v>
      </c>
      <c r="EV81" s="66" t="e">
        <f t="shared" si="81"/>
        <v>#VALUE!</v>
      </c>
      <c r="EW81" s="66" t="e">
        <f t="shared" si="81"/>
        <v>#VALUE!</v>
      </c>
      <c r="EX81" s="70"/>
      <c r="EY81" s="71" t="str">
        <f t="shared" si="82"/>
        <v>无数据</v>
      </c>
      <c r="EZ81" s="71" t="str">
        <f t="shared" si="83"/>
        <v>无数据</v>
      </c>
      <c r="FA81" s="71" t="str">
        <f t="shared" si="84"/>
        <v>无数据</v>
      </c>
      <c r="FB81" s="71" t="str">
        <f t="shared" si="85"/>
        <v>删除</v>
      </c>
      <c r="FC81" s="71" t="str">
        <f t="shared" si="86"/>
        <v>选择</v>
      </c>
    </row>
    <row r="82" spans="1:217" s="3" customFormat="1" ht="12.75" customHeight="1" x14ac:dyDescent="0.25">
      <c r="A82" s="28" t="s">
        <v>246</v>
      </c>
      <c r="B82" s="134" t="str">
        <f t="shared" si="44"/>
        <v>MEDIENCE CO.,LTD.</v>
      </c>
      <c r="C82" s="29" t="s">
        <v>328</v>
      </c>
      <c r="D82" s="136" t="s">
        <v>309</v>
      </c>
      <c r="E82" s="35"/>
      <c r="F82" s="34"/>
      <c r="H82" s="31" t="str">
        <f t="shared" si="45"/>
        <v xml:space="preserve"> </v>
      </c>
      <c r="I82" s="29"/>
      <c r="J82" s="29" t="str">
        <f>VLOOKUP(Z:Z,'[1]AP 2022'!FD81:FF181,2,FALSE)</f>
        <v>exclude</v>
      </c>
      <c r="K82" s="47" t="str">
        <f>VLOOKUP(Z:Z,'[1]AP 2022'!FD81:FF181,3,0)</f>
        <v>Independence(A+, A, A-, U)</v>
      </c>
      <c r="L82" s="48"/>
      <c r="M82" s="125" t="s">
        <v>951</v>
      </c>
      <c r="N82" s="125" t="s">
        <v>952</v>
      </c>
      <c r="O82" s="125" t="s">
        <v>331</v>
      </c>
      <c r="P82" s="125" t="s">
        <v>953</v>
      </c>
      <c r="Q82" s="124"/>
      <c r="R82" s="125" t="s">
        <v>363</v>
      </c>
      <c r="S82" s="125" t="s">
        <v>954</v>
      </c>
      <c r="T82" s="125" t="s">
        <v>820</v>
      </c>
      <c r="U82" s="125" t="s">
        <v>321</v>
      </c>
      <c r="V82" s="125" t="s">
        <v>955</v>
      </c>
      <c r="W82" s="125" t="s">
        <v>956</v>
      </c>
      <c r="X82" s="125" t="s">
        <v>957</v>
      </c>
      <c r="Y82" s="124"/>
      <c r="Z82" s="125" t="s">
        <v>958</v>
      </c>
      <c r="AA82" s="128">
        <v>71422008000</v>
      </c>
      <c r="AB82" s="128">
        <v>71524702000</v>
      </c>
      <c r="AC82" s="128">
        <v>71978514000</v>
      </c>
      <c r="AD82" s="128">
        <v>97313127000</v>
      </c>
      <c r="AE82" s="128">
        <v>71422008000</v>
      </c>
      <c r="AF82" s="128">
        <v>71524702000</v>
      </c>
      <c r="AG82" s="128">
        <v>71978514000</v>
      </c>
      <c r="AH82" s="128">
        <v>97313127000</v>
      </c>
      <c r="AI82" s="125" t="s">
        <v>340</v>
      </c>
      <c r="AJ82" s="125" t="s">
        <v>340</v>
      </c>
      <c r="AK82" s="125" t="s">
        <v>340</v>
      </c>
      <c r="AL82" s="125" t="s">
        <v>340</v>
      </c>
      <c r="AM82" s="128">
        <v>71422008000</v>
      </c>
      <c r="AN82" s="128">
        <v>71524702000</v>
      </c>
      <c r="AO82" s="128">
        <v>71978514000</v>
      </c>
      <c r="AP82" s="128">
        <v>97313127000</v>
      </c>
      <c r="AQ82" s="125" t="s">
        <v>340</v>
      </c>
      <c r="AR82" s="125" t="s">
        <v>340</v>
      </c>
      <c r="AS82" s="125" t="s">
        <v>340</v>
      </c>
      <c r="AT82" s="125" t="s">
        <v>340</v>
      </c>
      <c r="AU82" s="128">
        <v>-35996096000</v>
      </c>
      <c r="AV82" s="128">
        <v>-35029265000</v>
      </c>
      <c r="AW82" s="128">
        <v>-37625310000</v>
      </c>
      <c r="AX82" s="128">
        <v>-52476330000</v>
      </c>
      <c r="AY82" s="128">
        <v>-76689000</v>
      </c>
      <c r="AZ82" s="128">
        <v>-103523000</v>
      </c>
      <c r="BA82" s="128">
        <v>-151274000</v>
      </c>
      <c r="BB82" s="128">
        <v>-40869000</v>
      </c>
      <c r="BC82" s="128">
        <v>-32969281000</v>
      </c>
      <c r="BD82" s="128">
        <v>-31029360000</v>
      </c>
      <c r="BE82" s="128">
        <v>-33207047000</v>
      </c>
      <c r="BF82" s="128">
        <v>-42833939000</v>
      </c>
      <c r="BG82" s="128">
        <v>2379942000</v>
      </c>
      <c r="BH82" s="128">
        <v>5362554000</v>
      </c>
      <c r="BI82" s="128">
        <v>994883000</v>
      </c>
      <c r="BJ82" s="128">
        <v>1961989000</v>
      </c>
      <c r="BK82" s="128">
        <v>-770032000</v>
      </c>
      <c r="BL82" s="128">
        <v>-883288000</v>
      </c>
      <c r="BM82" s="128">
        <v>-1369087000</v>
      </c>
      <c r="BN82" s="128">
        <v>-2110205000</v>
      </c>
      <c r="BO82" s="128">
        <v>-608871000</v>
      </c>
      <c r="BP82" s="128">
        <v>-668545000</v>
      </c>
      <c r="BQ82" s="128">
        <v>-1117015000</v>
      </c>
      <c r="BR82" s="128">
        <v>-1512372000</v>
      </c>
      <c r="BS82" s="128">
        <v>-161161000</v>
      </c>
      <c r="BT82" s="128">
        <v>-214743000</v>
      </c>
      <c r="BU82" s="128">
        <v>-252072000</v>
      </c>
      <c r="BV82" s="128">
        <v>-597833000</v>
      </c>
      <c r="BW82" s="128">
        <v>-11726380000</v>
      </c>
      <c r="BX82" s="128">
        <v>4366213000</v>
      </c>
      <c r="BY82" s="128">
        <v>4031967000</v>
      </c>
      <c r="BZ82" s="128">
        <v>32341007000</v>
      </c>
      <c r="CA82" s="128">
        <v>30844170000</v>
      </c>
      <c r="CB82" s="128">
        <v>39884036000</v>
      </c>
      <c r="CC82" s="128">
        <v>36013524000</v>
      </c>
      <c r="CD82" s="128">
        <v>39193835000</v>
      </c>
      <c r="CE82" s="128">
        <v>10791736000</v>
      </c>
      <c r="CF82" s="128">
        <v>12849012000</v>
      </c>
      <c r="CG82" s="128">
        <v>13003509000</v>
      </c>
      <c r="CH82" s="128">
        <v>15862876000</v>
      </c>
      <c r="CI82" s="128">
        <v>11899363000</v>
      </c>
      <c r="CJ82" s="128">
        <v>13334720000</v>
      </c>
      <c r="CK82" s="128">
        <v>13266611000</v>
      </c>
      <c r="CL82" s="128">
        <v>9464466000</v>
      </c>
      <c r="CM82" s="128">
        <v>7006000</v>
      </c>
      <c r="CN82" s="128">
        <v>10850000</v>
      </c>
      <c r="CO82" s="128">
        <v>1149000</v>
      </c>
      <c r="CP82" s="128">
        <v>5656000</v>
      </c>
      <c r="CQ82" s="128">
        <v>7774263000</v>
      </c>
      <c r="CR82" s="128">
        <v>13202938000</v>
      </c>
      <c r="CS82" s="128">
        <v>9402938000</v>
      </c>
      <c r="CT82" s="128">
        <v>13697568000</v>
      </c>
      <c r="CU82" s="125" t="s">
        <v>340</v>
      </c>
      <c r="CV82" s="125" t="s">
        <v>340</v>
      </c>
      <c r="CW82" s="125" t="s">
        <v>340</v>
      </c>
      <c r="CX82" s="125" t="s">
        <v>340</v>
      </c>
      <c r="CY82" s="128">
        <v>11866020000</v>
      </c>
      <c r="CZ82" s="128">
        <v>11964716000</v>
      </c>
      <c r="DA82" s="128">
        <v>17094968000</v>
      </c>
      <c r="DB82" s="128">
        <v>17300505000</v>
      </c>
      <c r="DC82" s="128">
        <v>116386634000</v>
      </c>
      <c r="DD82" s="128">
        <v>140653279000</v>
      </c>
      <c r="DE82" s="128">
        <v>137145759000</v>
      </c>
      <c r="DF82" s="128">
        <v>139653596000</v>
      </c>
      <c r="DG82" s="16">
        <f t="shared" si="46"/>
        <v>71422008000</v>
      </c>
      <c r="DH82" s="16">
        <f t="shared" si="47"/>
        <v>-35996096000</v>
      </c>
      <c r="DI82" s="16">
        <f t="shared" si="48"/>
        <v>-33045970000</v>
      </c>
      <c r="DJ82" s="16">
        <f t="shared" si="49"/>
        <v>-770032000</v>
      </c>
      <c r="DK82" s="16">
        <f t="shared" si="50"/>
        <v>1609910000</v>
      </c>
      <c r="DL82" s="57">
        <f t="shared" si="51"/>
        <v>2.2540811230062307E-2</v>
      </c>
      <c r="DM82" s="57">
        <f t="shared" si="52"/>
        <v>2.3060616227290578E-2</v>
      </c>
      <c r="DN82" s="58">
        <f t="shared" si="53"/>
        <v>-76689000</v>
      </c>
      <c r="DO82" s="16">
        <f t="shared" si="54"/>
        <v>11820374000</v>
      </c>
      <c r="DP82" s="16">
        <f t="shared" si="55"/>
        <v>11915368000</v>
      </c>
      <c r="DQ82" s="61"/>
      <c r="DR82" s="62">
        <f t="shared" si="56"/>
        <v>71524702000</v>
      </c>
      <c r="DS82" s="62">
        <f t="shared" si="57"/>
        <v>-35029265000</v>
      </c>
      <c r="DT82" s="62">
        <f t="shared" si="58"/>
        <v>-31132883000</v>
      </c>
      <c r="DU82" s="62">
        <f t="shared" si="59"/>
        <v>-883288000</v>
      </c>
      <c r="DV82" s="62">
        <f t="shared" si="60"/>
        <v>4479266000</v>
      </c>
      <c r="DW82" s="63">
        <f t="shared" si="61"/>
        <v>6.262544092808664E-2</v>
      </c>
      <c r="DX82" s="63">
        <f t="shared" si="62"/>
        <v>6.6809409666602815E-2</v>
      </c>
      <c r="DY82" s="64">
        <f t="shared" si="63"/>
        <v>-103523000</v>
      </c>
      <c r="DZ82" s="64">
        <f t="shared" si="64"/>
        <v>12926260500</v>
      </c>
      <c r="EA82" s="64">
        <f t="shared" si="65"/>
        <v>14529842000</v>
      </c>
      <c r="EB82" s="61"/>
      <c r="EC82" s="64">
        <f t="shared" si="66"/>
        <v>71978514000</v>
      </c>
      <c r="ED82" s="64">
        <f t="shared" si="67"/>
        <v>-37625310000</v>
      </c>
      <c r="EE82" s="64">
        <f t="shared" si="68"/>
        <v>-33358321000</v>
      </c>
      <c r="EF82" s="64">
        <f t="shared" si="69"/>
        <v>-1369087000</v>
      </c>
      <c r="EG82" s="64">
        <f t="shared" si="70"/>
        <v>-374204000</v>
      </c>
      <c r="EH82" s="63">
        <f t="shared" si="71"/>
        <v>-5.1988291950567358E-3</v>
      </c>
      <c r="EI82" s="57">
        <f t="shared" si="72"/>
        <v>-5.1719411563778432E-3</v>
      </c>
      <c r="EJ82" s="64">
        <f t="shared" si="73"/>
        <v>-151274000</v>
      </c>
      <c r="EK82" s="64">
        <f t="shared" si="74"/>
        <v>14433192500</v>
      </c>
      <c r="EL82" s="64">
        <f t="shared" si="75"/>
        <v>17197736500</v>
      </c>
      <c r="EM82" s="61"/>
      <c r="EN82" s="66">
        <f t="shared" si="76"/>
        <v>71641741333.333328</v>
      </c>
      <c r="EO82" s="66">
        <f t="shared" si="76"/>
        <v>-36216890333.333336</v>
      </c>
      <c r="EP82" s="66">
        <f t="shared" si="76"/>
        <v>-32512391333.333332</v>
      </c>
      <c r="EQ82" s="66">
        <f t="shared" si="43"/>
        <v>-1007469000</v>
      </c>
      <c r="ER82" s="66">
        <f t="shared" si="77"/>
        <v>1904990666.6666603</v>
      </c>
      <c r="ES82" s="63">
        <f t="shared" si="78"/>
        <v>2.6590513173083776E-2</v>
      </c>
      <c r="ET82" s="67">
        <f t="shared" si="79"/>
        <v>2.7316883113357084E-2</v>
      </c>
      <c r="EU82" s="66">
        <f t="shared" si="80"/>
        <v>110495333.33333333</v>
      </c>
      <c r="EV82" s="66">
        <f t="shared" si="81"/>
        <v>13059942333.333334</v>
      </c>
      <c r="EW82" s="66">
        <f t="shared" si="81"/>
        <v>14547648833.333334</v>
      </c>
      <c r="EX82" s="70"/>
      <c r="EY82" s="71" t="str">
        <f t="shared" si="82"/>
        <v>完整</v>
      </c>
      <c r="EZ82" s="71" t="str">
        <f t="shared" si="83"/>
        <v>完整</v>
      </c>
      <c r="FA82" s="71" t="str">
        <f t="shared" si="84"/>
        <v>完整</v>
      </c>
      <c r="FB82" s="71" t="str">
        <f t="shared" si="85"/>
        <v>选择</v>
      </c>
      <c r="FC82" s="71" t="str">
        <f t="shared" si="86"/>
        <v>选择</v>
      </c>
    </row>
    <row r="83" spans="1:217" s="3" customFormat="1" ht="12.75" customHeight="1" x14ac:dyDescent="0.25">
      <c r="A83" s="28" t="s">
        <v>247</v>
      </c>
      <c r="B83" s="134" t="str">
        <f t="shared" si="44"/>
        <v>CTK CO.,LTD.</v>
      </c>
      <c r="C83" s="29" t="s">
        <v>328</v>
      </c>
      <c r="D83" s="136" t="s">
        <v>309</v>
      </c>
      <c r="E83" s="35"/>
      <c r="F83" s="34"/>
      <c r="H83" s="31" t="str">
        <f t="shared" si="45"/>
        <v xml:space="preserve"> </v>
      </c>
      <c r="I83" s="29"/>
      <c r="J83" s="29" t="e">
        <f>VLOOKUP(Z:Z,'[1]AP 2022'!FD82:FF181,2,FALSE)</f>
        <v>#N/A</v>
      </c>
      <c r="K83" s="47" t="e">
        <f>VLOOKUP(Z:Z,'[1]AP 2022'!FD82:FF181,3,0)</f>
        <v>#N/A</v>
      </c>
      <c r="L83" s="48"/>
      <c r="M83" s="125" t="s">
        <v>959</v>
      </c>
      <c r="N83" s="125" t="s">
        <v>960</v>
      </c>
      <c r="O83" s="125" t="s">
        <v>331</v>
      </c>
      <c r="P83" s="125" t="s">
        <v>961</v>
      </c>
      <c r="Q83" s="124"/>
      <c r="R83" s="125" t="s">
        <v>363</v>
      </c>
      <c r="S83" s="125" t="s">
        <v>962</v>
      </c>
      <c r="T83" s="125" t="s">
        <v>365</v>
      </c>
      <c r="U83" s="125" t="s">
        <v>321</v>
      </c>
      <c r="V83" s="125" t="s">
        <v>963</v>
      </c>
      <c r="W83" s="125" t="s">
        <v>964</v>
      </c>
      <c r="X83" s="125" t="s">
        <v>965</v>
      </c>
      <c r="Y83" s="124"/>
      <c r="Z83" s="125" t="s">
        <v>966</v>
      </c>
      <c r="AA83" s="128">
        <v>69361422000</v>
      </c>
      <c r="AB83" s="128">
        <v>113835409000</v>
      </c>
      <c r="AC83" s="128">
        <v>124197551000</v>
      </c>
      <c r="AD83" s="128">
        <v>116328076000</v>
      </c>
      <c r="AE83" s="128">
        <v>69361422000</v>
      </c>
      <c r="AF83" s="128">
        <v>113835409000</v>
      </c>
      <c r="AG83" s="128">
        <v>124197551000</v>
      </c>
      <c r="AH83" s="128">
        <v>116328076000</v>
      </c>
      <c r="AI83" s="125" t="s">
        <v>340</v>
      </c>
      <c r="AJ83" s="125" t="s">
        <v>340</v>
      </c>
      <c r="AK83" s="125" t="s">
        <v>340</v>
      </c>
      <c r="AL83" s="125" t="s">
        <v>340</v>
      </c>
      <c r="AM83" s="128">
        <v>69361422000</v>
      </c>
      <c r="AN83" s="128">
        <v>113835409000</v>
      </c>
      <c r="AO83" s="128">
        <v>124197551000</v>
      </c>
      <c r="AP83" s="128">
        <v>116328076000</v>
      </c>
      <c r="AQ83" s="125" t="s">
        <v>340</v>
      </c>
      <c r="AR83" s="125" t="s">
        <v>340</v>
      </c>
      <c r="AS83" s="125" t="s">
        <v>340</v>
      </c>
      <c r="AT83" s="125" t="s">
        <v>340</v>
      </c>
      <c r="AU83" s="128">
        <v>-47490997000</v>
      </c>
      <c r="AV83" s="128">
        <v>-80540310000</v>
      </c>
      <c r="AW83" s="128">
        <v>-83067122000</v>
      </c>
      <c r="AX83" s="128">
        <v>-85065129000</v>
      </c>
      <c r="AY83" s="128">
        <v>-746208000</v>
      </c>
      <c r="AZ83" s="128">
        <v>-591129000</v>
      </c>
      <c r="BA83" s="128">
        <v>-417548000</v>
      </c>
      <c r="BB83" s="128">
        <v>-1574726000</v>
      </c>
      <c r="BC83" s="128">
        <v>-31613287000</v>
      </c>
      <c r="BD83" s="128">
        <v>-40203431000</v>
      </c>
      <c r="BE83" s="128">
        <v>-35970069000</v>
      </c>
      <c r="BF83" s="128">
        <v>-22983510000</v>
      </c>
      <c r="BG83" s="128">
        <v>-10489070000</v>
      </c>
      <c r="BH83" s="128">
        <v>-7499461000</v>
      </c>
      <c r="BI83" s="128">
        <v>4742812000</v>
      </c>
      <c r="BJ83" s="128">
        <v>6704711000</v>
      </c>
      <c r="BK83" s="128">
        <v>-4727824000</v>
      </c>
      <c r="BL83" s="128">
        <v>-4422154000</v>
      </c>
      <c r="BM83" s="128">
        <v>-4215311000</v>
      </c>
      <c r="BN83" s="128">
        <v>-2754517000</v>
      </c>
      <c r="BO83" s="128">
        <v>-3707145000</v>
      </c>
      <c r="BP83" s="128">
        <v>-3541336000</v>
      </c>
      <c r="BQ83" s="128">
        <v>-3310088000</v>
      </c>
      <c r="BR83" s="128">
        <v>-2090608000</v>
      </c>
      <c r="BS83" s="128">
        <v>-1020679000</v>
      </c>
      <c r="BT83" s="128">
        <v>-880818000</v>
      </c>
      <c r="BU83" s="128">
        <v>-905223000</v>
      </c>
      <c r="BV83" s="128">
        <v>-663909000</v>
      </c>
      <c r="BW83" s="128">
        <v>-17653872000</v>
      </c>
      <c r="BX83" s="128">
        <v>-895235000</v>
      </c>
      <c r="BY83" s="128">
        <v>-450486000</v>
      </c>
      <c r="BZ83" s="128">
        <v>7741535000</v>
      </c>
      <c r="CA83" s="128">
        <v>81622063000</v>
      </c>
      <c r="CB83" s="128">
        <v>85524517000</v>
      </c>
      <c r="CC83" s="128">
        <v>114172032000</v>
      </c>
      <c r="CD83" s="128">
        <v>115482352000</v>
      </c>
      <c r="CE83" s="128">
        <v>5445681000</v>
      </c>
      <c r="CF83" s="128">
        <v>4916122000</v>
      </c>
      <c r="CG83" s="128">
        <v>17791705000</v>
      </c>
      <c r="CH83" s="128">
        <v>6522713000</v>
      </c>
      <c r="CI83" s="128">
        <v>9876888000</v>
      </c>
      <c r="CJ83" s="128">
        <v>14326785000</v>
      </c>
      <c r="CK83" s="128">
        <v>32953482000</v>
      </c>
      <c r="CL83" s="128">
        <v>22455436000</v>
      </c>
      <c r="CM83" s="128">
        <v>22005101000</v>
      </c>
      <c r="CN83" s="128">
        <v>13991951000</v>
      </c>
      <c r="CO83" s="128">
        <v>10620661000</v>
      </c>
      <c r="CP83" s="128">
        <v>22219805000</v>
      </c>
      <c r="CQ83" s="128">
        <v>40299431000</v>
      </c>
      <c r="CR83" s="128">
        <v>49677932000</v>
      </c>
      <c r="CS83" s="128">
        <v>49512997000</v>
      </c>
      <c r="CT83" s="128">
        <v>61929968000</v>
      </c>
      <c r="CU83" s="128">
        <v>4516065000</v>
      </c>
      <c r="CV83" s="128">
        <v>2102690000</v>
      </c>
      <c r="CW83" s="128">
        <v>17221548000</v>
      </c>
      <c r="CX83" s="128">
        <v>25422901000</v>
      </c>
      <c r="CY83" s="128">
        <v>5561996000</v>
      </c>
      <c r="CZ83" s="128">
        <v>2574782000</v>
      </c>
      <c r="DA83" s="128">
        <v>2592367000</v>
      </c>
      <c r="DB83" s="128">
        <v>17229554000</v>
      </c>
      <c r="DC83" s="128">
        <v>178700211000</v>
      </c>
      <c r="DD83" s="128">
        <v>208321744000</v>
      </c>
      <c r="DE83" s="128">
        <v>205218715000</v>
      </c>
      <c r="DF83" s="128">
        <v>202468010000</v>
      </c>
      <c r="DG83" s="16">
        <f t="shared" si="46"/>
        <v>69361422000</v>
      </c>
      <c r="DH83" s="16">
        <f t="shared" si="47"/>
        <v>-47490997000</v>
      </c>
      <c r="DI83" s="16">
        <f t="shared" si="48"/>
        <v>-32359495000</v>
      </c>
      <c r="DJ83" s="16">
        <f t="shared" si="49"/>
        <v>-4727824000</v>
      </c>
      <c r="DK83" s="16">
        <f t="shared" si="50"/>
        <v>-15216894000</v>
      </c>
      <c r="DL83" s="57">
        <f t="shared" si="51"/>
        <v>-0.21938555411969496</v>
      </c>
      <c r="DM83" s="57">
        <f t="shared" si="52"/>
        <v>-0.17991483774635569</v>
      </c>
      <c r="DN83" s="58">
        <f t="shared" si="53"/>
        <v>-746208000</v>
      </c>
      <c r="DO83" s="16">
        <f t="shared" si="54"/>
        <v>5180901500</v>
      </c>
      <c r="DP83" s="16">
        <f t="shared" si="55"/>
        <v>4068389000</v>
      </c>
      <c r="DQ83" s="61"/>
      <c r="DR83" s="62">
        <f t="shared" si="56"/>
        <v>113835409000</v>
      </c>
      <c r="DS83" s="62">
        <f t="shared" si="57"/>
        <v>-80540310000</v>
      </c>
      <c r="DT83" s="62">
        <f t="shared" si="58"/>
        <v>-40794560000</v>
      </c>
      <c r="DU83" s="62">
        <f t="shared" si="59"/>
        <v>-4422154000</v>
      </c>
      <c r="DV83" s="62">
        <f t="shared" si="60"/>
        <v>-11921615000</v>
      </c>
      <c r="DW83" s="63">
        <f t="shared" si="61"/>
        <v>-0.1047267726687748</v>
      </c>
      <c r="DX83" s="63">
        <f t="shared" si="62"/>
        <v>-9.4798800264230168E-2</v>
      </c>
      <c r="DY83" s="64">
        <f t="shared" si="63"/>
        <v>-591129000</v>
      </c>
      <c r="DZ83" s="64">
        <f t="shared" si="64"/>
        <v>11353913500</v>
      </c>
      <c r="EA83" s="64">
        <f t="shared" si="65"/>
        <v>2583574500</v>
      </c>
      <c r="EB83" s="61"/>
      <c r="EC83" s="64">
        <f t="shared" si="66"/>
        <v>124197551000</v>
      </c>
      <c r="ED83" s="64">
        <f t="shared" si="67"/>
        <v>-83067122000</v>
      </c>
      <c r="EE83" s="64">
        <f t="shared" si="68"/>
        <v>-36387617000</v>
      </c>
      <c r="EF83" s="64">
        <f t="shared" si="69"/>
        <v>-4215311000</v>
      </c>
      <c r="EG83" s="64">
        <f t="shared" si="70"/>
        <v>527501000</v>
      </c>
      <c r="EH83" s="63">
        <f t="shared" si="71"/>
        <v>4.2472737646815596E-3</v>
      </c>
      <c r="EI83" s="57">
        <f t="shared" si="72"/>
        <v>4.2653900439111976E-3</v>
      </c>
      <c r="EJ83" s="64">
        <f t="shared" si="73"/>
        <v>-417548000</v>
      </c>
      <c r="EK83" s="64">
        <f t="shared" si="74"/>
        <v>12157209000</v>
      </c>
      <c r="EL83" s="64">
        <f t="shared" si="75"/>
        <v>9910960500</v>
      </c>
      <c r="EM83" s="61"/>
      <c r="EN83" s="66">
        <f t="shared" si="76"/>
        <v>102464794000</v>
      </c>
      <c r="EO83" s="66">
        <f t="shared" si="76"/>
        <v>-70366143000</v>
      </c>
      <c r="EP83" s="66">
        <f t="shared" si="76"/>
        <v>-36513890666.666664</v>
      </c>
      <c r="EQ83" s="66">
        <f t="shared" si="43"/>
        <v>-4455096333.333333</v>
      </c>
      <c r="ER83" s="66">
        <f t="shared" si="77"/>
        <v>-8870335999.9999962</v>
      </c>
      <c r="ES83" s="63">
        <f t="shared" si="78"/>
        <v>-8.6569597748861873E-2</v>
      </c>
      <c r="ET83" s="67">
        <f t="shared" si="79"/>
        <v>-7.9672390915607655E-2</v>
      </c>
      <c r="EU83" s="66">
        <f t="shared" si="80"/>
        <v>584961666.66666663</v>
      </c>
      <c r="EV83" s="66">
        <f t="shared" si="81"/>
        <v>9564008000</v>
      </c>
      <c r="EW83" s="66">
        <f t="shared" si="81"/>
        <v>5520974666.666667</v>
      </c>
      <c r="EX83" s="70"/>
      <c r="EY83" s="71" t="str">
        <f t="shared" si="82"/>
        <v>完整</v>
      </c>
      <c r="EZ83" s="71" t="str">
        <f t="shared" si="83"/>
        <v>完整</v>
      </c>
      <c r="FA83" s="71" t="str">
        <f t="shared" si="84"/>
        <v>完整</v>
      </c>
      <c r="FB83" s="71" t="str">
        <f t="shared" si="85"/>
        <v>选择</v>
      </c>
      <c r="FC83" s="71" t="str">
        <f t="shared" si="86"/>
        <v>选择</v>
      </c>
    </row>
    <row r="84" spans="1:217" s="3" customFormat="1" ht="12.75" customHeight="1" x14ac:dyDescent="0.25">
      <c r="A84" s="28" t="s">
        <v>248</v>
      </c>
      <c r="B84" s="134" t="str">
        <f t="shared" si="44"/>
        <v>TS TRILLION CO.,LTD.</v>
      </c>
      <c r="C84" s="29" t="s">
        <v>328</v>
      </c>
      <c r="D84" s="136" t="s">
        <v>309</v>
      </c>
      <c r="E84" s="35"/>
      <c r="H84" s="31" t="str">
        <f t="shared" si="45"/>
        <v xml:space="preserve"> </v>
      </c>
      <c r="I84" s="29"/>
      <c r="J84" s="29" t="str">
        <f>VLOOKUP(Z:Z,'[1]AP 2022'!FD83:FF181,2,FALSE)</f>
        <v>exclude</v>
      </c>
      <c r="K84" s="47" t="str">
        <f>VLOOKUP(Z:Z,'[1]AP 2022'!FD83:FF181,3,0)</f>
        <v>Independence(A+, A, A-, U)</v>
      </c>
      <c r="L84" s="48"/>
      <c r="M84" s="125" t="s">
        <v>967</v>
      </c>
      <c r="N84" s="125" t="s">
        <v>968</v>
      </c>
      <c r="O84" s="125" t="s">
        <v>331</v>
      </c>
      <c r="P84" s="125" t="s">
        <v>969</v>
      </c>
      <c r="Q84" s="124"/>
      <c r="R84" s="125" t="s">
        <v>363</v>
      </c>
      <c r="S84" s="125" t="s">
        <v>970</v>
      </c>
      <c r="T84" s="125" t="s">
        <v>374</v>
      </c>
      <c r="U84" s="125" t="s">
        <v>321</v>
      </c>
      <c r="V84" s="125" t="s">
        <v>971</v>
      </c>
      <c r="W84" s="125" t="s">
        <v>972</v>
      </c>
      <c r="X84" s="125" t="s">
        <v>973</v>
      </c>
      <c r="Y84" s="124"/>
      <c r="Z84" s="125" t="s">
        <v>974</v>
      </c>
      <c r="AA84" s="128">
        <v>62925392000</v>
      </c>
      <c r="AB84" s="128">
        <v>49870572000</v>
      </c>
      <c r="AC84" s="128">
        <v>61646875000</v>
      </c>
      <c r="AD84" s="128">
        <v>70459223000</v>
      </c>
      <c r="AE84" s="128">
        <v>62925392000</v>
      </c>
      <c r="AF84" s="128">
        <v>49870572000</v>
      </c>
      <c r="AG84" s="128">
        <v>61646875000</v>
      </c>
      <c r="AH84" s="128">
        <v>70459223000</v>
      </c>
      <c r="AI84" s="125" t="s">
        <v>340</v>
      </c>
      <c r="AJ84" s="125" t="s">
        <v>340</v>
      </c>
      <c r="AK84" s="125" t="s">
        <v>340</v>
      </c>
      <c r="AL84" s="125" t="s">
        <v>340</v>
      </c>
      <c r="AM84" s="128">
        <v>62925392000</v>
      </c>
      <c r="AN84" s="128">
        <v>49870572000</v>
      </c>
      <c r="AO84" s="128">
        <v>61646875000</v>
      </c>
      <c r="AP84" s="128">
        <v>70459223000</v>
      </c>
      <c r="AQ84" s="125" t="s">
        <v>340</v>
      </c>
      <c r="AR84" s="125" t="s">
        <v>340</v>
      </c>
      <c r="AS84" s="125" t="s">
        <v>340</v>
      </c>
      <c r="AT84" s="125" t="s">
        <v>340</v>
      </c>
      <c r="AU84" s="128">
        <v>-37322986000</v>
      </c>
      <c r="AV84" s="128">
        <v>-25387115000</v>
      </c>
      <c r="AW84" s="128">
        <v>-24710890000</v>
      </c>
      <c r="AX84" s="128">
        <v>-26744078000</v>
      </c>
      <c r="AY84" s="128">
        <v>-396216000</v>
      </c>
      <c r="AZ84" s="128">
        <v>-286032000</v>
      </c>
      <c r="BA84" s="128">
        <v>-272930000</v>
      </c>
      <c r="BB84" s="128">
        <v>-158159000</v>
      </c>
      <c r="BC84" s="128">
        <v>-30057548000</v>
      </c>
      <c r="BD84" s="128">
        <v>-30414457000</v>
      </c>
      <c r="BE84" s="128">
        <v>-31589873000</v>
      </c>
      <c r="BF84" s="128">
        <v>-36554330000</v>
      </c>
      <c r="BG84" s="128">
        <v>-4851358000</v>
      </c>
      <c r="BH84" s="128">
        <v>-6217032000</v>
      </c>
      <c r="BI84" s="128">
        <v>5073182000</v>
      </c>
      <c r="BJ84" s="128">
        <v>7002656000</v>
      </c>
      <c r="BK84" s="128">
        <v>-962177000</v>
      </c>
      <c r="BL84" s="128">
        <v>-1423040000</v>
      </c>
      <c r="BM84" s="128">
        <v>-1412313000</v>
      </c>
      <c r="BN84" s="128">
        <v>-2196486000</v>
      </c>
      <c r="BO84" s="128">
        <v>-962177000</v>
      </c>
      <c r="BP84" s="128">
        <v>-1423040000</v>
      </c>
      <c r="BQ84" s="128">
        <v>-1412313000</v>
      </c>
      <c r="BR84" s="128">
        <v>-2196486000</v>
      </c>
      <c r="BS84" s="125" t="s">
        <v>340</v>
      </c>
      <c r="BT84" s="125" t="s">
        <v>340</v>
      </c>
      <c r="BU84" s="125" t="s">
        <v>340</v>
      </c>
      <c r="BV84" s="125" t="s">
        <v>340</v>
      </c>
      <c r="BW84" s="128">
        <v>-9978955000</v>
      </c>
      <c r="BX84" s="128">
        <v>-6246477000</v>
      </c>
      <c r="BY84" s="128">
        <v>-2255194000</v>
      </c>
      <c r="BZ84" s="128">
        <v>3220783000</v>
      </c>
      <c r="CA84" s="128">
        <v>13069964000</v>
      </c>
      <c r="CB84" s="128">
        <v>16837934000</v>
      </c>
      <c r="CC84" s="128">
        <v>20250057000</v>
      </c>
      <c r="CD84" s="128">
        <v>12468985000</v>
      </c>
      <c r="CE84" s="128">
        <v>7609566000</v>
      </c>
      <c r="CF84" s="128">
        <v>8836222000</v>
      </c>
      <c r="CG84" s="128">
        <v>7057386000</v>
      </c>
      <c r="CH84" s="128">
        <v>3686781000</v>
      </c>
      <c r="CI84" s="128">
        <v>3838219000</v>
      </c>
      <c r="CJ84" s="128">
        <v>4109498000</v>
      </c>
      <c r="CK84" s="128">
        <v>3564927000</v>
      </c>
      <c r="CL84" s="128">
        <v>3512256000</v>
      </c>
      <c r="CM84" s="128">
        <v>142046000</v>
      </c>
      <c r="CN84" s="128">
        <v>911893000</v>
      </c>
      <c r="CO84" s="128">
        <v>6357473000</v>
      </c>
      <c r="CP84" s="128">
        <v>115500000</v>
      </c>
      <c r="CQ84" s="128">
        <v>201512000</v>
      </c>
      <c r="CR84" s="128">
        <v>433963000</v>
      </c>
      <c r="CS84" s="128">
        <v>1002205000</v>
      </c>
      <c r="CT84" s="128">
        <v>2151743000</v>
      </c>
      <c r="CU84" s="125" t="s">
        <v>340</v>
      </c>
      <c r="CV84" s="125" t="s">
        <v>340</v>
      </c>
      <c r="CW84" s="125" t="s">
        <v>340</v>
      </c>
      <c r="CX84" s="125" t="s">
        <v>340</v>
      </c>
      <c r="CY84" s="128">
        <v>812315000</v>
      </c>
      <c r="CZ84" s="128">
        <v>679393000</v>
      </c>
      <c r="DA84" s="128">
        <v>619842000</v>
      </c>
      <c r="DB84" s="128">
        <v>601568000</v>
      </c>
      <c r="DC84" s="128">
        <v>68316626000</v>
      </c>
      <c r="DD84" s="128">
        <v>65436971000</v>
      </c>
      <c r="DE84" s="128">
        <v>41225526000</v>
      </c>
      <c r="DF84" s="128">
        <v>32198304000</v>
      </c>
      <c r="DG84" s="16">
        <f t="shared" si="46"/>
        <v>62925392000</v>
      </c>
      <c r="DH84" s="16">
        <f t="shared" si="47"/>
        <v>-37322986000</v>
      </c>
      <c r="DI84" s="16">
        <f t="shared" si="48"/>
        <v>-30453764000</v>
      </c>
      <c r="DJ84" s="16">
        <f t="shared" si="49"/>
        <v>-962177000</v>
      </c>
      <c r="DK84" s="16">
        <f t="shared" si="50"/>
        <v>-5813535000</v>
      </c>
      <c r="DL84" s="57">
        <f t="shared" si="51"/>
        <v>-9.2387743885647938E-2</v>
      </c>
      <c r="DM84" s="57">
        <f t="shared" si="52"/>
        <v>-8.4574130754179508E-2</v>
      </c>
      <c r="DN84" s="58">
        <f t="shared" si="53"/>
        <v>-396216000</v>
      </c>
      <c r="DO84" s="16">
        <f t="shared" si="54"/>
        <v>8222894000</v>
      </c>
      <c r="DP84" s="16">
        <f t="shared" si="55"/>
        <v>745854000</v>
      </c>
      <c r="DQ84" s="61"/>
      <c r="DR84" s="62">
        <f t="shared" si="56"/>
        <v>49870572000</v>
      </c>
      <c r="DS84" s="62">
        <f t="shared" si="57"/>
        <v>-25387115000</v>
      </c>
      <c r="DT84" s="62">
        <f t="shared" si="58"/>
        <v>-30700489000</v>
      </c>
      <c r="DU84" s="62">
        <f t="shared" si="59"/>
        <v>-1423040000</v>
      </c>
      <c r="DV84" s="62">
        <f t="shared" si="60"/>
        <v>-7640072000</v>
      </c>
      <c r="DW84" s="63">
        <f t="shared" si="61"/>
        <v>-0.15319800222062824</v>
      </c>
      <c r="DX84" s="63">
        <f t="shared" si="62"/>
        <v>-0.13284622582212782</v>
      </c>
      <c r="DY84" s="64">
        <f t="shared" si="63"/>
        <v>-286032000</v>
      </c>
      <c r="DZ84" s="64">
        <f t="shared" si="64"/>
        <v>7946804000</v>
      </c>
      <c r="EA84" s="64">
        <f t="shared" si="65"/>
        <v>649617500</v>
      </c>
      <c r="EB84" s="61"/>
      <c r="EC84" s="64">
        <f t="shared" si="66"/>
        <v>61646875000</v>
      </c>
      <c r="ED84" s="64">
        <f t="shared" si="67"/>
        <v>-24710890000</v>
      </c>
      <c r="EE84" s="64">
        <f t="shared" si="68"/>
        <v>-31862803000</v>
      </c>
      <c r="EF84" s="64">
        <f t="shared" si="69"/>
        <v>-1412313000</v>
      </c>
      <c r="EG84" s="64">
        <f t="shared" si="70"/>
        <v>3660869000</v>
      </c>
      <c r="EH84" s="63">
        <f t="shared" si="71"/>
        <v>5.9384502458559335E-2</v>
      </c>
      <c r="EI84" s="57">
        <f t="shared" si="72"/>
        <v>6.3133663663608772E-2</v>
      </c>
      <c r="EJ84" s="64">
        <f t="shared" si="73"/>
        <v>-272930000</v>
      </c>
      <c r="EK84" s="64">
        <f t="shared" si="74"/>
        <v>5372083500</v>
      </c>
      <c r="EL84" s="64">
        <f t="shared" si="75"/>
        <v>610705000</v>
      </c>
      <c r="EM84" s="61"/>
      <c r="EN84" s="66">
        <f t="shared" si="76"/>
        <v>58147613000</v>
      </c>
      <c r="EO84" s="66">
        <f t="shared" si="76"/>
        <v>-29140330333.333332</v>
      </c>
      <c r="EP84" s="66">
        <f t="shared" si="76"/>
        <v>-31005685333.333332</v>
      </c>
      <c r="EQ84" s="66">
        <f t="shared" si="43"/>
        <v>-1265843333.3333333</v>
      </c>
      <c r="ER84" s="66">
        <f t="shared" si="77"/>
        <v>-3264245999.9999971</v>
      </c>
      <c r="ES84" s="63">
        <f t="shared" si="78"/>
        <v>-5.6137231290990346E-2</v>
      </c>
      <c r="ET84" s="67">
        <f t="shared" si="79"/>
        <v>-5.3153349420671292E-2</v>
      </c>
      <c r="EU84" s="66">
        <f t="shared" si="80"/>
        <v>318392666.66666669</v>
      </c>
      <c r="EV84" s="66">
        <f t="shared" si="81"/>
        <v>7180593833.333333</v>
      </c>
      <c r="EW84" s="66">
        <f t="shared" si="81"/>
        <v>668725500</v>
      </c>
      <c r="EX84" s="70"/>
      <c r="EY84" s="71" t="str">
        <f t="shared" si="82"/>
        <v>完整</v>
      </c>
      <c r="EZ84" s="71" t="str">
        <f t="shared" si="83"/>
        <v>完整</v>
      </c>
      <c r="FA84" s="71" t="str">
        <f t="shared" si="84"/>
        <v>完整</v>
      </c>
      <c r="FB84" s="71" t="str">
        <f t="shared" si="85"/>
        <v>选择</v>
      </c>
      <c r="FC84" s="71" t="str">
        <f t="shared" si="86"/>
        <v>选择</v>
      </c>
    </row>
    <row r="85" spans="1:217" s="3" customFormat="1" ht="12.75" customHeight="1" x14ac:dyDescent="0.25">
      <c r="A85" s="28" t="s">
        <v>249</v>
      </c>
      <c r="B85" s="134" t="str">
        <f t="shared" si="44"/>
        <v>BONNE CO.,LTD.</v>
      </c>
      <c r="C85" s="29" t="s">
        <v>328</v>
      </c>
      <c r="D85" s="136" t="s">
        <v>309</v>
      </c>
      <c r="E85" s="35"/>
      <c r="H85" s="31" t="str">
        <f t="shared" si="45"/>
        <v xml:space="preserve"> </v>
      </c>
      <c r="I85" s="29"/>
      <c r="J85" s="29" t="str">
        <f>VLOOKUP(Z:Z,'[1]AP 2022'!FD84:FF181,2,FALSE)</f>
        <v>exclude</v>
      </c>
      <c r="K85" s="47" t="str">
        <f>VLOOKUP(Z:Z,'[1]AP 2022'!FD84:FF181,3,0)</f>
        <v>Independence(A+, A, A-, U)</v>
      </c>
      <c r="L85" s="48"/>
      <c r="M85" s="125" t="s">
        <v>975</v>
      </c>
      <c r="N85" s="125" t="s">
        <v>976</v>
      </c>
      <c r="O85" s="125" t="s">
        <v>413</v>
      </c>
      <c r="P85" s="125" t="s">
        <v>977</v>
      </c>
      <c r="Q85" s="124"/>
      <c r="R85" s="125" t="s">
        <v>363</v>
      </c>
      <c r="S85" s="125" t="s">
        <v>978</v>
      </c>
      <c r="T85" s="125" t="s">
        <v>899</v>
      </c>
      <c r="U85" s="125" t="s">
        <v>321</v>
      </c>
      <c r="V85" s="125" t="s">
        <v>979</v>
      </c>
      <c r="W85" s="125" t="s">
        <v>980</v>
      </c>
      <c r="X85" s="125" t="s">
        <v>981</v>
      </c>
      <c r="Y85" s="124"/>
      <c r="Z85" s="125" t="s">
        <v>982</v>
      </c>
      <c r="AA85" s="128">
        <v>60720302000</v>
      </c>
      <c r="AB85" s="128">
        <v>53806096000</v>
      </c>
      <c r="AC85" s="128">
        <v>36046400000</v>
      </c>
      <c r="AD85" s="128">
        <v>47018567000</v>
      </c>
      <c r="AE85" s="128">
        <v>60720302000</v>
      </c>
      <c r="AF85" s="128">
        <v>53806096000</v>
      </c>
      <c r="AG85" s="128">
        <v>36046400000</v>
      </c>
      <c r="AH85" s="128">
        <v>47018567000</v>
      </c>
      <c r="AI85" s="125" t="s">
        <v>340</v>
      </c>
      <c r="AJ85" s="125" t="s">
        <v>340</v>
      </c>
      <c r="AK85" s="125" t="s">
        <v>340</v>
      </c>
      <c r="AL85" s="125" t="s">
        <v>340</v>
      </c>
      <c r="AM85" s="128">
        <v>60720302000</v>
      </c>
      <c r="AN85" s="128">
        <v>53806096000</v>
      </c>
      <c r="AO85" s="128">
        <v>36046400000</v>
      </c>
      <c r="AP85" s="128">
        <v>47018567000</v>
      </c>
      <c r="AQ85" s="125" t="s">
        <v>340</v>
      </c>
      <c r="AR85" s="125" t="s">
        <v>340</v>
      </c>
      <c r="AS85" s="125" t="s">
        <v>340</v>
      </c>
      <c r="AT85" s="125" t="s">
        <v>340</v>
      </c>
      <c r="AU85" s="128">
        <v>-32536900000</v>
      </c>
      <c r="AV85" s="128">
        <v>-30472461000</v>
      </c>
      <c r="AW85" s="128">
        <v>-21588583000</v>
      </c>
      <c r="AX85" s="128">
        <v>-28961949000</v>
      </c>
      <c r="AY85" s="128">
        <v>-279239000</v>
      </c>
      <c r="AZ85" s="128">
        <v>-248080000</v>
      </c>
      <c r="BA85" s="128">
        <v>-223565000</v>
      </c>
      <c r="BB85" s="128">
        <v>-252622000</v>
      </c>
      <c r="BC85" s="128">
        <v>-24642838000</v>
      </c>
      <c r="BD85" s="128">
        <v>-22612643000</v>
      </c>
      <c r="BE85" s="128">
        <v>-14698165000</v>
      </c>
      <c r="BF85" s="128">
        <v>-11817257000</v>
      </c>
      <c r="BG85" s="128">
        <v>3261325000</v>
      </c>
      <c r="BH85" s="128">
        <v>472912000</v>
      </c>
      <c r="BI85" s="128">
        <v>-463913000</v>
      </c>
      <c r="BJ85" s="128">
        <v>5986739000</v>
      </c>
      <c r="BK85" s="128">
        <v>-1513761000</v>
      </c>
      <c r="BL85" s="128">
        <v>-1519485000</v>
      </c>
      <c r="BM85" s="128">
        <v>-393540000</v>
      </c>
      <c r="BN85" s="128">
        <v>-404970000</v>
      </c>
      <c r="BO85" s="128">
        <v>-446568000</v>
      </c>
      <c r="BP85" s="128">
        <v>-545998000</v>
      </c>
      <c r="BQ85" s="128">
        <v>-220874000</v>
      </c>
      <c r="BR85" s="128">
        <v>-248414000</v>
      </c>
      <c r="BS85" s="128">
        <v>-1067193000</v>
      </c>
      <c r="BT85" s="128">
        <v>-973487000</v>
      </c>
      <c r="BU85" s="128">
        <v>-172666000</v>
      </c>
      <c r="BV85" s="128">
        <v>-156556000</v>
      </c>
      <c r="BW85" s="128">
        <v>1998422000</v>
      </c>
      <c r="BX85" s="128">
        <v>-3978911000</v>
      </c>
      <c r="BY85" s="128">
        <v>-1923770000</v>
      </c>
      <c r="BZ85" s="128">
        <v>5033953000</v>
      </c>
      <c r="CA85" s="128">
        <v>27334610000</v>
      </c>
      <c r="CB85" s="128">
        <v>24764231000</v>
      </c>
      <c r="CC85" s="128">
        <v>41150853000</v>
      </c>
      <c r="CD85" s="128">
        <v>28557671000</v>
      </c>
      <c r="CE85" s="128">
        <v>3717609000</v>
      </c>
      <c r="CF85" s="128">
        <v>2120927000</v>
      </c>
      <c r="CG85" s="128">
        <v>2740783000</v>
      </c>
      <c r="CH85" s="128">
        <v>3541016000</v>
      </c>
      <c r="CI85" s="128">
        <v>9654078000</v>
      </c>
      <c r="CJ85" s="128">
        <v>4655206000</v>
      </c>
      <c r="CK85" s="128">
        <v>5551559000</v>
      </c>
      <c r="CL85" s="128">
        <v>8531514000</v>
      </c>
      <c r="CM85" s="128">
        <v>7536765000</v>
      </c>
      <c r="CN85" s="128">
        <v>6442781000</v>
      </c>
      <c r="CO85" s="128">
        <v>4487134000</v>
      </c>
      <c r="CP85" s="128">
        <v>6687768000</v>
      </c>
      <c r="CQ85" s="128">
        <v>5435300000</v>
      </c>
      <c r="CR85" s="128">
        <v>10512224000</v>
      </c>
      <c r="CS85" s="128">
        <v>27151621000</v>
      </c>
      <c r="CT85" s="128">
        <v>8526849000</v>
      </c>
      <c r="CU85" s="128">
        <v>598578000</v>
      </c>
      <c r="CV85" s="128">
        <v>758300000</v>
      </c>
      <c r="CW85" s="128">
        <v>1509442000</v>
      </c>
      <c r="CX85" s="128">
        <v>4449862000</v>
      </c>
      <c r="CY85" s="128">
        <v>449788000</v>
      </c>
      <c r="CZ85" s="128">
        <v>406889000</v>
      </c>
      <c r="DA85" s="128">
        <v>363365000</v>
      </c>
      <c r="DB85" s="128">
        <v>339503000</v>
      </c>
      <c r="DC85" s="128">
        <v>84597524000</v>
      </c>
      <c r="DD85" s="128">
        <v>83546312000</v>
      </c>
      <c r="DE85" s="128">
        <v>54463583000</v>
      </c>
      <c r="DF85" s="128">
        <v>41068940000</v>
      </c>
      <c r="DG85" s="16">
        <f t="shared" si="46"/>
        <v>60720302000</v>
      </c>
      <c r="DH85" s="16">
        <f t="shared" si="47"/>
        <v>-32536900000</v>
      </c>
      <c r="DI85" s="16">
        <f t="shared" si="48"/>
        <v>-24922077000</v>
      </c>
      <c r="DJ85" s="16">
        <f t="shared" si="49"/>
        <v>-1513761000</v>
      </c>
      <c r="DK85" s="16">
        <f t="shared" si="50"/>
        <v>1747564000</v>
      </c>
      <c r="DL85" s="57">
        <f t="shared" si="51"/>
        <v>2.8780555142825213E-2</v>
      </c>
      <c r="DM85" s="57">
        <f t="shared" si="52"/>
        <v>2.9633421463320899E-2</v>
      </c>
      <c r="DN85" s="58">
        <f t="shared" si="53"/>
        <v>-279239000</v>
      </c>
      <c r="DO85" s="16">
        <f t="shared" si="54"/>
        <v>2919268000</v>
      </c>
      <c r="DP85" s="16">
        <f t="shared" si="55"/>
        <v>428338500</v>
      </c>
      <c r="DQ85" s="61"/>
      <c r="DR85" s="62">
        <f t="shared" si="56"/>
        <v>53806096000</v>
      </c>
      <c r="DS85" s="62">
        <f t="shared" si="57"/>
        <v>-30472461000</v>
      </c>
      <c r="DT85" s="62">
        <f t="shared" si="58"/>
        <v>-22860723000</v>
      </c>
      <c r="DU85" s="62">
        <f t="shared" si="59"/>
        <v>-1519485000</v>
      </c>
      <c r="DV85" s="62">
        <f t="shared" si="60"/>
        <v>-1046573000</v>
      </c>
      <c r="DW85" s="63">
        <f t="shared" si="61"/>
        <v>-1.9450825794906212E-2</v>
      </c>
      <c r="DX85" s="63">
        <f t="shared" si="62"/>
        <v>-1.9079709685594332E-2</v>
      </c>
      <c r="DY85" s="64">
        <f t="shared" si="63"/>
        <v>-248080000</v>
      </c>
      <c r="DZ85" s="64">
        <f t="shared" si="64"/>
        <v>2430855000</v>
      </c>
      <c r="EA85" s="64">
        <f t="shared" si="65"/>
        <v>385127000</v>
      </c>
      <c r="EB85" s="61"/>
      <c r="EC85" s="64">
        <f t="shared" si="66"/>
        <v>36046400000</v>
      </c>
      <c r="ED85" s="64">
        <f t="shared" si="67"/>
        <v>-21588583000</v>
      </c>
      <c r="EE85" s="64">
        <f t="shared" si="68"/>
        <v>-14921730000</v>
      </c>
      <c r="EF85" s="64">
        <f t="shared" si="69"/>
        <v>-393540000</v>
      </c>
      <c r="EG85" s="64">
        <f t="shared" si="70"/>
        <v>-857453000</v>
      </c>
      <c r="EH85" s="63">
        <f t="shared" si="71"/>
        <v>-2.3787479470904167E-2</v>
      </c>
      <c r="EI85" s="57">
        <f t="shared" si="72"/>
        <v>-2.3234782557799587E-2</v>
      </c>
      <c r="EJ85" s="64">
        <f t="shared" si="73"/>
        <v>-223565000</v>
      </c>
      <c r="EK85" s="64">
        <f t="shared" si="74"/>
        <v>3140899500</v>
      </c>
      <c r="EL85" s="64">
        <f t="shared" si="75"/>
        <v>351434000</v>
      </c>
      <c r="EM85" s="61"/>
      <c r="EN85" s="66">
        <f t="shared" si="76"/>
        <v>50190932666.666664</v>
      </c>
      <c r="EO85" s="66">
        <f t="shared" si="76"/>
        <v>-28199314666.666668</v>
      </c>
      <c r="EP85" s="66">
        <f t="shared" si="76"/>
        <v>-20901510000</v>
      </c>
      <c r="EQ85" s="66">
        <f t="shared" si="43"/>
        <v>-1142262000</v>
      </c>
      <c r="ER85" s="66">
        <f t="shared" si="77"/>
        <v>-52154000.000003815</v>
      </c>
      <c r="ES85" s="63">
        <f t="shared" si="78"/>
        <v>-1.0391119915299141E-3</v>
      </c>
      <c r="ET85" s="67">
        <f t="shared" si="79"/>
        <v>-1.0380333586193645E-3</v>
      </c>
      <c r="EU85" s="66">
        <f t="shared" si="80"/>
        <v>250294666.66666666</v>
      </c>
      <c r="EV85" s="66">
        <f t="shared" si="81"/>
        <v>2830340833.3333335</v>
      </c>
      <c r="EW85" s="66">
        <f t="shared" si="81"/>
        <v>388299833.33333331</v>
      </c>
      <c r="EX85" s="70"/>
      <c r="EY85" s="71" t="str">
        <f t="shared" si="82"/>
        <v>完整</v>
      </c>
      <c r="EZ85" s="71" t="str">
        <f t="shared" si="83"/>
        <v>完整</v>
      </c>
      <c r="FA85" s="71" t="str">
        <f t="shared" si="84"/>
        <v>完整</v>
      </c>
      <c r="FB85" s="71" t="str">
        <f t="shared" si="85"/>
        <v>选择</v>
      </c>
      <c r="FC85" s="71" t="str">
        <f t="shared" si="86"/>
        <v>选择</v>
      </c>
    </row>
    <row r="86" spans="1:217" s="3" customFormat="1" ht="12.75" customHeight="1" x14ac:dyDescent="0.25">
      <c r="A86" s="28" t="s">
        <v>250</v>
      </c>
      <c r="B86" s="134" t="str">
        <f t="shared" si="44"/>
        <v>DO DAY DREAM PUBLIC COMPANY LIMITED</v>
      </c>
      <c r="C86" s="29" t="s">
        <v>328</v>
      </c>
      <c r="D86" s="136" t="s">
        <v>309</v>
      </c>
      <c r="E86" s="35"/>
      <c r="F86" s="34"/>
      <c r="G86" s="32"/>
      <c r="H86" s="31" t="str">
        <f t="shared" si="45"/>
        <v xml:space="preserve"> </v>
      </c>
      <c r="I86" s="29"/>
      <c r="J86" s="29" t="str">
        <f>VLOOKUP(Z:Z,'[1]AP 2022'!FD85:FF181,2,FALSE)</f>
        <v>exclude</v>
      </c>
      <c r="K86" s="47" t="str">
        <f>VLOOKUP(Z:Z,'[1]AP 2022'!FD85:FF181,3,0)</f>
        <v>Independence(A+, A, A-, U)</v>
      </c>
      <c r="L86" s="48"/>
      <c r="M86" s="125" t="s">
        <v>983</v>
      </c>
      <c r="N86" s="125" t="s">
        <v>984</v>
      </c>
      <c r="O86" s="125" t="s">
        <v>331</v>
      </c>
      <c r="P86" s="125" t="s">
        <v>985</v>
      </c>
      <c r="Q86" s="124"/>
      <c r="R86" s="125" t="s">
        <v>498</v>
      </c>
      <c r="S86" s="125" t="s">
        <v>986</v>
      </c>
      <c r="T86" s="125" t="s">
        <v>374</v>
      </c>
      <c r="U86" s="125" t="s">
        <v>321</v>
      </c>
      <c r="V86" s="125" t="s">
        <v>987</v>
      </c>
      <c r="W86" s="125" t="s">
        <v>988</v>
      </c>
      <c r="X86" s="125" t="s">
        <v>989</v>
      </c>
      <c r="Y86" s="124"/>
      <c r="Z86" s="125" t="s">
        <v>990</v>
      </c>
      <c r="AA86" s="128">
        <v>1615527000</v>
      </c>
      <c r="AB86" s="128">
        <v>1417259000</v>
      </c>
      <c r="AC86" s="128">
        <v>1551089000</v>
      </c>
      <c r="AD86" s="128">
        <v>796440000</v>
      </c>
      <c r="AE86" s="128">
        <v>1602798000</v>
      </c>
      <c r="AF86" s="128">
        <v>1411311000</v>
      </c>
      <c r="AG86" s="128">
        <v>1000337000</v>
      </c>
      <c r="AH86" s="128">
        <v>729065000</v>
      </c>
      <c r="AI86" s="125" t="s">
        <v>340</v>
      </c>
      <c r="AJ86" s="125" t="s">
        <v>340</v>
      </c>
      <c r="AK86" s="125" t="s">
        <v>340</v>
      </c>
      <c r="AL86" s="125" t="s">
        <v>340</v>
      </c>
      <c r="AM86" s="128">
        <v>1602798000</v>
      </c>
      <c r="AN86" s="128">
        <v>1411311000</v>
      </c>
      <c r="AO86" s="128">
        <v>1000337000</v>
      </c>
      <c r="AP86" s="128">
        <v>729065000</v>
      </c>
      <c r="AQ86" s="128">
        <v>12729000</v>
      </c>
      <c r="AR86" s="128">
        <v>5948000</v>
      </c>
      <c r="AS86" s="128">
        <v>550752000</v>
      </c>
      <c r="AT86" s="128">
        <v>67375000</v>
      </c>
      <c r="AU86" s="128">
        <v>-103440000</v>
      </c>
      <c r="AV86" s="128">
        <v>-135519000</v>
      </c>
      <c r="AW86" s="128">
        <v>-193452000</v>
      </c>
      <c r="AX86" s="128">
        <v>-65148000</v>
      </c>
      <c r="AY86" s="128">
        <v>0</v>
      </c>
      <c r="AZ86" s="128">
        <v>0</v>
      </c>
      <c r="BA86" s="128">
        <v>0</v>
      </c>
      <c r="BB86" s="128">
        <v>0</v>
      </c>
      <c r="BC86" s="128">
        <v>-1425179000</v>
      </c>
      <c r="BD86" s="128">
        <v>-1175871000</v>
      </c>
      <c r="BE86" s="128">
        <v>-1074034000</v>
      </c>
      <c r="BF86" s="128">
        <v>-757961000</v>
      </c>
      <c r="BG86" s="128">
        <v>86908000</v>
      </c>
      <c r="BH86" s="128">
        <v>105869000</v>
      </c>
      <c r="BI86" s="128">
        <v>283603000</v>
      </c>
      <c r="BJ86" s="128">
        <v>-26669000</v>
      </c>
      <c r="BK86" s="128">
        <v>-65761000</v>
      </c>
      <c r="BL86" s="128">
        <v>-70190000</v>
      </c>
      <c r="BM86" s="128">
        <v>-69741000</v>
      </c>
      <c r="BN86" s="128">
        <v>-33698000</v>
      </c>
      <c r="BO86" s="128">
        <v>-50312000</v>
      </c>
      <c r="BP86" s="128">
        <v>-54716000</v>
      </c>
      <c r="BQ86" s="128">
        <v>-56223000</v>
      </c>
      <c r="BR86" s="128">
        <v>-32937000</v>
      </c>
      <c r="BS86" s="128">
        <v>-15449000</v>
      </c>
      <c r="BT86" s="128">
        <v>-15474000</v>
      </c>
      <c r="BU86" s="128">
        <v>-13518000</v>
      </c>
      <c r="BV86" s="128">
        <v>-761000</v>
      </c>
      <c r="BW86" s="128">
        <v>100968000</v>
      </c>
      <c r="BX86" s="128">
        <v>81319000</v>
      </c>
      <c r="BY86" s="128">
        <v>169253000</v>
      </c>
      <c r="BZ86" s="128">
        <v>-53785000</v>
      </c>
      <c r="CA86" s="128">
        <v>4349132000</v>
      </c>
      <c r="CB86" s="128">
        <v>4239432000</v>
      </c>
      <c r="CC86" s="128">
        <v>4280961000</v>
      </c>
      <c r="CD86" s="128">
        <v>4554748000</v>
      </c>
      <c r="CE86" s="128">
        <v>667837000</v>
      </c>
      <c r="CF86" s="128">
        <v>397160000</v>
      </c>
      <c r="CG86" s="128">
        <v>361408000</v>
      </c>
      <c r="CH86" s="128">
        <v>361816000</v>
      </c>
      <c r="CI86" s="128">
        <v>477589000</v>
      </c>
      <c r="CJ86" s="128">
        <v>509622000</v>
      </c>
      <c r="CK86" s="128">
        <v>341087000</v>
      </c>
      <c r="CL86" s="128">
        <v>220285000</v>
      </c>
      <c r="CM86" s="128">
        <v>81450000</v>
      </c>
      <c r="CN86" s="128">
        <v>175386000</v>
      </c>
      <c r="CO86" s="128">
        <v>6554000</v>
      </c>
      <c r="CP86" s="128">
        <v>35076000</v>
      </c>
      <c r="CQ86" s="128">
        <v>3122256000</v>
      </c>
      <c r="CR86" s="128">
        <v>3157264000</v>
      </c>
      <c r="CS86" s="128">
        <v>3571912000</v>
      </c>
      <c r="CT86" s="128">
        <v>3931732000</v>
      </c>
      <c r="CU86" s="128">
        <v>671610000</v>
      </c>
      <c r="CV86" s="128">
        <v>2269343000</v>
      </c>
      <c r="CW86" s="128">
        <v>3083330000</v>
      </c>
      <c r="CX86" s="128">
        <v>2908042000</v>
      </c>
      <c r="CY86" s="128">
        <v>523000</v>
      </c>
      <c r="CZ86" s="128">
        <v>410000</v>
      </c>
      <c r="DA86" s="128">
        <v>166000</v>
      </c>
      <c r="DB86" s="128">
        <v>1392000</v>
      </c>
      <c r="DC86" s="128">
        <v>5318390000</v>
      </c>
      <c r="DD86" s="128">
        <v>5223706000</v>
      </c>
      <c r="DE86" s="128">
        <v>5333512000</v>
      </c>
      <c r="DF86" s="128">
        <v>4956709000</v>
      </c>
      <c r="DG86" s="16">
        <f t="shared" si="46"/>
        <v>1602798000</v>
      </c>
      <c r="DH86" s="16">
        <f t="shared" si="47"/>
        <v>-103440000</v>
      </c>
      <c r="DI86" s="16">
        <f t="shared" si="48"/>
        <v>-1425179000</v>
      </c>
      <c r="DJ86" s="16">
        <f t="shared" si="49"/>
        <v>-65761000</v>
      </c>
      <c r="DK86" s="16">
        <f t="shared" si="50"/>
        <v>8418000</v>
      </c>
      <c r="DL86" s="57">
        <f t="shared" si="51"/>
        <v>5.2520654505433624E-3</v>
      </c>
      <c r="DM86" s="57">
        <f t="shared" si="52"/>
        <v>5.279795280924246E-3</v>
      </c>
      <c r="DN86" s="58">
        <f t="shared" si="53"/>
        <v>0</v>
      </c>
      <c r="DO86" s="16">
        <f t="shared" si="54"/>
        <v>532498500</v>
      </c>
      <c r="DP86" s="16">
        <f t="shared" si="55"/>
        <v>466500</v>
      </c>
      <c r="DQ86" s="61"/>
      <c r="DR86" s="62">
        <f t="shared" si="56"/>
        <v>1411311000</v>
      </c>
      <c r="DS86" s="62">
        <f t="shared" si="57"/>
        <v>-135519000</v>
      </c>
      <c r="DT86" s="62">
        <f t="shared" si="58"/>
        <v>-1175871000</v>
      </c>
      <c r="DU86" s="62">
        <f t="shared" si="59"/>
        <v>-70190000</v>
      </c>
      <c r="DV86" s="62">
        <f t="shared" si="60"/>
        <v>29731000</v>
      </c>
      <c r="DW86" s="63">
        <f t="shared" si="61"/>
        <v>2.1066228492515115E-2</v>
      </c>
      <c r="DX86" s="63">
        <f t="shared" si="62"/>
        <v>2.1519564556522243E-2</v>
      </c>
      <c r="DY86" s="64">
        <f t="shared" si="63"/>
        <v>0</v>
      </c>
      <c r="DZ86" s="64">
        <f t="shared" si="64"/>
        <v>379284000</v>
      </c>
      <c r="EA86" s="64">
        <f t="shared" si="65"/>
        <v>288000</v>
      </c>
      <c r="EB86" s="61"/>
      <c r="EC86" s="64">
        <f t="shared" si="66"/>
        <v>1000337000</v>
      </c>
      <c r="ED86" s="64">
        <f t="shared" si="67"/>
        <v>-193452000</v>
      </c>
      <c r="EE86" s="64">
        <f t="shared" si="68"/>
        <v>-1074034000</v>
      </c>
      <c r="EF86" s="64">
        <f t="shared" si="69"/>
        <v>-69741000</v>
      </c>
      <c r="EG86" s="64">
        <f t="shared" si="70"/>
        <v>-336890000</v>
      </c>
      <c r="EH86" s="63">
        <f t="shared" si="71"/>
        <v>-0.33677650631737105</v>
      </c>
      <c r="EI86" s="57">
        <f t="shared" si="72"/>
        <v>-0.25193179617222805</v>
      </c>
      <c r="EJ86" s="64">
        <f t="shared" si="73"/>
        <v>0</v>
      </c>
      <c r="EK86" s="64">
        <f t="shared" si="74"/>
        <v>361612000</v>
      </c>
      <c r="EL86" s="64">
        <f t="shared" si="75"/>
        <v>779000</v>
      </c>
      <c r="EM86" s="61"/>
      <c r="EN86" s="66">
        <f t="shared" si="76"/>
        <v>1338148666.6666667</v>
      </c>
      <c r="EO86" s="66">
        <f t="shared" si="76"/>
        <v>-144137000</v>
      </c>
      <c r="EP86" s="66">
        <f t="shared" si="76"/>
        <v>-1225028000</v>
      </c>
      <c r="EQ86" s="66">
        <f t="shared" si="43"/>
        <v>-68564000</v>
      </c>
      <c r="ER86" s="66">
        <f t="shared" si="77"/>
        <v>-99580333.333333254</v>
      </c>
      <c r="ES86" s="63">
        <f t="shared" si="78"/>
        <v>-7.4416494828925275E-2</v>
      </c>
      <c r="ET86" s="67">
        <f t="shared" si="79"/>
        <v>-6.9262241586093939E-2</v>
      </c>
      <c r="EU86" s="66">
        <f t="shared" si="80"/>
        <v>0</v>
      </c>
      <c r="EV86" s="66">
        <f t="shared" si="81"/>
        <v>424464833.33333331</v>
      </c>
      <c r="EW86" s="66">
        <f t="shared" si="81"/>
        <v>511166.66666666669</v>
      </c>
      <c r="EX86" s="70"/>
      <c r="EY86" s="71" t="str">
        <f t="shared" si="82"/>
        <v>完整</v>
      </c>
      <c r="EZ86" s="71" t="str">
        <f t="shared" si="83"/>
        <v>完整</v>
      </c>
      <c r="FA86" s="71" t="str">
        <f t="shared" si="84"/>
        <v>完整</v>
      </c>
      <c r="FB86" s="71" t="str">
        <f t="shared" si="85"/>
        <v>选择</v>
      </c>
      <c r="FC86" s="71" t="str">
        <f t="shared" si="86"/>
        <v>选择</v>
      </c>
      <c r="FD86" s="72"/>
      <c r="FE86" s="72"/>
      <c r="FF86" s="72"/>
      <c r="FG86" s="72"/>
      <c r="FH86" s="72"/>
      <c r="FI86" s="72"/>
      <c r="FJ86" s="72"/>
      <c r="FK86" s="72"/>
      <c r="FL86" s="72"/>
      <c r="FM86" s="72"/>
      <c r="FN86" s="72"/>
      <c r="FO86" s="72"/>
      <c r="FP86" s="72"/>
      <c r="FQ86" s="72"/>
      <c r="FR86" s="72"/>
      <c r="FS86" s="72"/>
      <c r="FT86" s="72"/>
      <c r="FU86" s="72"/>
      <c r="FV86" s="72"/>
      <c r="FW86" s="72"/>
      <c r="FX86" s="72"/>
      <c r="FY86" s="72"/>
      <c r="FZ86" s="72"/>
      <c r="GA86" s="72"/>
      <c r="GB86" s="72"/>
      <c r="GC86" s="72"/>
      <c r="GD86" s="72"/>
      <c r="GE86" s="72"/>
      <c r="GF86" s="72"/>
      <c r="GG86" s="72"/>
      <c r="GH86" s="72"/>
      <c r="GI86" s="72"/>
      <c r="GJ86" s="72"/>
      <c r="GK86" s="72"/>
      <c r="GL86" s="72"/>
      <c r="GM86" s="72"/>
      <c r="GN86" s="72"/>
      <c r="GO86" s="72"/>
      <c r="GP86" s="72"/>
      <c r="GQ86" s="72"/>
      <c r="GR86" s="72"/>
      <c r="GS86" s="72"/>
      <c r="GT86" s="72"/>
      <c r="GU86" s="72"/>
      <c r="GV86" s="72"/>
      <c r="GW86" s="72"/>
      <c r="GX86" s="72"/>
      <c r="GY86" s="72"/>
      <c r="GZ86" s="72"/>
      <c r="HA86" s="72"/>
      <c r="HB86" s="72"/>
      <c r="HC86" s="72"/>
      <c r="HD86" s="72"/>
      <c r="HE86" s="72"/>
      <c r="HF86" s="72"/>
      <c r="HG86" s="72"/>
      <c r="HH86" s="72"/>
      <c r="HI86" s="72"/>
    </row>
    <row r="87" spans="1:217" s="3" customFormat="1" ht="12.75" customHeight="1" x14ac:dyDescent="0.25">
      <c r="A87" s="28" t="s">
        <v>251</v>
      </c>
      <c r="B87" s="134" t="str">
        <f t="shared" si="44"/>
        <v>BEAUTY SKIN CO.,LTD.</v>
      </c>
      <c r="C87" s="29" t="s">
        <v>328</v>
      </c>
      <c r="D87" s="136" t="s">
        <v>309</v>
      </c>
      <c r="E87" s="35"/>
      <c r="H87" s="31" t="str">
        <f t="shared" si="45"/>
        <v xml:space="preserve"> </v>
      </c>
      <c r="I87" s="29"/>
      <c r="J87" s="29" t="e">
        <f>VLOOKUP(Z:Z,'[1]AP 2022'!FD86:FF181,2,FALSE)</f>
        <v>#N/A</v>
      </c>
      <c r="K87" s="47" t="e">
        <f>VLOOKUP(Z:Z,'[1]AP 2022'!FD86:FF181,3,0)</f>
        <v>#N/A</v>
      </c>
      <c r="L87" s="48"/>
      <c r="M87" s="125" t="s">
        <v>991</v>
      </c>
      <c r="N87" s="125" t="s">
        <v>992</v>
      </c>
      <c r="O87" s="125" t="s">
        <v>772</v>
      </c>
      <c r="P87" s="125" t="s">
        <v>993</v>
      </c>
      <c r="Q87" s="124"/>
      <c r="R87" s="125" t="s">
        <v>363</v>
      </c>
      <c r="S87" s="125" t="s">
        <v>994</v>
      </c>
      <c r="T87" s="125" t="s">
        <v>365</v>
      </c>
      <c r="U87" s="125" t="s">
        <v>321</v>
      </c>
      <c r="V87" s="125" t="s">
        <v>995</v>
      </c>
      <c r="W87" s="125" t="s">
        <v>996</v>
      </c>
      <c r="X87" s="124"/>
      <c r="Y87" s="124"/>
      <c r="Z87" s="125" t="s">
        <v>997</v>
      </c>
      <c r="AA87" s="128">
        <v>58936832000</v>
      </c>
      <c r="AB87" s="128">
        <v>41163709000</v>
      </c>
      <c r="AC87" s="125" t="s">
        <v>340</v>
      </c>
      <c r="AD87" s="125" t="s">
        <v>340</v>
      </c>
      <c r="AE87" s="128">
        <v>58936832000</v>
      </c>
      <c r="AF87" s="128">
        <v>41163709000</v>
      </c>
      <c r="AG87" s="125" t="s">
        <v>340</v>
      </c>
      <c r="AH87" s="125" t="s">
        <v>340</v>
      </c>
      <c r="AI87" s="125" t="s">
        <v>340</v>
      </c>
      <c r="AJ87" s="125" t="s">
        <v>340</v>
      </c>
      <c r="AK87" s="125" t="s">
        <v>340</v>
      </c>
      <c r="AL87" s="125" t="s">
        <v>340</v>
      </c>
      <c r="AM87" s="128">
        <v>58936832000</v>
      </c>
      <c r="AN87" s="128">
        <v>41163709000</v>
      </c>
      <c r="AO87" s="125" t="s">
        <v>340</v>
      </c>
      <c r="AP87" s="125" t="s">
        <v>340</v>
      </c>
      <c r="AQ87" s="125" t="s">
        <v>340</v>
      </c>
      <c r="AR87" s="125" t="s">
        <v>340</v>
      </c>
      <c r="AS87" s="125" t="s">
        <v>340</v>
      </c>
      <c r="AT87" s="125" t="s">
        <v>340</v>
      </c>
      <c r="AU87" s="128">
        <v>-43350119000</v>
      </c>
      <c r="AV87" s="128">
        <v>-35710593000</v>
      </c>
      <c r="AW87" s="125" t="s">
        <v>340</v>
      </c>
      <c r="AX87" s="125" t="s">
        <v>340</v>
      </c>
      <c r="AY87" s="128">
        <v>-187534000</v>
      </c>
      <c r="AZ87" s="128">
        <v>-205545000</v>
      </c>
      <c r="BA87" s="125" t="s">
        <v>340</v>
      </c>
      <c r="BB87" s="125" t="s">
        <v>340</v>
      </c>
      <c r="BC87" s="128">
        <v>-11352966000</v>
      </c>
      <c r="BD87" s="128">
        <v>-2030309000</v>
      </c>
      <c r="BE87" s="125" t="s">
        <v>340</v>
      </c>
      <c r="BF87" s="125" t="s">
        <v>340</v>
      </c>
      <c r="BG87" s="125" t="s">
        <v>340</v>
      </c>
      <c r="BH87" s="125" t="s">
        <v>340</v>
      </c>
      <c r="BI87" s="125" t="s">
        <v>340</v>
      </c>
      <c r="BJ87" s="125" t="s">
        <v>340</v>
      </c>
      <c r="BK87" s="125" t="s">
        <v>340</v>
      </c>
      <c r="BL87" s="125" t="s">
        <v>340</v>
      </c>
      <c r="BM87" s="125" t="s">
        <v>340</v>
      </c>
      <c r="BN87" s="125" t="s">
        <v>340</v>
      </c>
      <c r="BO87" s="125" t="s">
        <v>340</v>
      </c>
      <c r="BP87" s="125" t="s">
        <v>340</v>
      </c>
      <c r="BQ87" s="125" t="s">
        <v>340</v>
      </c>
      <c r="BR87" s="125" t="s">
        <v>340</v>
      </c>
      <c r="BS87" s="125" t="s">
        <v>340</v>
      </c>
      <c r="BT87" s="125" t="s">
        <v>340</v>
      </c>
      <c r="BU87" s="125" t="s">
        <v>340</v>
      </c>
      <c r="BV87" s="125" t="s">
        <v>340</v>
      </c>
      <c r="BW87" s="128">
        <v>3355744000</v>
      </c>
      <c r="BX87" s="128">
        <v>2419908000</v>
      </c>
      <c r="BY87" s="125" t="s">
        <v>340</v>
      </c>
      <c r="BZ87" s="125" t="s">
        <v>340</v>
      </c>
      <c r="CA87" s="128">
        <v>25463612000</v>
      </c>
      <c r="CB87" s="128">
        <v>25753240000</v>
      </c>
      <c r="CC87" s="125" t="s">
        <v>340</v>
      </c>
      <c r="CD87" s="125" t="s">
        <v>340</v>
      </c>
      <c r="CE87" s="128">
        <v>5811675000</v>
      </c>
      <c r="CF87" s="128">
        <v>10009759000</v>
      </c>
      <c r="CG87" s="125" t="s">
        <v>340</v>
      </c>
      <c r="CH87" s="125" t="s">
        <v>340</v>
      </c>
      <c r="CI87" s="128">
        <v>10984763000</v>
      </c>
      <c r="CJ87" s="128">
        <v>6911491000</v>
      </c>
      <c r="CK87" s="125" t="s">
        <v>340</v>
      </c>
      <c r="CL87" s="125" t="s">
        <v>340</v>
      </c>
      <c r="CM87" s="128">
        <v>357776000</v>
      </c>
      <c r="CN87" s="128">
        <v>1173050000</v>
      </c>
      <c r="CO87" s="125" t="s">
        <v>340</v>
      </c>
      <c r="CP87" s="125" t="s">
        <v>340</v>
      </c>
      <c r="CQ87" s="128">
        <v>7670021000</v>
      </c>
      <c r="CR87" s="128">
        <v>6556309000</v>
      </c>
      <c r="CS87" s="125" t="s">
        <v>340</v>
      </c>
      <c r="CT87" s="125" t="s">
        <v>340</v>
      </c>
      <c r="CU87" s="125" t="s">
        <v>340</v>
      </c>
      <c r="CV87" s="125" t="s">
        <v>340</v>
      </c>
      <c r="CW87" s="125" t="s">
        <v>340</v>
      </c>
      <c r="CX87" s="125" t="s">
        <v>340</v>
      </c>
      <c r="CY87" s="128">
        <v>397339000</v>
      </c>
      <c r="CZ87" s="128">
        <v>346321000</v>
      </c>
      <c r="DA87" s="125" t="s">
        <v>340</v>
      </c>
      <c r="DB87" s="125" t="s">
        <v>340</v>
      </c>
      <c r="DC87" s="128">
        <v>64484896000</v>
      </c>
      <c r="DD87" s="128">
        <v>67605903000</v>
      </c>
      <c r="DE87" s="125" t="s">
        <v>340</v>
      </c>
      <c r="DF87" s="125" t="s">
        <v>340</v>
      </c>
      <c r="DG87" s="16">
        <f t="shared" si="46"/>
        <v>58936832000</v>
      </c>
      <c r="DH87" s="16">
        <f t="shared" si="47"/>
        <v>-43350119000</v>
      </c>
      <c r="DI87" s="16">
        <f t="shared" si="48"/>
        <v>-11540500000</v>
      </c>
      <c r="DJ87" s="16" t="str">
        <f t="shared" si="49"/>
        <v>n.a.</v>
      </c>
      <c r="DK87" s="16" t="e">
        <f t="shared" si="50"/>
        <v>#VALUE!</v>
      </c>
      <c r="DL87" s="57" t="e">
        <f t="shared" si="51"/>
        <v>#VALUE!</v>
      </c>
      <c r="DM87" s="57" t="e">
        <f t="shared" si="52"/>
        <v>#VALUE!</v>
      </c>
      <c r="DN87" s="58">
        <f t="shared" si="53"/>
        <v>-187534000</v>
      </c>
      <c r="DO87" s="16">
        <f t="shared" si="54"/>
        <v>7910717000</v>
      </c>
      <c r="DP87" s="16">
        <f t="shared" si="55"/>
        <v>371830000</v>
      </c>
      <c r="DQ87" s="61"/>
      <c r="DR87" s="62">
        <f t="shared" si="56"/>
        <v>41163709000</v>
      </c>
      <c r="DS87" s="62">
        <f t="shared" si="57"/>
        <v>-35710593000</v>
      </c>
      <c r="DT87" s="62">
        <f t="shared" si="58"/>
        <v>-2235854000</v>
      </c>
      <c r="DU87" s="62" t="str">
        <f t="shared" si="59"/>
        <v>n.a.</v>
      </c>
      <c r="DV87" s="62" t="e">
        <f t="shared" si="60"/>
        <v>#VALUE!</v>
      </c>
      <c r="DW87" s="63" t="e">
        <f t="shared" si="61"/>
        <v>#VALUE!</v>
      </c>
      <c r="DX87" s="63" t="e">
        <f t="shared" si="62"/>
        <v>#VALUE!</v>
      </c>
      <c r="DY87" s="64">
        <f t="shared" si="63"/>
        <v>-205545000</v>
      </c>
      <c r="DZ87" s="64" t="e">
        <f t="shared" si="64"/>
        <v>#VALUE!</v>
      </c>
      <c r="EA87" s="64" t="e">
        <f t="shared" si="65"/>
        <v>#VALUE!</v>
      </c>
      <c r="EB87" s="61"/>
      <c r="EC87" s="64" t="str">
        <f t="shared" si="66"/>
        <v>无数据</v>
      </c>
      <c r="ED87" s="64" t="str">
        <f t="shared" si="67"/>
        <v>n.a.</v>
      </c>
      <c r="EE87" s="64" t="str">
        <f t="shared" si="68"/>
        <v>n.a.</v>
      </c>
      <c r="EF87" s="64" t="str">
        <f t="shared" si="69"/>
        <v>n.a.</v>
      </c>
      <c r="EG87" s="64" t="str">
        <f t="shared" si="70"/>
        <v>无数据</v>
      </c>
      <c r="EH87" s="63" t="e">
        <f t="shared" si="71"/>
        <v>#VALUE!</v>
      </c>
      <c r="EI87" s="57" t="e">
        <f t="shared" si="72"/>
        <v>#VALUE!</v>
      </c>
      <c r="EJ87" s="64" t="str">
        <f t="shared" si="73"/>
        <v>n.a.</v>
      </c>
      <c r="EK87" s="64" t="e">
        <f t="shared" si="74"/>
        <v>#VALUE!</v>
      </c>
      <c r="EL87" s="64" t="e">
        <f t="shared" si="75"/>
        <v>#VALUE!</v>
      </c>
      <c r="EM87" s="61"/>
      <c r="EN87" s="66" t="e">
        <f t="shared" si="76"/>
        <v>#VALUE!</v>
      </c>
      <c r="EO87" s="66" t="e">
        <f t="shared" si="76"/>
        <v>#VALUE!</v>
      </c>
      <c r="EP87" s="66" t="e">
        <f t="shared" si="76"/>
        <v>#VALUE!</v>
      </c>
      <c r="EQ87" s="66" t="e">
        <f t="shared" si="43"/>
        <v>#VALUE!</v>
      </c>
      <c r="ER87" s="66" t="e">
        <f t="shared" si="77"/>
        <v>#VALUE!</v>
      </c>
      <c r="ES87" s="63" t="e">
        <f t="shared" si="78"/>
        <v>#VALUE!</v>
      </c>
      <c r="ET87" s="67" t="e">
        <f t="shared" si="79"/>
        <v>#VALUE!</v>
      </c>
      <c r="EU87" s="66" t="e">
        <f t="shared" si="80"/>
        <v>#VALUE!</v>
      </c>
      <c r="EV87" s="66" t="e">
        <f t="shared" si="81"/>
        <v>#VALUE!</v>
      </c>
      <c r="EW87" s="66" t="e">
        <f t="shared" si="81"/>
        <v>#VALUE!</v>
      </c>
      <c r="EX87" s="70"/>
      <c r="EY87" s="71" t="str">
        <f t="shared" si="82"/>
        <v>无数据</v>
      </c>
      <c r="EZ87" s="71" t="str">
        <f t="shared" si="83"/>
        <v>完整</v>
      </c>
      <c r="FA87" s="71" t="str">
        <f t="shared" si="84"/>
        <v>完整</v>
      </c>
      <c r="FB87" s="71" t="str">
        <f t="shared" si="85"/>
        <v>删除</v>
      </c>
      <c r="FC87" s="71" t="e">
        <f t="shared" si="86"/>
        <v>#VALUE!</v>
      </c>
      <c r="FD87" s="72"/>
      <c r="FE87" s="72"/>
      <c r="FF87" s="72"/>
      <c r="FG87" s="72"/>
      <c r="FH87" s="72"/>
      <c r="FI87" s="72"/>
      <c r="FJ87" s="72"/>
      <c r="FK87" s="72"/>
      <c r="FL87" s="72"/>
      <c r="FM87" s="72"/>
      <c r="FN87" s="72"/>
      <c r="FO87" s="72"/>
      <c r="FP87" s="72"/>
      <c r="FQ87" s="72"/>
      <c r="FR87" s="72"/>
      <c r="FS87" s="72"/>
      <c r="FT87" s="72"/>
      <c r="FU87" s="72"/>
      <c r="FV87" s="72"/>
      <c r="FW87" s="72"/>
      <c r="FX87" s="72"/>
      <c r="FY87" s="72"/>
      <c r="FZ87" s="72"/>
      <c r="GA87" s="72"/>
      <c r="GB87" s="72"/>
      <c r="GC87" s="72"/>
      <c r="GD87" s="72"/>
      <c r="GE87" s="72"/>
      <c r="GF87" s="72"/>
      <c r="GG87" s="72"/>
      <c r="GH87" s="72"/>
      <c r="GI87" s="72"/>
      <c r="GJ87" s="72"/>
      <c r="GK87" s="72"/>
      <c r="GL87" s="72"/>
      <c r="GM87" s="72"/>
      <c r="GN87" s="72"/>
      <c r="GO87" s="72"/>
      <c r="GP87" s="72"/>
      <c r="GQ87" s="72"/>
      <c r="GR87" s="72"/>
      <c r="GS87" s="72"/>
      <c r="GT87" s="72"/>
      <c r="GU87" s="72"/>
      <c r="GV87" s="72"/>
      <c r="GW87" s="72"/>
      <c r="GX87" s="72"/>
      <c r="GY87" s="72"/>
      <c r="GZ87" s="72"/>
      <c r="HA87" s="72"/>
      <c r="HB87" s="72"/>
      <c r="HC87" s="72"/>
      <c r="HD87" s="72"/>
      <c r="HE87" s="72"/>
      <c r="HF87" s="72"/>
      <c r="HG87" s="72"/>
      <c r="HH87" s="72"/>
      <c r="HI87" s="72"/>
    </row>
    <row r="88" spans="1:217" s="3" customFormat="1" ht="12.75" customHeight="1" x14ac:dyDescent="0.25">
      <c r="A88" s="28" t="s">
        <v>252</v>
      </c>
      <c r="B88" s="134" t="str">
        <f t="shared" si="44"/>
        <v>KODI CO.,LTD.</v>
      </c>
      <c r="C88" s="29" t="s">
        <v>328</v>
      </c>
      <c r="D88" s="136" t="s">
        <v>309</v>
      </c>
      <c r="E88" s="35"/>
      <c r="F88" s="34"/>
      <c r="H88" s="31" t="str">
        <f t="shared" si="45"/>
        <v xml:space="preserve"> </v>
      </c>
      <c r="I88" s="29"/>
      <c r="J88" s="29" t="str">
        <f>VLOOKUP(Z:Z,'[1]AP 2022'!FD87:FF181,2,FALSE)</f>
        <v>exclude</v>
      </c>
      <c r="K88" s="47" t="str">
        <f>VLOOKUP(Z:Z,'[1]AP 2022'!FD87:FF181,3,0)</f>
        <v>Independence(A+, A, A-, U)</v>
      </c>
      <c r="L88" s="48"/>
      <c r="M88" s="125" t="s">
        <v>998</v>
      </c>
      <c r="N88" s="125" t="s">
        <v>999</v>
      </c>
      <c r="O88" s="125" t="s">
        <v>331</v>
      </c>
      <c r="P88" s="125" t="s">
        <v>1000</v>
      </c>
      <c r="Q88" s="124"/>
      <c r="R88" s="125" t="s">
        <v>363</v>
      </c>
      <c r="S88" s="125" t="s">
        <v>1001</v>
      </c>
      <c r="T88" s="125" t="s">
        <v>365</v>
      </c>
      <c r="U88" s="125" t="s">
        <v>321</v>
      </c>
      <c r="V88" s="125" t="s">
        <v>1002</v>
      </c>
      <c r="W88" s="125" t="s">
        <v>1003</v>
      </c>
      <c r="X88" s="125" t="s">
        <v>1004</v>
      </c>
      <c r="Y88" s="124"/>
      <c r="Z88" s="125" t="s">
        <v>1005</v>
      </c>
      <c r="AA88" s="128">
        <v>55200192000</v>
      </c>
      <c r="AB88" s="128">
        <v>49250447000</v>
      </c>
      <c r="AC88" s="128">
        <v>58793472000</v>
      </c>
      <c r="AD88" s="128">
        <v>49308692000</v>
      </c>
      <c r="AE88" s="128">
        <v>55200192000</v>
      </c>
      <c r="AF88" s="128">
        <v>49250447000</v>
      </c>
      <c r="AG88" s="128">
        <v>58793472000</v>
      </c>
      <c r="AH88" s="128">
        <v>49308692000</v>
      </c>
      <c r="AI88" s="125" t="s">
        <v>340</v>
      </c>
      <c r="AJ88" s="125" t="s">
        <v>340</v>
      </c>
      <c r="AK88" s="125" t="s">
        <v>340</v>
      </c>
      <c r="AL88" s="125" t="s">
        <v>340</v>
      </c>
      <c r="AM88" s="128">
        <v>55200192000</v>
      </c>
      <c r="AN88" s="128">
        <v>49250447000</v>
      </c>
      <c r="AO88" s="128">
        <v>58793472000</v>
      </c>
      <c r="AP88" s="128">
        <v>49308692000</v>
      </c>
      <c r="AQ88" s="125" t="s">
        <v>340</v>
      </c>
      <c r="AR88" s="125" t="s">
        <v>340</v>
      </c>
      <c r="AS88" s="125" t="s">
        <v>340</v>
      </c>
      <c r="AT88" s="125" t="s">
        <v>340</v>
      </c>
      <c r="AU88" s="128">
        <v>-49527248000</v>
      </c>
      <c r="AV88" s="128">
        <v>-42037985000</v>
      </c>
      <c r="AW88" s="128">
        <v>-44510228000</v>
      </c>
      <c r="AX88" s="128">
        <v>-41845204000</v>
      </c>
      <c r="AY88" s="128">
        <v>-3158936000</v>
      </c>
      <c r="AZ88" s="128">
        <v>-1826282000</v>
      </c>
      <c r="BA88" s="128">
        <v>-548186000</v>
      </c>
      <c r="BB88" s="128">
        <v>-417369000</v>
      </c>
      <c r="BC88" s="128">
        <v>-6370328000</v>
      </c>
      <c r="BD88" s="128">
        <v>-6069152000</v>
      </c>
      <c r="BE88" s="128">
        <v>-10048653000</v>
      </c>
      <c r="BF88" s="128">
        <v>-5420255000</v>
      </c>
      <c r="BG88" s="128">
        <v>-3856320000</v>
      </c>
      <c r="BH88" s="128">
        <v>-682972000</v>
      </c>
      <c r="BI88" s="128">
        <v>3686405000</v>
      </c>
      <c r="BJ88" s="128">
        <v>1625864000</v>
      </c>
      <c r="BK88" s="128">
        <v>-1731879000</v>
      </c>
      <c r="BL88" s="128">
        <v>-1498904000</v>
      </c>
      <c r="BM88" s="128">
        <v>-1749883000</v>
      </c>
      <c r="BN88" s="128">
        <v>-1580964000</v>
      </c>
      <c r="BO88" s="128">
        <v>-775971000</v>
      </c>
      <c r="BP88" s="128">
        <v>-578982000</v>
      </c>
      <c r="BQ88" s="128">
        <v>-715336000</v>
      </c>
      <c r="BR88" s="128">
        <v>-548053000</v>
      </c>
      <c r="BS88" s="128">
        <v>-955908000</v>
      </c>
      <c r="BT88" s="128">
        <v>-919922000</v>
      </c>
      <c r="BU88" s="128">
        <v>-1034547000</v>
      </c>
      <c r="BV88" s="128">
        <v>-1032911000</v>
      </c>
      <c r="BW88" s="128">
        <v>-13343565000</v>
      </c>
      <c r="BX88" s="128">
        <v>-7330904000</v>
      </c>
      <c r="BY88" s="128">
        <v>-2955810000</v>
      </c>
      <c r="BZ88" s="128">
        <v>-6795761000</v>
      </c>
      <c r="CA88" s="128">
        <v>19692638000</v>
      </c>
      <c r="CB88" s="128">
        <v>31003565000</v>
      </c>
      <c r="CC88" s="128">
        <v>27289947000</v>
      </c>
      <c r="CD88" s="128">
        <v>33955994000</v>
      </c>
      <c r="CE88" s="128">
        <v>6005650000</v>
      </c>
      <c r="CF88" s="128">
        <v>4671430000</v>
      </c>
      <c r="CG88" s="128">
        <v>3829475000</v>
      </c>
      <c r="CH88" s="128">
        <v>4277513000</v>
      </c>
      <c r="CI88" s="128">
        <v>9082819000</v>
      </c>
      <c r="CJ88" s="128">
        <v>6270835000</v>
      </c>
      <c r="CK88" s="128">
        <v>8879226000</v>
      </c>
      <c r="CL88" s="128">
        <v>6194916000</v>
      </c>
      <c r="CM88" s="128">
        <v>771399000</v>
      </c>
      <c r="CN88" s="128">
        <v>11297828000</v>
      </c>
      <c r="CO88" s="128">
        <v>8372335000</v>
      </c>
      <c r="CP88" s="128">
        <v>15275081000</v>
      </c>
      <c r="CQ88" s="128">
        <v>3380298000</v>
      </c>
      <c r="CR88" s="128">
        <v>7446473000</v>
      </c>
      <c r="CS88" s="128">
        <v>5949096000</v>
      </c>
      <c r="CT88" s="128">
        <v>7492791000</v>
      </c>
      <c r="CU88" s="125" t="s">
        <v>340</v>
      </c>
      <c r="CV88" s="125" t="s">
        <v>340</v>
      </c>
      <c r="CW88" s="125" t="s">
        <v>340</v>
      </c>
      <c r="CX88" s="125" t="s">
        <v>340</v>
      </c>
      <c r="CY88" s="128">
        <v>12005758000</v>
      </c>
      <c r="CZ88" s="128">
        <v>8782783000</v>
      </c>
      <c r="DA88" s="128">
        <v>6282606000</v>
      </c>
      <c r="DB88" s="128">
        <v>6884851000</v>
      </c>
      <c r="DC88" s="128">
        <v>59559368000</v>
      </c>
      <c r="DD88" s="128">
        <v>68639639000</v>
      </c>
      <c r="DE88" s="128">
        <v>72195993000</v>
      </c>
      <c r="DF88" s="128">
        <v>75932355000</v>
      </c>
      <c r="DG88" s="16">
        <f t="shared" si="46"/>
        <v>55200192000</v>
      </c>
      <c r="DH88" s="16">
        <f t="shared" si="47"/>
        <v>-49527248000</v>
      </c>
      <c r="DI88" s="16">
        <f t="shared" si="48"/>
        <v>-9529264000</v>
      </c>
      <c r="DJ88" s="16">
        <f t="shared" si="49"/>
        <v>-1731879000</v>
      </c>
      <c r="DK88" s="16">
        <f t="shared" si="50"/>
        <v>-5588199000</v>
      </c>
      <c r="DL88" s="57">
        <f t="shared" si="51"/>
        <v>-0.10123513700821911</v>
      </c>
      <c r="DM88" s="57">
        <f t="shared" si="52"/>
        <v>-9.1928720403209888E-2</v>
      </c>
      <c r="DN88" s="58">
        <f t="shared" si="53"/>
        <v>-3158936000</v>
      </c>
      <c r="DO88" s="16">
        <f t="shared" si="54"/>
        <v>5338540000</v>
      </c>
      <c r="DP88" s="16">
        <f t="shared" si="55"/>
        <v>10394270500</v>
      </c>
      <c r="DQ88" s="61"/>
      <c r="DR88" s="62">
        <f t="shared" si="56"/>
        <v>49250447000</v>
      </c>
      <c r="DS88" s="62">
        <f t="shared" si="57"/>
        <v>-42037985000</v>
      </c>
      <c r="DT88" s="62">
        <f t="shared" si="58"/>
        <v>-7895434000</v>
      </c>
      <c r="DU88" s="62">
        <f t="shared" si="59"/>
        <v>-1498904000</v>
      </c>
      <c r="DV88" s="62">
        <f t="shared" si="60"/>
        <v>-2181876000</v>
      </c>
      <c r="DW88" s="63">
        <f t="shared" si="61"/>
        <v>-4.4301648673361282E-2</v>
      </c>
      <c r="DX88" s="63">
        <f t="shared" si="62"/>
        <v>-4.2422272079758093E-2</v>
      </c>
      <c r="DY88" s="64">
        <f t="shared" si="63"/>
        <v>-1826282000</v>
      </c>
      <c r="DZ88" s="64">
        <f t="shared" si="64"/>
        <v>4250452500</v>
      </c>
      <c r="EA88" s="64">
        <f t="shared" si="65"/>
        <v>7532694500</v>
      </c>
      <c r="EB88" s="61"/>
      <c r="EC88" s="64">
        <f t="shared" si="66"/>
        <v>58793472000</v>
      </c>
      <c r="ED88" s="64">
        <f t="shared" si="67"/>
        <v>-44510228000</v>
      </c>
      <c r="EE88" s="64">
        <f t="shared" si="68"/>
        <v>-10596839000</v>
      </c>
      <c r="EF88" s="64">
        <f t="shared" si="69"/>
        <v>-1749883000</v>
      </c>
      <c r="EG88" s="64">
        <f t="shared" si="70"/>
        <v>1936522000</v>
      </c>
      <c r="EH88" s="63">
        <f t="shared" si="71"/>
        <v>3.2937704376431454E-2</v>
      </c>
      <c r="EI88" s="57">
        <f t="shared" si="72"/>
        <v>3.4059547689420558E-2</v>
      </c>
      <c r="EJ88" s="64">
        <f t="shared" si="73"/>
        <v>-548186000</v>
      </c>
      <c r="EK88" s="64">
        <f t="shared" si="74"/>
        <v>4053494000</v>
      </c>
      <c r="EL88" s="64">
        <f t="shared" si="75"/>
        <v>6583728500</v>
      </c>
      <c r="EM88" s="61"/>
      <c r="EN88" s="66">
        <f t="shared" si="76"/>
        <v>54414703666.666664</v>
      </c>
      <c r="EO88" s="66">
        <f t="shared" si="76"/>
        <v>-45358487000</v>
      </c>
      <c r="EP88" s="66">
        <f t="shared" si="76"/>
        <v>-9340512333.333334</v>
      </c>
      <c r="EQ88" s="66">
        <f t="shared" si="43"/>
        <v>-1660222000</v>
      </c>
      <c r="ER88" s="66">
        <f t="shared" si="77"/>
        <v>-1944517666.6666698</v>
      </c>
      <c r="ES88" s="63">
        <f t="shared" si="78"/>
        <v>-3.5735151266804412E-2</v>
      </c>
      <c r="ET88" s="67">
        <f t="shared" si="79"/>
        <v>-3.4502209588133471E-2</v>
      </c>
      <c r="EU88" s="66">
        <f t="shared" si="80"/>
        <v>1844468000</v>
      </c>
      <c r="EV88" s="66">
        <f t="shared" si="81"/>
        <v>4547495500</v>
      </c>
      <c r="EW88" s="66">
        <f t="shared" si="81"/>
        <v>8170231166.666667</v>
      </c>
      <c r="EX88" s="70"/>
      <c r="EY88" s="71" t="str">
        <f t="shared" si="82"/>
        <v>完整</v>
      </c>
      <c r="EZ88" s="71" t="str">
        <f t="shared" si="83"/>
        <v>完整</v>
      </c>
      <c r="FA88" s="71" t="str">
        <f t="shared" si="84"/>
        <v>完整</v>
      </c>
      <c r="FB88" s="71" t="str">
        <f t="shared" si="85"/>
        <v>选择</v>
      </c>
      <c r="FC88" s="71" t="str">
        <f t="shared" si="86"/>
        <v>选择</v>
      </c>
    </row>
    <row r="89" spans="1:217" s="3" customFormat="1" ht="12.75" customHeight="1" x14ac:dyDescent="0.25">
      <c r="A89" s="28" t="s">
        <v>253</v>
      </c>
      <c r="B89" s="134" t="str">
        <f t="shared" si="44"/>
        <v>KARYON INDUSTRIES BERHAD</v>
      </c>
      <c r="C89" s="29" t="s">
        <v>328</v>
      </c>
      <c r="D89" s="135" t="s">
        <v>312</v>
      </c>
      <c r="E89" s="29"/>
      <c r="F89" s="135"/>
      <c r="G89" s="9"/>
      <c r="H89" s="31" t="str">
        <f t="shared" si="45"/>
        <v xml:space="preserve"> </v>
      </c>
      <c r="I89" s="29"/>
      <c r="J89" s="29" t="str">
        <f>VLOOKUP(Z:Z,'[1]AP 2022'!FD88:FF181,2,FALSE)</f>
        <v>exclude</v>
      </c>
      <c r="K89" s="47" t="str">
        <f>VLOOKUP(Z:Z,'[1]AP 2022'!FD88:FF181,3,0)</f>
        <v>lev SDA/SDP</v>
      </c>
      <c r="L89" s="48"/>
      <c r="M89" s="125" t="s">
        <v>1006</v>
      </c>
      <c r="N89" s="125" t="s">
        <v>1007</v>
      </c>
      <c r="O89" s="125" t="s">
        <v>413</v>
      </c>
      <c r="P89" s="125" t="s">
        <v>1008</v>
      </c>
      <c r="Q89" s="124"/>
      <c r="R89" s="125" t="s">
        <v>736</v>
      </c>
      <c r="S89" s="125" t="s">
        <v>1009</v>
      </c>
      <c r="T89" s="125" t="s">
        <v>335</v>
      </c>
      <c r="U89" s="125" t="s">
        <v>315</v>
      </c>
      <c r="V89" s="125" t="s">
        <v>1010</v>
      </c>
      <c r="W89" s="125" t="s">
        <v>1011</v>
      </c>
      <c r="X89" s="124"/>
      <c r="Y89" s="124"/>
      <c r="Z89" s="125" t="s">
        <v>1012</v>
      </c>
      <c r="AA89" s="128">
        <v>187063000</v>
      </c>
      <c r="AB89" s="128">
        <v>188920000</v>
      </c>
      <c r="AC89" s="128">
        <v>137245000</v>
      </c>
      <c r="AD89" s="128">
        <v>154878000</v>
      </c>
      <c r="AE89" s="128">
        <v>186799000</v>
      </c>
      <c r="AF89" s="128">
        <v>188224000</v>
      </c>
      <c r="AG89" s="128">
        <v>136413000</v>
      </c>
      <c r="AH89" s="128">
        <v>153245000</v>
      </c>
      <c r="AI89" s="128">
        <v>93000</v>
      </c>
      <c r="AJ89" s="128">
        <v>88000</v>
      </c>
      <c r="AK89" s="128">
        <v>175000</v>
      </c>
      <c r="AL89" s="128">
        <v>253000</v>
      </c>
      <c r="AM89" s="128">
        <v>186892000</v>
      </c>
      <c r="AN89" s="128">
        <v>188312000</v>
      </c>
      <c r="AO89" s="128">
        <v>136588000</v>
      </c>
      <c r="AP89" s="128">
        <v>153498000</v>
      </c>
      <c r="AQ89" s="128">
        <v>171000</v>
      </c>
      <c r="AR89" s="128">
        <v>608000</v>
      </c>
      <c r="AS89" s="128">
        <v>657000</v>
      </c>
      <c r="AT89" s="128">
        <v>1380000</v>
      </c>
      <c r="AU89" s="128">
        <v>-161104000</v>
      </c>
      <c r="AV89" s="128">
        <v>-162517000</v>
      </c>
      <c r="AW89" s="128">
        <v>-114290000</v>
      </c>
      <c r="AX89" s="128">
        <v>-129171000</v>
      </c>
      <c r="AY89" s="128">
        <v>0</v>
      </c>
      <c r="AZ89" s="128">
        <v>0</v>
      </c>
      <c r="BA89" s="128">
        <v>0</v>
      </c>
      <c r="BB89" s="128">
        <v>0</v>
      </c>
      <c r="BC89" s="128">
        <v>-15323000</v>
      </c>
      <c r="BD89" s="128">
        <v>-14519000</v>
      </c>
      <c r="BE89" s="128">
        <v>-14283000</v>
      </c>
      <c r="BF89" s="128">
        <v>-14862000</v>
      </c>
      <c r="BG89" s="128">
        <v>10636000</v>
      </c>
      <c r="BH89" s="128">
        <v>11884000</v>
      </c>
      <c r="BI89" s="128">
        <v>8672000</v>
      </c>
      <c r="BJ89" s="128">
        <v>10845000</v>
      </c>
      <c r="BK89" s="128">
        <v>-1574000</v>
      </c>
      <c r="BL89" s="128">
        <v>-1523000</v>
      </c>
      <c r="BM89" s="128">
        <v>-1401000</v>
      </c>
      <c r="BN89" s="128">
        <v>-1352000</v>
      </c>
      <c r="BO89" s="128">
        <v>-1574000</v>
      </c>
      <c r="BP89" s="128">
        <v>-1523000</v>
      </c>
      <c r="BQ89" s="128">
        <v>-1401000</v>
      </c>
      <c r="BR89" s="128">
        <v>-1352000</v>
      </c>
      <c r="BS89" s="128">
        <v>0</v>
      </c>
      <c r="BT89" s="128">
        <v>0</v>
      </c>
      <c r="BU89" s="128">
        <v>0</v>
      </c>
      <c r="BV89" s="128">
        <v>0</v>
      </c>
      <c r="BW89" s="128">
        <v>6007000</v>
      </c>
      <c r="BX89" s="128">
        <v>7557000</v>
      </c>
      <c r="BY89" s="128">
        <v>4705000</v>
      </c>
      <c r="BZ89" s="128">
        <v>6837000</v>
      </c>
      <c r="CA89" s="128">
        <v>101802000</v>
      </c>
      <c r="CB89" s="128">
        <v>103347000</v>
      </c>
      <c r="CC89" s="128">
        <v>89840000</v>
      </c>
      <c r="CD89" s="128">
        <v>92595000</v>
      </c>
      <c r="CE89" s="128">
        <v>24269000</v>
      </c>
      <c r="CF89" s="128">
        <v>34018000</v>
      </c>
      <c r="CG89" s="128">
        <v>23198000</v>
      </c>
      <c r="CH89" s="128">
        <v>25123000</v>
      </c>
      <c r="CI89" s="128">
        <v>26625000</v>
      </c>
      <c r="CJ89" s="128">
        <v>36411000</v>
      </c>
      <c r="CK89" s="128">
        <v>26787000</v>
      </c>
      <c r="CL89" s="128">
        <v>24384000</v>
      </c>
      <c r="CM89" s="128">
        <v>336000</v>
      </c>
      <c r="CN89" s="128">
        <v>175000</v>
      </c>
      <c r="CO89" s="128">
        <v>180000</v>
      </c>
      <c r="CP89" s="128">
        <v>532000</v>
      </c>
      <c r="CQ89" s="128">
        <v>47868000</v>
      </c>
      <c r="CR89" s="128">
        <v>30758000</v>
      </c>
      <c r="CS89" s="128">
        <v>33659000</v>
      </c>
      <c r="CT89" s="128">
        <v>41718000</v>
      </c>
      <c r="CU89" s="128">
        <v>27719000</v>
      </c>
      <c r="CV89" s="125" t="s">
        <v>340</v>
      </c>
      <c r="CW89" s="125" t="s">
        <v>340</v>
      </c>
      <c r="CX89" s="125" t="s">
        <v>340</v>
      </c>
      <c r="CY89" s="128">
        <v>6347000</v>
      </c>
      <c r="CZ89" s="128">
        <v>5740000</v>
      </c>
      <c r="DA89" s="128">
        <v>5515000</v>
      </c>
      <c r="DB89" s="128">
        <v>4760000</v>
      </c>
      <c r="DC89" s="128">
        <v>142782000</v>
      </c>
      <c r="DD89" s="128">
        <v>143890000</v>
      </c>
      <c r="DE89" s="128">
        <v>130415000</v>
      </c>
      <c r="DF89" s="128">
        <v>131847000</v>
      </c>
      <c r="DG89" s="16">
        <f t="shared" si="46"/>
        <v>186892000</v>
      </c>
      <c r="DH89" s="16">
        <f t="shared" si="47"/>
        <v>-161104000</v>
      </c>
      <c r="DI89" s="16">
        <f t="shared" si="48"/>
        <v>-15323000</v>
      </c>
      <c r="DJ89" s="16">
        <f t="shared" si="49"/>
        <v>-1574000</v>
      </c>
      <c r="DK89" s="16">
        <f t="shared" si="50"/>
        <v>8891000</v>
      </c>
      <c r="DL89" s="57">
        <f t="shared" si="51"/>
        <v>4.7572929820431049E-2</v>
      </c>
      <c r="DM89" s="57">
        <f t="shared" si="52"/>
        <v>4.9949157589002306E-2</v>
      </c>
      <c r="DN89" s="58">
        <f t="shared" si="53"/>
        <v>0</v>
      </c>
      <c r="DO89" s="16">
        <f t="shared" si="54"/>
        <v>29143500</v>
      </c>
      <c r="DP89" s="16">
        <f t="shared" si="55"/>
        <v>6043500</v>
      </c>
      <c r="DQ89" s="61"/>
      <c r="DR89" s="62">
        <f t="shared" si="56"/>
        <v>188312000</v>
      </c>
      <c r="DS89" s="62">
        <f t="shared" si="57"/>
        <v>-162517000</v>
      </c>
      <c r="DT89" s="62">
        <f t="shared" si="58"/>
        <v>-14519000</v>
      </c>
      <c r="DU89" s="62">
        <f t="shared" si="59"/>
        <v>-1523000</v>
      </c>
      <c r="DV89" s="62">
        <f t="shared" si="60"/>
        <v>9753000</v>
      </c>
      <c r="DW89" s="63">
        <f t="shared" si="61"/>
        <v>5.1791707379242956E-2</v>
      </c>
      <c r="DX89" s="63">
        <f t="shared" si="62"/>
        <v>5.4620601593870936E-2</v>
      </c>
      <c r="DY89" s="64">
        <f t="shared" si="63"/>
        <v>0</v>
      </c>
      <c r="DZ89" s="64">
        <f t="shared" si="64"/>
        <v>28608000</v>
      </c>
      <c r="EA89" s="64">
        <f t="shared" si="65"/>
        <v>5627500</v>
      </c>
      <c r="EB89" s="61"/>
      <c r="EC89" s="64">
        <f t="shared" si="66"/>
        <v>136588000</v>
      </c>
      <c r="ED89" s="64">
        <f t="shared" si="67"/>
        <v>-114290000</v>
      </c>
      <c r="EE89" s="64">
        <f t="shared" si="68"/>
        <v>-14283000</v>
      </c>
      <c r="EF89" s="64">
        <f t="shared" si="69"/>
        <v>-1401000</v>
      </c>
      <c r="EG89" s="64">
        <f t="shared" si="70"/>
        <v>6614000</v>
      </c>
      <c r="EH89" s="63">
        <f t="shared" si="71"/>
        <v>4.842299469938794E-2</v>
      </c>
      <c r="EI89" s="57">
        <f t="shared" si="72"/>
        <v>5.0887100497022483E-2</v>
      </c>
      <c r="EJ89" s="64">
        <f t="shared" si="73"/>
        <v>0</v>
      </c>
      <c r="EK89" s="64">
        <f t="shared" si="74"/>
        <v>24160500</v>
      </c>
      <c r="EL89" s="64">
        <f t="shared" si="75"/>
        <v>5137500</v>
      </c>
      <c r="EM89" s="61"/>
      <c r="EN89" s="66">
        <f t="shared" si="76"/>
        <v>170597333.33333334</v>
      </c>
      <c r="EO89" s="66">
        <f t="shared" si="76"/>
        <v>-145970333.33333334</v>
      </c>
      <c r="EP89" s="66">
        <f t="shared" si="76"/>
        <v>-14708333.333333334</v>
      </c>
      <c r="EQ89" s="66">
        <f t="shared" si="43"/>
        <v>-1499333.3333333333</v>
      </c>
      <c r="ER89" s="66">
        <f t="shared" si="77"/>
        <v>8419333.3333333321</v>
      </c>
      <c r="ES89" s="63">
        <f t="shared" si="78"/>
        <v>4.9352080532716405E-2</v>
      </c>
      <c r="ET89" s="67">
        <f t="shared" si="79"/>
        <v>5.1914151940049391E-2</v>
      </c>
      <c r="EU89" s="66">
        <f t="shared" si="80"/>
        <v>0</v>
      </c>
      <c r="EV89" s="66">
        <f t="shared" si="81"/>
        <v>27304000</v>
      </c>
      <c r="EW89" s="66">
        <f t="shared" si="81"/>
        <v>5602833.333333333</v>
      </c>
      <c r="EX89" s="70"/>
      <c r="EY89" s="71" t="str">
        <f t="shared" si="82"/>
        <v>完整</v>
      </c>
      <c r="EZ89" s="71" t="str">
        <f t="shared" si="83"/>
        <v>完整</v>
      </c>
      <c r="FA89" s="71" t="str">
        <f t="shared" si="84"/>
        <v>完整</v>
      </c>
      <c r="FB89" s="71" t="str">
        <f t="shared" si="85"/>
        <v>选择</v>
      </c>
      <c r="FC89" s="71" t="str">
        <f t="shared" si="86"/>
        <v>选择</v>
      </c>
    </row>
    <row r="90" spans="1:217" s="3" customFormat="1" ht="12.75" customHeight="1" x14ac:dyDescent="0.25">
      <c r="A90" s="28" t="s">
        <v>254</v>
      </c>
      <c r="B90" s="134" t="str">
        <f t="shared" si="44"/>
        <v>MAYWUFA COMPANY LTD.</v>
      </c>
      <c r="C90" s="29" t="s">
        <v>341</v>
      </c>
      <c r="D90" s="135"/>
      <c r="E90" s="29"/>
      <c r="F90" s="135"/>
      <c r="G90" s="73"/>
      <c r="H90" s="31">
        <f t="shared" si="45"/>
        <v>0.18746264067887403</v>
      </c>
      <c r="I90" s="29"/>
      <c r="J90" s="29" t="str">
        <f>VLOOKUP(Z:Z,'[1]AP 2022'!FD89:FF181,2,FALSE)</f>
        <v>newly include</v>
      </c>
      <c r="K90" s="152">
        <f>VLOOKUP(Z:Z,'[1]AP 2022'!FD89:FF181,3,0)</f>
        <v>0</v>
      </c>
      <c r="L90" s="48"/>
      <c r="M90" s="125" t="s">
        <v>1013</v>
      </c>
      <c r="N90" s="125" t="s">
        <v>1014</v>
      </c>
      <c r="O90" s="125" t="s">
        <v>381</v>
      </c>
      <c r="P90" s="142" t="s">
        <v>1015</v>
      </c>
      <c r="Q90" s="124"/>
      <c r="R90" s="125" t="s">
        <v>842</v>
      </c>
      <c r="S90" s="125" t="s">
        <v>1016</v>
      </c>
      <c r="T90" s="125" t="s">
        <v>335</v>
      </c>
      <c r="U90" s="125" t="s">
        <v>321</v>
      </c>
      <c r="V90" s="125" t="s">
        <v>1017</v>
      </c>
      <c r="W90" s="125" t="s">
        <v>1018</v>
      </c>
      <c r="X90" s="124"/>
      <c r="Y90" s="124"/>
      <c r="Z90" s="125" t="s">
        <v>1019</v>
      </c>
      <c r="AA90" s="128">
        <v>1260196000</v>
      </c>
      <c r="AB90" s="128">
        <v>1315173000</v>
      </c>
      <c r="AC90" s="128">
        <v>1084166000</v>
      </c>
      <c r="AD90" s="128">
        <v>1123352000</v>
      </c>
      <c r="AE90" s="128">
        <v>1245105000</v>
      </c>
      <c r="AF90" s="128">
        <v>1289211000</v>
      </c>
      <c r="AG90" s="128">
        <v>1075820000</v>
      </c>
      <c r="AH90" s="128">
        <v>1120102000</v>
      </c>
      <c r="AI90" s="125" t="s">
        <v>340</v>
      </c>
      <c r="AJ90" s="128">
        <v>0</v>
      </c>
      <c r="AK90" s="128">
        <v>-10495000</v>
      </c>
      <c r="AL90" s="128">
        <v>-19239000</v>
      </c>
      <c r="AM90" s="128">
        <v>1245105000</v>
      </c>
      <c r="AN90" s="128">
        <v>1289211000</v>
      </c>
      <c r="AO90" s="128">
        <v>1065325000</v>
      </c>
      <c r="AP90" s="128">
        <v>1100863000</v>
      </c>
      <c r="AQ90" s="128">
        <v>15091000</v>
      </c>
      <c r="AR90" s="128">
        <v>25962000</v>
      </c>
      <c r="AS90" s="128">
        <v>18841000</v>
      </c>
      <c r="AT90" s="128">
        <v>22489000</v>
      </c>
      <c r="AU90" s="128">
        <v>-399267000</v>
      </c>
      <c r="AV90" s="128">
        <v>-398742000</v>
      </c>
      <c r="AW90" s="128">
        <v>-355065000</v>
      </c>
      <c r="AX90" s="128">
        <v>-391524000</v>
      </c>
      <c r="AY90" s="128">
        <v>0</v>
      </c>
      <c r="AZ90" s="128">
        <v>0</v>
      </c>
      <c r="BA90" s="128">
        <v>0</v>
      </c>
      <c r="BB90" s="128">
        <v>0</v>
      </c>
      <c r="BC90" s="128">
        <v>-618050000</v>
      </c>
      <c r="BD90" s="128">
        <v>-642547000</v>
      </c>
      <c r="BE90" s="128">
        <v>-505692000</v>
      </c>
      <c r="BF90" s="128">
        <v>-516259000</v>
      </c>
      <c r="BG90" s="128">
        <v>242879000</v>
      </c>
      <c r="BH90" s="128">
        <v>273884000</v>
      </c>
      <c r="BI90" s="128">
        <v>223409000</v>
      </c>
      <c r="BJ90" s="128">
        <v>215569000</v>
      </c>
      <c r="BK90" s="128">
        <v>-29281000</v>
      </c>
      <c r="BL90" s="128">
        <v>-48739000</v>
      </c>
      <c r="BM90" s="128">
        <v>-33989000</v>
      </c>
      <c r="BN90" s="128">
        <v>-45172000</v>
      </c>
      <c r="BO90" s="128">
        <v>-28243000</v>
      </c>
      <c r="BP90" s="128">
        <v>-48072000</v>
      </c>
      <c r="BQ90" s="128">
        <v>-33331000</v>
      </c>
      <c r="BR90" s="128">
        <v>-43366000</v>
      </c>
      <c r="BS90" s="128">
        <v>-1038000</v>
      </c>
      <c r="BT90" s="128">
        <v>-667000</v>
      </c>
      <c r="BU90" s="128">
        <v>-658000</v>
      </c>
      <c r="BV90" s="128">
        <v>-1806000</v>
      </c>
      <c r="BW90" s="128">
        <v>161830000</v>
      </c>
      <c r="BX90" s="128">
        <v>164321000</v>
      </c>
      <c r="BY90" s="128">
        <v>171002000</v>
      </c>
      <c r="BZ90" s="128">
        <v>100605000</v>
      </c>
      <c r="CA90" s="128">
        <v>1048954000</v>
      </c>
      <c r="CB90" s="128">
        <v>1366710000</v>
      </c>
      <c r="CC90" s="128">
        <v>1262305000</v>
      </c>
      <c r="CD90" s="128">
        <v>1575658000</v>
      </c>
      <c r="CE90" s="128">
        <v>232375000</v>
      </c>
      <c r="CF90" s="128">
        <v>238186000</v>
      </c>
      <c r="CG90" s="128">
        <v>167545000</v>
      </c>
      <c r="CH90" s="128">
        <v>192201000</v>
      </c>
      <c r="CI90" s="128">
        <v>205688000</v>
      </c>
      <c r="CJ90" s="128">
        <v>217496000</v>
      </c>
      <c r="CK90" s="128">
        <v>228760000</v>
      </c>
      <c r="CL90" s="128">
        <v>608376000</v>
      </c>
      <c r="CM90" s="128">
        <v>25083000</v>
      </c>
      <c r="CN90" s="128">
        <v>29519000</v>
      </c>
      <c r="CO90" s="128">
        <v>32789000</v>
      </c>
      <c r="CP90" s="128">
        <v>75900000</v>
      </c>
      <c r="CQ90" s="128">
        <v>584378000</v>
      </c>
      <c r="CR90" s="128">
        <v>879670000</v>
      </c>
      <c r="CS90" s="128">
        <v>831295000</v>
      </c>
      <c r="CT90" s="128">
        <v>697455000</v>
      </c>
      <c r="CU90" s="128">
        <v>406874000</v>
      </c>
      <c r="CV90" s="128">
        <v>641661000</v>
      </c>
      <c r="CW90" s="128">
        <v>504507000</v>
      </c>
      <c r="CX90" s="128">
        <v>561762000</v>
      </c>
      <c r="CY90" s="128">
        <v>228437000</v>
      </c>
      <c r="CZ90" s="128">
        <v>3508000</v>
      </c>
      <c r="DA90" s="128">
        <v>4594000</v>
      </c>
      <c r="DB90" s="128">
        <v>11888000</v>
      </c>
      <c r="DC90" s="128">
        <v>2529909000</v>
      </c>
      <c r="DD90" s="128">
        <v>2692439000</v>
      </c>
      <c r="DE90" s="128">
        <v>2476266000</v>
      </c>
      <c r="DF90" s="128">
        <v>2735161000</v>
      </c>
      <c r="DG90" s="16">
        <f t="shared" si="46"/>
        <v>1245105000</v>
      </c>
      <c r="DH90" s="16">
        <f t="shared" si="47"/>
        <v>-399267000</v>
      </c>
      <c r="DI90" s="16">
        <f t="shared" si="48"/>
        <v>-618050000</v>
      </c>
      <c r="DJ90" s="16">
        <f t="shared" si="49"/>
        <v>-29281000</v>
      </c>
      <c r="DK90" s="16">
        <f t="shared" si="50"/>
        <v>198507000</v>
      </c>
      <c r="DL90" s="57">
        <f t="shared" si="51"/>
        <v>0.15942992759646776</v>
      </c>
      <c r="DM90" s="57">
        <f t="shared" si="52"/>
        <v>0.18966881266732785</v>
      </c>
      <c r="DN90" s="58">
        <f t="shared" si="53"/>
        <v>0</v>
      </c>
      <c r="DO90" s="16">
        <f t="shared" si="54"/>
        <v>235280500</v>
      </c>
      <c r="DP90" s="16">
        <f t="shared" si="55"/>
        <v>115972500</v>
      </c>
      <c r="DQ90" s="61"/>
      <c r="DR90" s="62">
        <f t="shared" si="56"/>
        <v>1289211000</v>
      </c>
      <c r="DS90" s="62">
        <f t="shared" si="57"/>
        <v>-398742000</v>
      </c>
      <c r="DT90" s="62">
        <f t="shared" si="58"/>
        <v>-642547000</v>
      </c>
      <c r="DU90" s="62">
        <f t="shared" si="59"/>
        <v>-48739000</v>
      </c>
      <c r="DV90" s="62">
        <f t="shared" si="60"/>
        <v>199183000</v>
      </c>
      <c r="DW90" s="63">
        <f t="shared" si="61"/>
        <v>0.15449992282101224</v>
      </c>
      <c r="DX90" s="63">
        <f t="shared" si="62"/>
        <v>0.18273200321459632</v>
      </c>
      <c r="DY90" s="64">
        <f t="shared" si="63"/>
        <v>0</v>
      </c>
      <c r="DZ90" s="64">
        <f t="shared" si="64"/>
        <v>202865500</v>
      </c>
      <c r="EA90" s="64">
        <f t="shared" si="65"/>
        <v>4051000</v>
      </c>
      <c r="EB90" s="61"/>
      <c r="EC90" s="64">
        <f t="shared" si="66"/>
        <v>1065325000</v>
      </c>
      <c r="ED90" s="64">
        <f t="shared" si="67"/>
        <v>-355065000</v>
      </c>
      <c r="EE90" s="64">
        <f t="shared" si="68"/>
        <v>-505692000</v>
      </c>
      <c r="EF90" s="64">
        <f t="shared" si="69"/>
        <v>-33989000</v>
      </c>
      <c r="EG90" s="64">
        <f t="shared" si="70"/>
        <v>170579000</v>
      </c>
      <c r="EH90" s="63">
        <f t="shared" si="71"/>
        <v>0.16011921244690588</v>
      </c>
      <c r="EI90" s="57">
        <f t="shared" si="72"/>
        <v>0.19064516633770925</v>
      </c>
      <c r="EJ90" s="64">
        <f t="shared" si="73"/>
        <v>0</v>
      </c>
      <c r="EK90" s="64">
        <f t="shared" si="74"/>
        <v>179873000</v>
      </c>
      <c r="EL90" s="64">
        <f t="shared" si="75"/>
        <v>8241000</v>
      </c>
      <c r="EM90" s="61"/>
      <c r="EN90" s="66">
        <f t="shared" si="76"/>
        <v>1199880333.3333333</v>
      </c>
      <c r="EO90" s="66">
        <f t="shared" si="76"/>
        <v>-384358000</v>
      </c>
      <c r="EP90" s="66">
        <f t="shared" si="76"/>
        <v>-588763000</v>
      </c>
      <c r="EQ90" s="66">
        <f t="shared" si="43"/>
        <v>-37336333.333333336</v>
      </c>
      <c r="ER90" s="66">
        <f t="shared" si="77"/>
        <v>189422999.99999991</v>
      </c>
      <c r="ES90" s="63">
        <f t="shared" si="78"/>
        <v>0.15786824297200741</v>
      </c>
      <c r="ET90" s="67">
        <f t="shared" si="79"/>
        <v>0.18746264067887403</v>
      </c>
      <c r="EU90" s="66">
        <f t="shared" si="80"/>
        <v>0</v>
      </c>
      <c r="EV90" s="66">
        <f t="shared" si="81"/>
        <v>206006333.33333334</v>
      </c>
      <c r="EW90" s="66">
        <f t="shared" si="81"/>
        <v>42754833.333333336</v>
      </c>
      <c r="EX90" s="70"/>
      <c r="EY90" s="71" t="str">
        <f t="shared" si="82"/>
        <v>完整</v>
      </c>
      <c r="EZ90" s="71" t="str">
        <f t="shared" si="83"/>
        <v>完整</v>
      </c>
      <c r="FA90" s="71" t="str">
        <f t="shared" si="84"/>
        <v>完整</v>
      </c>
      <c r="FB90" s="71" t="str">
        <f t="shared" si="85"/>
        <v>选择</v>
      </c>
      <c r="FC90" s="71" t="str">
        <f t="shared" si="86"/>
        <v>选择</v>
      </c>
      <c r="FD90" s="72"/>
      <c r="FE90" s="72"/>
      <c r="FF90" s="72"/>
      <c r="FG90" s="72"/>
      <c r="FH90" s="72"/>
      <c r="FI90" s="72"/>
      <c r="FJ90" s="72"/>
      <c r="FK90" s="72"/>
      <c r="FL90" s="72"/>
      <c r="FM90" s="72"/>
      <c r="FN90" s="72"/>
      <c r="FO90" s="72"/>
      <c r="FP90" s="72"/>
      <c r="FQ90" s="72"/>
      <c r="FR90" s="72"/>
      <c r="FS90" s="72"/>
      <c r="FT90" s="72"/>
      <c r="FU90" s="72"/>
      <c r="FV90" s="72"/>
      <c r="FW90" s="72"/>
      <c r="FX90" s="72"/>
      <c r="FY90" s="72"/>
      <c r="FZ90" s="72"/>
      <c r="GA90" s="72"/>
      <c r="GB90" s="72"/>
      <c r="GC90" s="72"/>
      <c r="GD90" s="72"/>
      <c r="GE90" s="72"/>
      <c r="GF90" s="72"/>
      <c r="GG90" s="72"/>
      <c r="GH90" s="72"/>
      <c r="GI90" s="72"/>
      <c r="GJ90" s="72"/>
      <c r="GK90" s="72"/>
      <c r="GL90" s="72"/>
      <c r="GM90" s="72"/>
      <c r="GN90" s="72"/>
      <c r="GO90" s="72"/>
      <c r="GP90" s="72"/>
      <c r="GQ90" s="72"/>
      <c r="GR90" s="72"/>
      <c r="GS90" s="72"/>
      <c r="GT90" s="72"/>
      <c r="GU90" s="72"/>
      <c r="GV90" s="72"/>
      <c r="GW90" s="72"/>
      <c r="GX90" s="72"/>
      <c r="GY90" s="72"/>
      <c r="GZ90" s="72"/>
      <c r="HA90" s="72"/>
      <c r="HB90" s="72"/>
      <c r="HC90" s="72"/>
      <c r="HD90" s="72"/>
      <c r="HE90" s="72"/>
      <c r="HF90" s="72"/>
      <c r="HG90" s="72"/>
      <c r="HH90" s="72"/>
      <c r="HI90" s="72"/>
    </row>
    <row r="91" spans="1:217" s="3" customFormat="1" ht="12.75" customHeight="1" x14ac:dyDescent="0.25">
      <c r="A91" s="28" t="s">
        <v>255</v>
      </c>
      <c r="B91" s="134" t="str">
        <f t="shared" si="44"/>
        <v>INNATURE BERHAD</v>
      </c>
      <c r="C91" s="29" t="s">
        <v>328</v>
      </c>
      <c r="D91" s="136" t="s">
        <v>309</v>
      </c>
      <c r="E91" s="35"/>
      <c r="H91" s="31" t="str">
        <f t="shared" si="45"/>
        <v xml:space="preserve"> </v>
      </c>
      <c r="I91" s="29"/>
      <c r="J91" s="29" t="str">
        <f>VLOOKUP(Z:Z,'[1]AP 2022'!FD90:FF181,2,FALSE)</f>
        <v>exclude</v>
      </c>
      <c r="K91" s="47" t="str">
        <f>VLOOKUP(Z:Z,'[1]AP 2022'!FD90:FF181,3,0)</f>
        <v>Independence(A+, A, A-, U)</v>
      </c>
      <c r="L91" s="48"/>
      <c r="M91" s="125" t="s">
        <v>1020</v>
      </c>
      <c r="N91" s="125" t="s">
        <v>1021</v>
      </c>
      <c r="O91" s="125" t="s">
        <v>413</v>
      </c>
      <c r="P91" s="124"/>
      <c r="Q91" s="124"/>
      <c r="R91" s="125" t="s">
        <v>736</v>
      </c>
      <c r="S91" s="125" t="s">
        <v>1022</v>
      </c>
      <c r="T91" s="125" t="s">
        <v>374</v>
      </c>
      <c r="U91" s="125" t="s">
        <v>321</v>
      </c>
      <c r="V91" s="125" t="s">
        <v>1023</v>
      </c>
      <c r="W91" s="125" t="s">
        <v>1024</v>
      </c>
      <c r="X91" s="124"/>
      <c r="Y91" s="124"/>
      <c r="Z91" s="125" t="s">
        <v>1025</v>
      </c>
      <c r="AA91" s="128">
        <v>149678000</v>
      </c>
      <c r="AB91" s="128">
        <v>131947000</v>
      </c>
      <c r="AC91" s="128">
        <v>155382000</v>
      </c>
      <c r="AD91" s="128">
        <v>192250000</v>
      </c>
      <c r="AE91" s="128">
        <v>149398000</v>
      </c>
      <c r="AF91" s="128">
        <v>131920000</v>
      </c>
      <c r="AG91" s="128">
        <v>155357000</v>
      </c>
      <c r="AH91" s="128">
        <v>191684000</v>
      </c>
      <c r="AI91" s="125" t="s">
        <v>340</v>
      </c>
      <c r="AJ91" s="125" t="s">
        <v>340</v>
      </c>
      <c r="AK91" s="125" t="s">
        <v>340</v>
      </c>
      <c r="AL91" s="125" t="s">
        <v>340</v>
      </c>
      <c r="AM91" s="128">
        <v>149398000</v>
      </c>
      <c r="AN91" s="128">
        <v>131920000</v>
      </c>
      <c r="AO91" s="128">
        <v>155357000</v>
      </c>
      <c r="AP91" s="128">
        <v>191684000</v>
      </c>
      <c r="AQ91" s="128">
        <v>280000</v>
      </c>
      <c r="AR91" s="128">
        <v>27000</v>
      </c>
      <c r="AS91" s="128">
        <v>25000</v>
      </c>
      <c r="AT91" s="128">
        <v>566000</v>
      </c>
      <c r="AU91" s="128">
        <v>-50455000</v>
      </c>
      <c r="AV91" s="128">
        <v>-46901000</v>
      </c>
      <c r="AW91" s="128">
        <v>-51075000</v>
      </c>
      <c r="AX91" s="128">
        <v>-62404000</v>
      </c>
      <c r="AY91" s="128">
        <v>0</v>
      </c>
      <c r="AZ91" s="128">
        <v>0</v>
      </c>
      <c r="BA91" s="128">
        <v>0</v>
      </c>
      <c r="BB91" s="128">
        <v>0</v>
      </c>
      <c r="BC91" s="128">
        <v>-53549000</v>
      </c>
      <c r="BD91" s="128">
        <v>-44132000</v>
      </c>
      <c r="BE91" s="128">
        <v>-53474000</v>
      </c>
      <c r="BF91" s="128">
        <v>-63430000</v>
      </c>
      <c r="BG91" s="128">
        <v>45674000</v>
      </c>
      <c r="BH91" s="128">
        <v>40914000</v>
      </c>
      <c r="BI91" s="128">
        <v>50833000</v>
      </c>
      <c r="BJ91" s="128">
        <v>66416000</v>
      </c>
      <c r="BK91" s="128">
        <v>-17820000</v>
      </c>
      <c r="BL91" s="128">
        <v>-20245000</v>
      </c>
      <c r="BM91" s="128">
        <v>-21420000</v>
      </c>
      <c r="BN91" s="128">
        <v>-21048000</v>
      </c>
      <c r="BO91" s="128">
        <v>-17437000</v>
      </c>
      <c r="BP91" s="128">
        <v>-19924000</v>
      </c>
      <c r="BQ91" s="128">
        <v>-21119000</v>
      </c>
      <c r="BR91" s="128">
        <v>-20831000</v>
      </c>
      <c r="BS91" s="128">
        <v>-383000</v>
      </c>
      <c r="BT91" s="128">
        <v>-321000</v>
      </c>
      <c r="BU91" s="128">
        <v>-301000</v>
      </c>
      <c r="BV91" s="128">
        <v>-217000</v>
      </c>
      <c r="BW91" s="128">
        <v>21335000</v>
      </c>
      <c r="BX91" s="128">
        <v>15051000</v>
      </c>
      <c r="BY91" s="128">
        <v>20183000</v>
      </c>
      <c r="BZ91" s="128">
        <v>30151000</v>
      </c>
      <c r="CA91" s="128">
        <v>94915000</v>
      </c>
      <c r="CB91" s="128">
        <v>95231000</v>
      </c>
      <c r="CC91" s="128">
        <v>93562000</v>
      </c>
      <c r="CD91" s="128">
        <v>57046000</v>
      </c>
      <c r="CE91" s="128">
        <v>28767000</v>
      </c>
      <c r="CF91" s="128">
        <v>35041000</v>
      </c>
      <c r="CG91" s="128">
        <v>34415000</v>
      </c>
      <c r="CH91" s="128">
        <v>33776000</v>
      </c>
      <c r="CI91" s="128">
        <v>3698000</v>
      </c>
      <c r="CJ91" s="128">
        <v>3990000</v>
      </c>
      <c r="CK91" s="128">
        <v>3315000</v>
      </c>
      <c r="CL91" s="128">
        <v>3378000</v>
      </c>
      <c r="CM91" s="128">
        <v>1765000</v>
      </c>
      <c r="CN91" s="128">
        <v>1673000</v>
      </c>
      <c r="CO91" s="128">
        <v>1450000</v>
      </c>
      <c r="CP91" s="128">
        <v>1799000</v>
      </c>
      <c r="CQ91" s="128">
        <v>58927000</v>
      </c>
      <c r="CR91" s="128">
        <v>53806000</v>
      </c>
      <c r="CS91" s="128">
        <v>53495000</v>
      </c>
      <c r="CT91" s="128">
        <v>17491000</v>
      </c>
      <c r="CU91" s="128">
        <v>41357000</v>
      </c>
      <c r="CV91" s="128">
        <v>42507000</v>
      </c>
      <c r="CW91" s="128">
        <v>29528000</v>
      </c>
      <c r="CX91" s="128">
        <v>46000</v>
      </c>
      <c r="CY91" s="128">
        <v>21490000</v>
      </c>
      <c r="CZ91" s="128">
        <v>39631000</v>
      </c>
      <c r="DA91" s="128">
        <v>39001000</v>
      </c>
      <c r="DB91" s="128">
        <v>36115000</v>
      </c>
      <c r="DC91" s="128">
        <v>182177000</v>
      </c>
      <c r="DD91" s="128">
        <v>183807000</v>
      </c>
      <c r="DE91" s="128">
        <v>188237000</v>
      </c>
      <c r="DF91" s="128">
        <v>155397000</v>
      </c>
      <c r="DG91" s="16">
        <f t="shared" si="46"/>
        <v>149398000</v>
      </c>
      <c r="DH91" s="16">
        <f t="shared" si="47"/>
        <v>-50455000</v>
      </c>
      <c r="DI91" s="16">
        <f t="shared" si="48"/>
        <v>-53549000</v>
      </c>
      <c r="DJ91" s="16">
        <f t="shared" si="49"/>
        <v>-17820000</v>
      </c>
      <c r="DK91" s="16">
        <f t="shared" si="50"/>
        <v>27574000</v>
      </c>
      <c r="DL91" s="57">
        <f t="shared" si="51"/>
        <v>0.18456739715391102</v>
      </c>
      <c r="DM91" s="57">
        <f t="shared" si="52"/>
        <v>0.22634292093511951</v>
      </c>
      <c r="DN91" s="58">
        <f t="shared" si="53"/>
        <v>0</v>
      </c>
      <c r="DO91" s="16">
        <f t="shared" si="54"/>
        <v>31904000</v>
      </c>
      <c r="DP91" s="16">
        <f t="shared" si="55"/>
        <v>30560500</v>
      </c>
      <c r="DQ91" s="61"/>
      <c r="DR91" s="62">
        <f t="shared" si="56"/>
        <v>131920000</v>
      </c>
      <c r="DS91" s="62">
        <f t="shared" si="57"/>
        <v>-46901000</v>
      </c>
      <c r="DT91" s="62">
        <f t="shared" si="58"/>
        <v>-44132000</v>
      </c>
      <c r="DU91" s="62">
        <f t="shared" si="59"/>
        <v>-20245000</v>
      </c>
      <c r="DV91" s="62">
        <f t="shared" si="60"/>
        <v>20642000</v>
      </c>
      <c r="DW91" s="63">
        <f t="shared" si="61"/>
        <v>0.15647362037598544</v>
      </c>
      <c r="DX91" s="63">
        <f t="shared" si="62"/>
        <v>0.18549937993134313</v>
      </c>
      <c r="DY91" s="64">
        <f t="shared" si="63"/>
        <v>0</v>
      </c>
      <c r="DZ91" s="64">
        <f t="shared" si="64"/>
        <v>34728000</v>
      </c>
      <c r="EA91" s="64">
        <f t="shared" si="65"/>
        <v>39316000</v>
      </c>
      <c r="EB91" s="61"/>
      <c r="EC91" s="64">
        <f t="shared" si="66"/>
        <v>155357000</v>
      </c>
      <c r="ED91" s="64">
        <f t="shared" si="67"/>
        <v>-51075000</v>
      </c>
      <c r="EE91" s="64">
        <f t="shared" si="68"/>
        <v>-53474000</v>
      </c>
      <c r="EF91" s="64">
        <f t="shared" si="69"/>
        <v>-21420000</v>
      </c>
      <c r="EG91" s="64">
        <f t="shared" si="70"/>
        <v>29388000</v>
      </c>
      <c r="EH91" s="63">
        <f t="shared" si="71"/>
        <v>0.18916431187522931</v>
      </c>
      <c r="EI91" s="57">
        <f t="shared" si="72"/>
        <v>0.23329549333566194</v>
      </c>
      <c r="EJ91" s="64">
        <f t="shared" si="73"/>
        <v>0</v>
      </c>
      <c r="EK91" s="64">
        <f t="shared" si="74"/>
        <v>34095500</v>
      </c>
      <c r="EL91" s="64">
        <f t="shared" si="75"/>
        <v>37558000</v>
      </c>
      <c r="EM91" s="61"/>
      <c r="EN91" s="66">
        <f t="shared" si="76"/>
        <v>145558333.33333334</v>
      </c>
      <c r="EO91" s="66">
        <f t="shared" si="76"/>
        <v>-49477000</v>
      </c>
      <c r="EP91" s="66">
        <f t="shared" si="76"/>
        <v>-50385000</v>
      </c>
      <c r="EQ91" s="66">
        <f t="shared" si="43"/>
        <v>-19828333.333333332</v>
      </c>
      <c r="ER91" s="66">
        <f t="shared" si="77"/>
        <v>25868000.000000011</v>
      </c>
      <c r="ES91" s="63">
        <f t="shared" si="78"/>
        <v>0.17771569244861746</v>
      </c>
      <c r="ET91" s="67">
        <f t="shared" si="79"/>
        <v>0.21612438765592332</v>
      </c>
      <c r="EU91" s="66">
        <f t="shared" si="80"/>
        <v>0</v>
      </c>
      <c r="EV91" s="66">
        <f t="shared" si="81"/>
        <v>33575833.333333336</v>
      </c>
      <c r="EW91" s="66">
        <f t="shared" si="81"/>
        <v>35811500</v>
      </c>
      <c r="EX91" s="70"/>
      <c r="EY91" s="71" t="str">
        <f t="shared" si="82"/>
        <v>完整</v>
      </c>
      <c r="EZ91" s="71" t="str">
        <f t="shared" si="83"/>
        <v>完整</v>
      </c>
      <c r="FA91" s="71" t="str">
        <f t="shared" si="84"/>
        <v>完整</v>
      </c>
      <c r="FB91" s="71" t="str">
        <f t="shared" si="85"/>
        <v>选择</v>
      </c>
      <c r="FC91" s="71" t="str">
        <f t="shared" si="86"/>
        <v>选择</v>
      </c>
    </row>
    <row r="92" spans="1:217" s="3" customFormat="1" ht="12.75" customHeight="1" x14ac:dyDescent="0.25">
      <c r="A92" s="28" t="s">
        <v>256</v>
      </c>
      <c r="B92" s="134" t="str">
        <f t="shared" si="44"/>
        <v>OCEANUS GROUP LIMITED</v>
      </c>
      <c r="C92" s="29" t="s">
        <v>328</v>
      </c>
      <c r="D92" s="135" t="s">
        <v>312</v>
      </c>
      <c r="E92" s="29"/>
      <c r="F92" s="135"/>
      <c r="H92" s="31" t="str">
        <f t="shared" si="45"/>
        <v xml:space="preserve"> </v>
      </c>
      <c r="I92" s="29"/>
      <c r="J92" s="29" t="str">
        <f>VLOOKUP(Z:Z,'[1]AP 2022'!FD91:FF181,2,FALSE)</f>
        <v>exclude</v>
      </c>
      <c r="K92" s="47" t="str">
        <f>VLOOKUP(Z:Z,'[1]AP 2022'!FD91:FF181,3,0)</f>
        <v>lev SDA/SDP</v>
      </c>
      <c r="L92" s="48"/>
      <c r="M92" s="125" t="s">
        <v>1026</v>
      </c>
      <c r="N92" s="125" t="s">
        <v>1027</v>
      </c>
      <c r="O92" s="125" t="s">
        <v>633</v>
      </c>
      <c r="P92" s="125" t="s">
        <v>1028</v>
      </c>
      <c r="Q92" s="124"/>
      <c r="R92" s="125" t="s">
        <v>1029</v>
      </c>
      <c r="S92" s="125" t="s">
        <v>1030</v>
      </c>
      <c r="T92" s="125" t="s">
        <v>335</v>
      </c>
      <c r="U92" s="125" t="s">
        <v>321</v>
      </c>
      <c r="V92" s="125" t="s">
        <v>1031</v>
      </c>
      <c r="W92" s="125" t="s">
        <v>1032</v>
      </c>
      <c r="X92" s="125" t="s">
        <v>1033</v>
      </c>
      <c r="Y92" s="124"/>
      <c r="Z92" s="125" t="s">
        <v>1034</v>
      </c>
      <c r="AA92" s="128">
        <v>235909000</v>
      </c>
      <c r="AB92" s="128">
        <v>144009000</v>
      </c>
      <c r="AC92" s="128">
        <v>467719144.23162198</v>
      </c>
      <c r="AD92" s="128">
        <v>54435536.3785135</v>
      </c>
      <c r="AE92" s="128">
        <v>234501000</v>
      </c>
      <c r="AF92" s="128">
        <v>140370000</v>
      </c>
      <c r="AG92" s="128">
        <v>455075414.48562801</v>
      </c>
      <c r="AH92" s="128">
        <v>48258638.1480629</v>
      </c>
      <c r="AI92" s="125" t="s">
        <v>340</v>
      </c>
      <c r="AJ92" s="125" t="s">
        <v>340</v>
      </c>
      <c r="AK92" s="125" t="s">
        <v>340</v>
      </c>
      <c r="AL92" s="125" t="s">
        <v>340</v>
      </c>
      <c r="AM92" s="128">
        <v>234501000</v>
      </c>
      <c r="AN92" s="128">
        <v>140370000</v>
      </c>
      <c r="AO92" s="128">
        <v>455075414.48562801</v>
      </c>
      <c r="AP92" s="128">
        <v>48258638.1480629</v>
      </c>
      <c r="AQ92" s="128">
        <v>1408000</v>
      </c>
      <c r="AR92" s="128">
        <v>3639000</v>
      </c>
      <c r="AS92" s="128">
        <v>12643729.7459947</v>
      </c>
      <c r="AT92" s="128">
        <v>6176898.2304506097</v>
      </c>
      <c r="AU92" s="128">
        <v>-216129000</v>
      </c>
      <c r="AV92" s="128">
        <v>-130144000</v>
      </c>
      <c r="AW92" s="128">
        <v>-408958917.796758</v>
      </c>
      <c r="AX92" s="128">
        <v>-39696036.1510235</v>
      </c>
      <c r="AY92" s="128">
        <v>0</v>
      </c>
      <c r="AZ92" s="128">
        <v>0</v>
      </c>
      <c r="BA92" s="128">
        <v>0</v>
      </c>
      <c r="BB92" s="128">
        <v>0</v>
      </c>
      <c r="BC92" s="128">
        <v>-13813000</v>
      </c>
      <c r="BD92" s="128">
        <v>-6394000</v>
      </c>
      <c r="BE92" s="128">
        <v>-19978872.413334802</v>
      </c>
      <c r="BF92" s="128">
        <v>-31968430.472290099</v>
      </c>
      <c r="BG92" s="128">
        <v>5967000</v>
      </c>
      <c r="BH92" s="128">
        <v>7471000</v>
      </c>
      <c r="BI92" s="128">
        <v>38781354.021530099</v>
      </c>
      <c r="BJ92" s="128">
        <v>-17228930.244800098</v>
      </c>
      <c r="BK92" s="128">
        <v>-3943000</v>
      </c>
      <c r="BL92" s="128">
        <v>-2588000</v>
      </c>
      <c r="BM92" s="128">
        <v>-11867707.2400833</v>
      </c>
      <c r="BN92" s="128">
        <v>-16243530.8629482</v>
      </c>
      <c r="BO92" s="128">
        <v>-3943000</v>
      </c>
      <c r="BP92" s="128">
        <v>-2588000</v>
      </c>
      <c r="BQ92" s="128">
        <v>-11867707.2400833</v>
      </c>
      <c r="BR92" s="128">
        <v>-12747956.213641999</v>
      </c>
      <c r="BS92" s="128">
        <v>0</v>
      </c>
      <c r="BT92" s="128">
        <v>0</v>
      </c>
      <c r="BU92" s="128">
        <v>0</v>
      </c>
      <c r="BV92" s="128">
        <v>-3495574.64930622</v>
      </c>
      <c r="BW92" s="128">
        <v>-13160000</v>
      </c>
      <c r="BX92" s="128">
        <v>7054000</v>
      </c>
      <c r="BY92" s="128">
        <v>35934290.560352303</v>
      </c>
      <c r="BZ92" s="128">
        <v>-24634984.546297502</v>
      </c>
      <c r="CA92" s="128">
        <v>143991000</v>
      </c>
      <c r="CB92" s="128">
        <v>123243000</v>
      </c>
      <c r="CC92" s="128">
        <v>252434684.072593</v>
      </c>
      <c r="CD92" s="128">
        <v>105271771.85699999</v>
      </c>
      <c r="CE92" s="128">
        <v>36563000</v>
      </c>
      <c r="CF92" s="128">
        <v>37403000</v>
      </c>
      <c r="CG92" s="128">
        <v>72614946.715561897</v>
      </c>
      <c r="CH92" s="128">
        <v>2951011.8330196398</v>
      </c>
      <c r="CI92" s="128">
        <v>78086000</v>
      </c>
      <c r="CJ92" s="128">
        <v>40671000</v>
      </c>
      <c r="CK92" s="128">
        <v>80187344.671333596</v>
      </c>
      <c r="CL92" s="128">
        <v>5398951.3500412097</v>
      </c>
      <c r="CM92" s="128">
        <v>5167000</v>
      </c>
      <c r="CN92" s="128">
        <v>5884000</v>
      </c>
      <c r="CO92" s="128">
        <v>1705272.3856013101</v>
      </c>
      <c r="CP92" s="128">
        <v>3620046.15017172</v>
      </c>
      <c r="CQ92" s="128">
        <v>24175000</v>
      </c>
      <c r="CR92" s="128">
        <v>38917000</v>
      </c>
      <c r="CS92" s="128">
        <v>91372942.957176402</v>
      </c>
      <c r="CT92" s="128">
        <v>93146173.147685096</v>
      </c>
      <c r="CU92" s="128">
        <v>13875000</v>
      </c>
      <c r="CV92" s="128">
        <v>1704000</v>
      </c>
      <c r="CW92" s="128">
        <v>34609615.1999432</v>
      </c>
      <c r="CX92" s="128">
        <v>5217430.4112790199</v>
      </c>
      <c r="CY92" s="128">
        <v>3110000</v>
      </c>
      <c r="CZ92" s="128">
        <v>2327000</v>
      </c>
      <c r="DA92" s="128">
        <v>2367610.0658058799</v>
      </c>
      <c r="DB92" s="128">
        <v>34753480.304155797</v>
      </c>
      <c r="DC92" s="128">
        <v>166756000</v>
      </c>
      <c r="DD92" s="128">
        <v>144060000</v>
      </c>
      <c r="DE92" s="128">
        <v>347173686.43439102</v>
      </c>
      <c r="DF92" s="128">
        <v>210507239.52624699</v>
      </c>
      <c r="DG92" s="16">
        <f t="shared" si="46"/>
        <v>234501000</v>
      </c>
      <c r="DH92" s="16">
        <f t="shared" si="47"/>
        <v>-216129000</v>
      </c>
      <c r="DI92" s="16">
        <f t="shared" si="48"/>
        <v>-13813000</v>
      </c>
      <c r="DJ92" s="16">
        <f t="shared" si="49"/>
        <v>-3943000</v>
      </c>
      <c r="DK92" s="16">
        <f t="shared" si="50"/>
        <v>616000</v>
      </c>
      <c r="DL92" s="57">
        <f t="shared" si="51"/>
        <v>2.6268544697037538E-3</v>
      </c>
      <c r="DM92" s="57">
        <f t="shared" si="52"/>
        <v>2.6337730081022726E-3</v>
      </c>
      <c r="DN92" s="58">
        <f t="shared" si="53"/>
        <v>0</v>
      </c>
      <c r="DO92" s="16">
        <f t="shared" si="54"/>
        <v>36983000</v>
      </c>
      <c r="DP92" s="16">
        <f t="shared" si="55"/>
        <v>2718500</v>
      </c>
      <c r="DQ92" s="61"/>
      <c r="DR92" s="62">
        <f t="shared" si="56"/>
        <v>140370000</v>
      </c>
      <c r="DS92" s="62">
        <f t="shared" si="57"/>
        <v>-130144000</v>
      </c>
      <c r="DT92" s="62">
        <f t="shared" si="58"/>
        <v>-6394000</v>
      </c>
      <c r="DU92" s="62">
        <f t="shared" si="59"/>
        <v>-2588000</v>
      </c>
      <c r="DV92" s="62">
        <f t="shared" si="60"/>
        <v>1244000</v>
      </c>
      <c r="DW92" s="63">
        <f t="shared" si="61"/>
        <v>8.8622925126451528E-3</v>
      </c>
      <c r="DX92" s="63">
        <f t="shared" si="62"/>
        <v>8.9415350114284888E-3</v>
      </c>
      <c r="DY92" s="64">
        <f t="shared" si="63"/>
        <v>0</v>
      </c>
      <c r="DZ92" s="64">
        <f t="shared" si="64"/>
        <v>55008973.357780948</v>
      </c>
      <c r="EA92" s="64">
        <f t="shared" si="65"/>
        <v>2347305.0329029402</v>
      </c>
      <c r="EB92" s="61"/>
      <c r="EC92" s="64">
        <f t="shared" si="66"/>
        <v>455075414.48562801</v>
      </c>
      <c r="ED92" s="64">
        <f t="shared" si="67"/>
        <v>-408958917.796758</v>
      </c>
      <c r="EE92" s="64">
        <f t="shared" si="68"/>
        <v>-19978872.413334802</v>
      </c>
      <c r="EF92" s="64">
        <f t="shared" si="69"/>
        <v>-11867707.2400833</v>
      </c>
      <c r="EG92" s="64">
        <f t="shared" si="70"/>
        <v>14269917.035451911</v>
      </c>
      <c r="EH92" s="63">
        <f t="shared" si="71"/>
        <v>3.1357257679106236E-2</v>
      </c>
      <c r="EI92" s="57">
        <f t="shared" si="72"/>
        <v>3.2372366311209246E-2</v>
      </c>
      <c r="EJ92" s="64">
        <f t="shared" si="73"/>
        <v>0</v>
      </c>
      <c r="EK92" s="64">
        <f t="shared" si="74"/>
        <v>37782979.27429077</v>
      </c>
      <c r="EL92" s="64">
        <f t="shared" si="75"/>
        <v>18560545.184980839</v>
      </c>
      <c r="EM92" s="61"/>
      <c r="EN92" s="66">
        <f t="shared" si="76"/>
        <v>276648804.82854265</v>
      </c>
      <c r="EO92" s="66">
        <f t="shared" si="76"/>
        <v>-251743972.5989193</v>
      </c>
      <c r="EP92" s="66">
        <f t="shared" si="76"/>
        <v>-13395290.804444933</v>
      </c>
      <c r="EQ92" s="66">
        <f t="shared" si="43"/>
        <v>-6132902.4133610995</v>
      </c>
      <c r="ER92" s="66">
        <f t="shared" si="77"/>
        <v>5376639.0118173147</v>
      </c>
      <c r="ES92" s="63">
        <f t="shared" si="78"/>
        <v>1.9434889715679665E-2</v>
      </c>
      <c r="ET92" s="67">
        <f t="shared" si="79"/>
        <v>1.9820090998388076E-2</v>
      </c>
      <c r="EU92" s="66">
        <f t="shared" si="80"/>
        <v>0</v>
      </c>
      <c r="EV92" s="66">
        <f t="shared" si="81"/>
        <v>43258317.544023909</v>
      </c>
      <c r="EW92" s="66">
        <f t="shared" si="81"/>
        <v>7875450.0726279272</v>
      </c>
      <c r="EX92" s="70"/>
      <c r="EY92" s="71" t="str">
        <f t="shared" si="82"/>
        <v>完整</v>
      </c>
      <c r="EZ92" s="71" t="str">
        <f t="shared" si="83"/>
        <v>完整</v>
      </c>
      <c r="FA92" s="71" t="str">
        <f t="shared" si="84"/>
        <v>完整</v>
      </c>
      <c r="FB92" s="71" t="str">
        <f t="shared" si="85"/>
        <v>选择</v>
      </c>
      <c r="FC92" s="71" t="str">
        <f t="shared" si="86"/>
        <v>选择</v>
      </c>
    </row>
    <row r="93" spans="1:217" s="3" customFormat="1" ht="12.75" customHeight="1" x14ac:dyDescent="0.25">
      <c r="A93" s="28" t="s">
        <v>257</v>
      </c>
      <c r="B93" s="134" t="str">
        <f t="shared" si="44"/>
        <v>NOW COS CO.,LTD.</v>
      </c>
      <c r="C93" s="29" t="s">
        <v>328</v>
      </c>
      <c r="D93" s="136" t="s">
        <v>309</v>
      </c>
      <c r="E93" s="33"/>
      <c r="F93" s="34"/>
      <c r="G93" s="32"/>
      <c r="H93" s="31" t="str">
        <f t="shared" si="45"/>
        <v xml:space="preserve"> </v>
      </c>
      <c r="I93" s="29"/>
      <c r="J93" s="29" t="str">
        <f>VLOOKUP(Z:Z,'[1]AP 2022'!FD92:FF181,2,FALSE)</f>
        <v>exclude</v>
      </c>
      <c r="K93" s="47" t="str">
        <f>VLOOKUP(Z:Z,'[1]AP 2022'!FD92:FF181,3,0)</f>
        <v>Independence(A+, A, A-, U)</v>
      </c>
      <c r="L93" s="48"/>
      <c r="M93" s="125" t="s">
        <v>1035</v>
      </c>
      <c r="N93" s="125" t="s">
        <v>1036</v>
      </c>
      <c r="O93" s="125" t="s">
        <v>331</v>
      </c>
      <c r="P93" s="125" t="s">
        <v>1037</v>
      </c>
      <c r="Q93" s="124"/>
      <c r="R93" s="125" t="s">
        <v>363</v>
      </c>
      <c r="S93" s="125" t="s">
        <v>1038</v>
      </c>
      <c r="T93" s="125" t="s">
        <v>374</v>
      </c>
      <c r="U93" s="125" t="s">
        <v>321</v>
      </c>
      <c r="V93" s="125" t="s">
        <v>1039</v>
      </c>
      <c r="W93" s="125" t="s">
        <v>1040</v>
      </c>
      <c r="X93" s="124"/>
      <c r="Y93" s="124"/>
      <c r="Z93" s="125" t="s">
        <v>1041</v>
      </c>
      <c r="AA93" s="128">
        <v>42348412000</v>
      </c>
      <c r="AB93" s="128">
        <v>42462784000</v>
      </c>
      <c r="AC93" s="128">
        <v>47956928000</v>
      </c>
      <c r="AD93" s="128">
        <v>36210533000</v>
      </c>
      <c r="AE93" s="128">
        <v>42348412000</v>
      </c>
      <c r="AF93" s="128">
        <v>42462784000</v>
      </c>
      <c r="AG93" s="128">
        <v>47956928000</v>
      </c>
      <c r="AH93" s="128">
        <v>36210533000</v>
      </c>
      <c r="AI93" s="125" t="s">
        <v>340</v>
      </c>
      <c r="AJ93" s="125" t="s">
        <v>340</v>
      </c>
      <c r="AK93" s="125" t="s">
        <v>340</v>
      </c>
      <c r="AL93" s="125" t="s">
        <v>340</v>
      </c>
      <c r="AM93" s="128">
        <v>42348412000</v>
      </c>
      <c r="AN93" s="128">
        <v>42462784000</v>
      </c>
      <c r="AO93" s="128">
        <v>47956928000</v>
      </c>
      <c r="AP93" s="128">
        <v>36210533000</v>
      </c>
      <c r="AQ93" s="125" t="s">
        <v>340</v>
      </c>
      <c r="AR93" s="125" t="s">
        <v>340</v>
      </c>
      <c r="AS93" s="125" t="s">
        <v>340</v>
      </c>
      <c r="AT93" s="125" t="s">
        <v>340</v>
      </c>
      <c r="AU93" s="128">
        <v>-36716562000</v>
      </c>
      <c r="AV93" s="128">
        <v>-35769686000</v>
      </c>
      <c r="AW93" s="128">
        <v>-37765109000</v>
      </c>
      <c r="AX93" s="128">
        <v>-29718424000</v>
      </c>
      <c r="AY93" s="128">
        <v>-1660995000</v>
      </c>
      <c r="AZ93" s="128">
        <v>-1829245000</v>
      </c>
      <c r="BA93" s="128">
        <v>-1946184000</v>
      </c>
      <c r="BB93" s="128">
        <v>-1285176000</v>
      </c>
      <c r="BC93" s="128">
        <v>-4961534000</v>
      </c>
      <c r="BD93" s="128">
        <v>-4128013000</v>
      </c>
      <c r="BE93" s="128">
        <v>-4123687000</v>
      </c>
      <c r="BF93" s="128">
        <v>-3965826000</v>
      </c>
      <c r="BG93" s="128">
        <v>-990679000</v>
      </c>
      <c r="BH93" s="128">
        <v>735840000</v>
      </c>
      <c r="BI93" s="128">
        <v>4121948000</v>
      </c>
      <c r="BJ93" s="128">
        <v>1241107000</v>
      </c>
      <c r="BK93" s="128">
        <v>-482634000</v>
      </c>
      <c r="BL93" s="128">
        <v>-432587000</v>
      </c>
      <c r="BM93" s="128">
        <v>-434212000</v>
      </c>
      <c r="BN93" s="128">
        <v>-345421000</v>
      </c>
      <c r="BO93" s="128">
        <v>-464688000</v>
      </c>
      <c r="BP93" s="128">
        <v>-395304000</v>
      </c>
      <c r="BQ93" s="128">
        <v>-390497000</v>
      </c>
      <c r="BR93" s="128">
        <v>-297518000</v>
      </c>
      <c r="BS93" s="128">
        <v>-17946000</v>
      </c>
      <c r="BT93" s="128">
        <v>-37283000</v>
      </c>
      <c r="BU93" s="128">
        <v>-43715000</v>
      </c>
      <c r="BV93" s="128">
        <v>-47903000</v>
      </c>
      <c r="BW93" s="128">
        <v>-1246421000</v>
      </c>
      <c r="BX93" s="128">
        <v>337983000</v>
      </c>
      <c r="BY93" s="128">
        <v>1844290000</v>
      </c>
      <c r="BZ93" s="128">
        <v>742225000</v>
      </c>
      <c r="CA93" s="128">
        <v>19203843000</v>
      </c>
      <c r="CB93" s="128">
        <v>11699704000</v>
      </c>
      <c r="CC93" s="128">
        <v>14366078000</v>
      </c>
      <c r="CD93" s="128">
        <v>11615260000</v>
      </c>
      <c r="CE93" s="128">
        <v>4043567000</v>
      </c>
      <c r="CF93" s="128">
        <v>5288693000</v>
      </c>
      <c r="CG93" s="128">
        <v>4508790000</v>
      </c>
      <c r="CH93" s="128">
        <v>4571413000</v>
      </c>
      <c r="CI93" s="128">
        <v>4067258000</v>
      </c>
      <c r="CJ93" s="128">
        <v>3949325000</v>
      </c>
      <c r="CK93" s="128">
        <v>5000707000</v>
      </c>
      <c r="CL93" s="128">
        <v>3797014000</v>
      </c>
      <c r="CM93" s="128">
        <v>2848099000</v>
      </c>
      <c r="CN93" s="128">
        <v>678797000</v>
      </c>
      <c r="CO93" s="128">
        <v>190191000</v>
      </c>
      <c r="CP93" s="128">
        <v>573006000</v>
      </c>
      <c r="CQ93" s="128">
        <v>8130843000</v>
      </c>
      <c r="CR93" s="128">
        <v>1503709000</v>
      </c>
      <c r="CS93" s="128">
        <v>4554338000</v>
      </c>
      <c r="CT93" s="128">
        <v>1899437000</v>
      </c>
      <c r="CU93" s="128">
        <v>318062000</v>
      </c>
      <c r="CV93" s="125" t="s">
        <v>340</v>
      </c>
      <c r="CW93" s="125" t="s">
        <v>340</v>
      </c>
      <c r="CX93" s="125" t="s">
        <v>340</v>
      </c>
      <c r="CY93" s="128">
        <v>1748029000</v>
      </c>
      <c r="CZ93" s="128">
        <v>1626728000</v>
      </c>
      <c r="DA93" s="128">
        <v>1519425000</v>
      </c>
      <c r="DB93" s="128">
        <v>1325215000</v>
      </c>
      <c r="DC93" s="128">
        <v>39390613000</v>
      </c>
      <c r="DD93" s="128">
        <v>31414458000</v>
      </c>
      <c r="DE93" s="128">
        <v>35194641000</v>
      </c>
      <c r="DF93" s="128">
        <v>28738196000</v>
      </c>
      <c r="DG93" s="16">
        <f t="shared" si="46"/>
        <v>42348412000</v>
      </c>
      <c r="DH93" s="16">
        <f t="shared" si="47"/>
        <v>-36716562000</v>
      </c>
      <c r="DI93" s="16">
        <f t="shared" si="48"/>
        <v>-6622529000</v>
      </c>
      <c r="DJ93" s="16">
        <f t="shared" si="49"/>
        <v>-482634000</v>
      </c>
      <c r="DK93" s="16">
        <f t="shared" si="50"/>
        <v>-1473313000</v>
      </c>
      <c r="DL93" s="57">
        <f t="shared" si="51"/>
        <v>-3.479027737805139E-2</v>
      </c>
      <c r="DM93" s="57">
        <f t="shared" si="52"/>
        <v>-3.3620607130367415E-2</v>
      </c>
      <c r="DN93" s="58">
        <f t="shared" si="53"/>
        <v>-1660995000</v>
      </c>
      <c r="DO93" s="16">
        <f t="shared" si="54"/>
        <v>4666130000</v>
      </c>
      <c r="DP93" s="16">
        <f t="shared" si="55"/>
        <v>1687378500</v>
      </c>
      <c r="DQ93" s="61"/>
      <c r="DR93" s="62">
        <f t="shared" si="56"/>
        <v>42462784000</v>
      </c>
      <c r="DS93" s="62">
        <f t="shared" si="57"/>
        <v>-35769686000</v>
      </c>
      <c r="DT93" s="62">
        <f t="shared" si="58"/>
        <v>-5957258000</v>
      </c>
      <c r="DU93" s="62">
        <f t="shared" si="59"/>
        <v>-432587000</v>
      </c>
      <c r="DV93" s="62">
        <f t="shared" si="60"/>
        <v>303253000</v>
      </c>
      <c r="DW93" s="63">
        <f t="shared" si="61"/>
        <v>7.1416184110773334E-3</v>
      </c>
      <c r="DX93" s="63">
        <f t="shared" si="62"/>
        <v>7.1929879865124686E-3</v>
      </c>
      <c r="DY93" s="64">
        <f t="shared" si="63"/>
        <v>-1829245000</v>
      </c>
      <c r="DZ93" s="64">
        <f t="shared" si="64"/>
        <v>4898741500</v>
      </c>
      <c r="EA93" s="64">
        <f t="shared" si="65"/>
        <v>1573076500</v>
      </c>
      <c r="EB93" s="61"/>
      <c r="EC93" s="64">
        <f t="shared" si="66"/>
        <v>47956928000</v>
      </c>
      <c r="ED93" s="64">
        <f t="shared" si="67"/>
        <v>-37765109000</v>
      </c>
      <c r="EE93" s="64">
        <f t="shared" si="68"/>
        <v>-6069871000</v>
      </c>
      <c r="EF93" s="64">
        <f t="shared" si="69"/>
        <v>-434212000</v>
      </c>
      <c r="EG93" s="64">
        <f t="shared" si="70"/>
        <v>3687736000</v>
      </c>
      <c r="EH93" s="63">
        <f t="shared" si="71"/>
        <v>7.6896835426989815E-2</v>
      </c>
      <c r="EI93" s="57">
        <f t="shared" si="72"/>
        <v>8.3302536897443255E-2</v>
      </c>
      <c r="EJ93" s="64">
        <f t="shared" si="73"/>
        <v>-1946184000</v>
      </c>
      <c r="EK93" s="64">
        <f t="shared" si="74"/>
        <v>4540101500</v>
      </c>
      <c r="EL93" s="64">
        <f t="shared" si="75"/>
        <v>1422320000</v>
      </c>
      <c r="EM93" s="61"/>
      <c r="EN93" s="66">
        <f t="shared" si="76"/>
        <v>44256041333.333336</v>
      </c>
      <c r="EO93" s="66">
        <f t="shared" si="76"/>
        <v>-36750452333.333336</v>
      </c>
      <c r="EP93" s="66">
        <f t="shared" si="76"/>
        <v>-6216552666.666667</v>
      </c>
      <c r="EQ93" s="66">
        <f t="shared" si="43"/>
        <v>-449811000</v>
      </c>
      <c r="ER93" s="66">
        <f t="shared" si="77"/>
        <v>839225333.33333302</v>
      </c>
      <c r="ES93" s="63">
        <f t="shared" si="78"/>
        <v>1.896295529490195E-2</v>
      </c>
      <c r="ET93" s="67">
        <f t="shared" si="79"/>
        <v>1.9329499734235072E-2</v>
      </c>
      <c r="EU93" s="66">
        <f t="shared" si="80"/>
        <v>1812141333.3333333</v>
      </c>
      <c r="EV93" s="66">
        <f t="shared" si="81"/>
        <v>4701657666.666667</v>
      </c>
      <c r="EW93" s="66">
        <f t="shared" si="81"/>
        <v>1560925000</v>
      </c>
      <c r="EX93" s="70"/>
      <c r="EY93" s="71" t="str">
        <f t="shared" si="82"/>
        <v>完整</v>
      </c>
      <c r="EZ93" s="71" t="str">
        <f t="shared" si="83"/>
        <v>完整</v>
      </c>
      <c r="FA93" s="71" t="str">
        <f t="shared" si="84"/>
        <v>完整</v>
      </c>
      <c r="FB93" s="71" t="str">
        <f t="shared" si="85"/>
        <v>选择</v>
      </c>
      <c r="FC93" s="71" t="str">
        <f t="shared" si="86"/>
        <v>选择</v>
      </c>
      <c r="FD93" s="72"/>
      <c r="FE93" s="72"/>
      <c r="FF93" s="72"/>
      <c r="FG93" s="72"/>
      <c r="FH93" s="72"/>
      <c r="FI93" s="72"/>
      <c r="FJ93" s="72"/>
      <c r="FK93" s="72"/>
      <c r="FL93" s="72"/>
      <c r="FM93" s="72"/>
      <c r="FN93" s="72"/>
      <c r="FO93" s="72"/>
      <c r="FP93" s="72"/>
      <c r="FQ93" s="72"/>
      <c r="FR93" s="72"/>
      <c r="FS93" s="72"/>
      <c r="FT93" s="72"/>
      <c r="FU93" s="72"/>
      <c r="FV93" s="72"/>
      <c r="FW93" s="72"/>
      <c r="FX93" s="72"/>
      <c r="FY93" s="72"/>
      <c r="FZ93" s="72"/>
      <c r="GA93" s="72"/>
      <c r="GB93" s="72"/>
      <c r="GC93" s="72"/>
      <c r="GD93" s="72"/>
      <c r="GE93" s="72"/>
      <c r="GF93" s="72"/>
      <c r="GG93" s="72"/>
      <c r="GH93" s="72"/>
      <c r="GI93" s="72"/>
      <c r="GJ93" s="72"/>
      <c r="GK93" s="72"/>
      <c r="GL93" s="72"/>
      <c r="GM93" s="72"/>
      <c r="GN93" s="72"/>
      <c r="GO93" s="72"/>
      <c r="GP93" s="72"/>
      <c r="GQ93" s="72"/>
      <c r="GR93" s="72"/>
      <c r="GS93" s="72"/>
      <c r="GT93" s="72"/>
      <c r="GU93" s="72"/>
      <c r="GV93" s="72"/>
      <c r="GW93" s="72"/>
      <c r="GX93" s="72"/>
      <c r="GY93" s="72"/>
      <c r="GZ93" s="72"/>
      <c r="HA93" s="72"/>
      <c r="HB93" s="72"/>
      <c r="HC93" s="72"/>
      <c r="HD93" s="72"/>
      <c r="HE93" s="72"/>
      <c r="HF93" s="72"/>
      <c r="HG93" s="72"/>
      <c r="HH93" s="72"/>
      <c r="HI93" s="72"/>
    </row>
    <row r="94" spans="1:217" s="3" customFormat="1" ht="12.75" customHeight="1" x14ac:dyDescent="0.25">
      <c r="A94" s="28" t="s">
        <v>258</v>
      </c>
      <c r="B94" s="134" t="str">
        <f t="shared" si="44"/>
        <v>ADJUVANT HOLDINGS CO.,LTD.</v>
      </c>
      <c r="C94" s="29" t="s">
        <v>328</v>
      </c>
      <c r="D94" s="135" t="s">
        <v>312</v>
      </c>
      <c r="E94" s="29"/>
      <c r="F94" s="135"/>
      <c r="H94" s="31" t="str">
        <f t="shared" si="45"/>
        <v xml:space="preserve"> </v>
      </c>
      <c r="I94" s="29"/>
      <c r="J94" s="29" t="str">
        <f>VLOOKUP(Z:Z,'[1]AP 2022'!FD93:FF181,2,FALSE)</f>
        <v>exclude</v>
      </c>
      <c r="K94" s="47" t="str">
        <f>VLOOKUP(Z:Z,'[1]AP 2022'!FD93:FF181,3,0)</f>
        <v>lev SDA/SDP</v>
      </c>
      <c r="L94" s="48"/>
      <c r="M94" s="125" t="s">
        <v>1042</v>
      </c>
      <c r="N94" s="125" t="s">
        <v>1043</v>
      </c>
      <c r="O94" s="125" t="s">
        <v>331</v>
      </c>
      <c r="P94" s="125" t="s">
        <v>1044</v>
      </c>
      <c r="Q94" s="124"/>
      <c r="R94" s="125" t="s">
        <v>333</v>
      </c>
      <c r="S94" s="125" t="s">
        <v>1045</v>
      </c>
      <c r="T94" s="125" t="s">
        <v>335</v>
      </c>
      <c r="U94" s="125" t="s">
        <v>321</v>
      </c>
      <c r="V94" s="125" t="s">
        <v>1046</v>
      </c>
      <c r="W94" s="125" t="s">
        <v>1047</v>
      </c>
      <c r="X94" s="125" t="s">
        <v>1048</v>
      </c>
      <c r="Y94" s="124"/>
      <c r="Z94" s="125" t="s">
        <v>1049</v>
      </c>
      <c r="AA94" s="128">
        <v>4377402000</v>
      </c>
      <c r="AB94" s="128">
        <v>4427063000</v>
      </c>
      <c r="AC94" s="128">
        <v>4885682000</v>
      </c>
      <c r="AD94" s="128">
        <v>4674081000</v>
      </c>
      <c r="AE94" s="128">
        <v>4377402000</v>
      </c>
      <c r="AF94" s="128">
        <v>4427063000</v>
      </c>
      <c r="AG94" s="128">
        <v>4885682000</v>
      </c>
      <c r="AH94" s="128">
        <v>4674081000</v>
      </c>
      <c r="AI94" s="125" t="s">
        <v>340</v>
      </c>
      <c r="AJ94" s="125" t="s">
        <v>340</v>
      </c>
      <c r="AK94" s="125" t="s">
        <v>340</v>
      </c>
      <c r="AL94" s="125" t="s">
        <v>340</v>
      </c>
      <c r="AM94" s="128">
        <v>4377402000</v>
      </c>
      <c r="AN94" s="128">
        <v>4427063000</v>
      </c>
      <c r="AO94" s="128">
        <v>4885682000</v>
      </c>
      <c r="AP94" s="128">
        <v>4674081000</v>
      </c>
      <c r="AQ94" s="125" t="s">
        <v>340</v>
      </c>
      <c r="AR94" s="125" t="s">
        <v>340</v>
      </c>
      <c r="AS94" s="125" t="s">
        <v>340</v>
      </c>
      <c r="AT94" s="125" t="s">
        <v>340</v>
      </c>
      <c r="AU94" s="128">
        <v>-1352901000</v>
      </c>
      <c r="AV94" s="128">
        <v>-1375005000</v>
      </c>
      <c r="AW94" s="128">
        <v>-1777539000</v>
      </c>
      <c r="AX94" s="128">
        <v>-1746331000</v>
      </c>
      <c r="AY94" s="128">
        <v>-181025000</v>
      </c>
      <c r="AZ94" s="128">
        <v>-173458000</v>
      </c>
      <c r="BA94" s="128">
        <v>-151917000</v>
      </c>
      <c r="BB94" s="128">
        <v>-161264000</v>
      </c>
      <c r="BC94" s="128">
        <v>-2502215000</v>
      </c>
      <c r="BD94" s="128">
        <v>-2377944000</v>
      </c>
      <c r="BE94" s="128">
        <v>-2552648000</v>
      </c>
      <c r="BF94" s="128">
        <v>-2833508000</v>
      </c>
      <c r="BG94" s="128">
        <v>341261000</v>
      </c>
      <c r="BH94" s="128">
        <v>500656000</v>
      </c>
      <c r="BI94" s="128">
        <v>403578000</v>
      </c>
      <c r="BJ94" s="128">
        <v>-67022000</v>
      </c>
      <c r="BK94" s="128">
        <v>-108574000</v>
      </c>
      <c r="BL94" s="128">
        <v>-111469000</v>
      </c>
      <c r="BM94" s="128">
        <v>-153896000</v>
      </c>
      <c r="BN94" s="128">
        <v>-117597000</v>
      </c>
      <c r="BO94" s="128">
        <v>-108574000</v>
      </c>
      <c r="BP94" s="128">
        <v>-111469000</v>
      </c>
      <c r="BQ94" s="128">
        <v>-153307000</v>
      </c>
      <c r="BR94" s="128">
        <v>-117597000</v>
      </c>
      <c r="BS94" s="128">
        <v>0</v>
      </c>
      <c r="BT94" s="128">
        <v>0</v>
      </c>
      <c r="BU94" s="128">
        <v>-589000</v>
      </c>
      <c r="BV94" s="128">
        <v>0</v>
      </c>
      <c r="BW94" s="128">
        <v>403643000</v>
      </c>
      <c r="BX94" s="128">
        <v>393179000</v>
      </c>
      <c r="BY94" s="128">
        <v>142381000</v>
      </c>
      <c r="BZ94" s="128">
        <v>-227928000</v>
      </c>
      <c r="CA94" s="128">
        <v>3339446000</v>
      </c>
      <c r="CB94" s="128">
        <v>3244406000</v>
      </c>
      <c r="CC94" s="128">
        <v>2723604000</v>
      </c>
      <c r="CD94" s="128">
        <v>2747807000</v>
      </c>
      <c r="CE94" s="128">
        <v>1221467000</v>
      </c>
      <c r="CF94" s="128">
        <v>1032284000</v>
      </c>
      <c r="CG94" s="128">
        <v>712447000</v>
      </c>
      <c r="CH94" s="128">
        <v>736823000</v>
      </c>
      <c r="CI94" s="128">
        <v>433665000</v>
      </c>
      <c r="CJ94" s="128">
        <v>374259000</v>
      </c>
      <c r="CK94" s="128">
        <v>382071000</v>
      </c>
      <c r="CL94" s="128">
        <v>450332000</v>
      </c>
      <c r="CM94" s="128">
        <v>156303000</v>
      </c>
      <c r="CN94" s="128">
        <v>93791000</v>
      </c>
      <c r="CO94" s="128">
        <v>159237000</v>
      </c>
      <c r="CP94" s="128">
        <v>82339000</v>
      </c>
      <c r="CQ94" s="128">
        <v>1528011000</v>
      </c>
      <c r="CR94" s="128">
        <v>1744072000</v>
      </c>
      <c r="CS94" s="128">
        <v>1469849000</v>
      </c>
      <c r="CT94" s="128">
        <v>1478313000</v>
      </c>
      <c r="CU94" s="125" t="s">
        <v>340</v>
      </c>
      <c r="CV94" s="125" t="s">
        <v>340</v>
      </c>
      <c r="CW94" s="125" t="s">
        <v>340</v>
      </c>
      <c r="CX94" s="128">
        <v>0</v>
      </c>
      <c r="CY94" s="128">
        <v>327789000</v>
      </c>
      <c r="CZ94" s="128">
        <v>322348000</v>
      </c>
      <c r="DA94" s="128">
        <v>283692000</v>
      </c>
      <c r="DB94" s="128">
        <v>300939000</v>
      </c>
      <c r="DC94" s="128">
        <v>5551595000</v>
      </c>
      <c r="DD94" s="128">
        <v>5661751000</v>
      </c>
      <c r="DE94" s="128">
        <v>5096048000</v>
      </c>
      <c r="DF94" s="128">
        <v>5250788000</v>
      </c>
      <c r="DG94" s="16">
        <f t="shared" si="46"/>
        <v>4377402000</v>
      </c>
      <c r="DH94" s="16">
        <f t="shared" si="47"/>
        <v>-1352901000</v>
      </c>
      <c r="DI94" s="16">
        <f t="shared" si="48"/>
        <v>-2683240000</v>
      </c>
      <c r="DJ94" s="16">
        <f t="shared" si="49"/>
        <v>-108574000</v>
      </c>
      <c r="DK94" s="16">
        <f t="shared" si="50"/>
        <v>232687000</v>
      </c>
      <c r="DL94" s="57">
        <f t="shared" si="51"/>
        <v>5.3156415609075885E-2</v>
      </c>
      <c r="DM94" s="57">
        <f t="shared" si="52"/>
        <v>5.6140651407877259E-2</v>
      </c>
      <c r="DN94" s="58">
        <f t="shared" si="53"/>
        <v>-181025000</v>
      </c>
      <c r="DO94" s="16">
        <f t="shared" si="54"/>
        <v>1126875500</v>
      </c>
      <c r="DP94" s="16">
        <f t="shared" si="55"/>
        <v>325068500</v>
      </c>
      <c r="DQ94" s="61"/>
      <c r="DR94" s="62">
        <f t="shared" si="56"/>
        <v>4427063000</v>
      </c>
      <c r="DS94" s="62">
        <f t="shared" si="57"/>
        <v>-1375005000</v>
      </c>
      <c r="DT94" s="62">
        <f t="shared" si="58"/>
        <v>-2551402000</v>
      </c>
      <c r="DU94" s="62">
        <f t="shared" si="59"/>
        <v>-111469000</v>
      </c>
      <c r="DV94" s="62">
        <f t="shared" si="60"/>
        <v>389187000</v>
      </c>
      <c r="DW94" s="63">
        <f t="shared" si="61"/>
        <v>8.7910879063613959E-2</v>
      </c>
      <c r="DX94" s="63">
        <f t="shared" si="62"/>
        <v>9.638408906068438E-2</v>
      </c>
      <c r="DY94" s="64">
        <f t="shared" si="63"/>
        <v>-173458000</v>
      </c>
      <c r="DZ94" s="64">
        <f t="shared" si="64"/>
        <v>872365500</v>
      </c>
      <c r="EA94" s="64">
        <f t="shared" si="65"/>
        <v>303020000</v>
      </c>
      <c r="EB94" s="61"/>
      <c r="EC94" s="64">
        <f t="shared" si="66"/>
        <v>4885682000</v>
      </c>
      <c r="ED94" s="64">
        <f t="shared" si="67"/>
        <v>-1777539000</v>
      </c>
      <c r="EE94" s="64">
        <f t="shared" si="68"/>
        <v>-2704565000</v>
      </c>
      <c r="EF94" s="64">
        <f t="shared" si="69"/>
        <v>-153896000</v>
      </c>
      <c r="EG94" s="64">
        <f t="shared" si="70"/>
        <v>249682000</v>
      </c>
      <c r="EH94" s="63">
        <f t="shared" si="71"/>
        <v>5.1104840634326999E-2</v>
      </c>
      <c r="EI94" s="57">
        <f t="shared" si="72"/>
        <v>5.3857204486626405E-2</v>
      </c>
      <c r="EJ94" s="64">
        <f t="shared" si="73"/>
        <v>-151917000</v>
      </c>
      <c r="EK94" s="64">
        <f t="shared" si="74"/>
        <v>724635000</v>
      </c>
      <c r="EL94" s="64">
        <f t="shared" si="75"/>
        <v>292315500</v>
      </c>
      <c r="EM94" s="61"/>
      <c r="EN94" s="66">
        <f t="shared" si="76"/>
        <v>4563382333.333333</v>
      </c>
      <c r="EO94" s="66">
        <f t="shared" si="76"/>
        <v>-1501815000</v>
      </c>
      <c r="EP94" s="66">
        <f t="shared" si="76"/>
        <v>-2646402333.3333335</v>
      </c>
      <c r="EQ94" s="66">
        <f t="shared" si="43"/>
        <v>-124646333.33333333</v>
      </c>
      <c r="ER94" s="66">
        <f t="shared" si="77"/>
        <v>290518666.66666621</v>
      </c>
      <c r="ES94" s="63">
        <f t="shared" si="78"/>
        <v>6.3663012530106408E-2</v>
      </c>
      <c r="ET94" s="67">
        <f t="shared" si="79"/>
        <v>6.799156007083762E-2</v>
      </c>
      <c r="EU94" s="66">
        <f t="shared" si="80"/>
        <v>168800000</v>
      </c>
      <c r="EV94" s="66">
        <f t="shared" si="81"/>
        <v>907958666.66666663</v>
      </c>
      <c r="EW94" s="66">
        <f t="shared" si="81"/>
        <v>306801333.33333331</v>
      </c>
      <c r="EX94" s="70"/>
      <c r="EY94" s="71" t="str">
        <f t="shared" si="82"/>
        <v>完整</v>
      </c>
      <c r="EZ94" s="71" t="str">
        <f t="shared" si="83"/>
        <v>完整</v>
      </c>
      <c r="FA94" s="71" t="str">
        <f t="shared" si="84"/>
        <v>完整</v>
      </c>
      <c r="FB94" s="71" t="str">
        <f t="shared" si="85"/>
        <v>选择</v>
      </c>
      <c r="FC94" s="71" t="str">
        <f t="shared" si="86"/>
        <v>选择</v>
      </c>
    </row>
    <row r="95" spans="1:217" s="3" customFormat="1" ht="12.75" customHeight="1" x14ac:dyDescent="0.25">
      <c r="A95" s="28" t="s">
        <v>259</v>
      </c>
      <c r="B95" s="134" t="str">
        <f t="shared" si="44"/>
        <v>DR.WU SKINCARE CO., LTD.</v>
      </c>
      <c r="C95" s="29" t="s">
        <v>328</v>
      </c>
      <c r="D95" s="136" t="s">
        <v>309</v>
      </c>
      <c r="E95" s="33"/>
      <c r="F95" s="34"/>
      <c r="H95" s="31" t="str">
        <f t="shared" si="45"/>
        <v xml:space="preserve"> </v>
      </c>
      <c r="I95" s="29"/>
      <c r="J95" s="29" t="str">
        <f>VLOOKUP(Z:Z,'[1]AP 2022'!FD94:FF181,2,FALSE)</f>
        <v>exclude</v>
      </c>
      <c r="K95" s="47" t="str">
        <f>VLOOKUP(Z:Z,'[1]AP 2022'!FD94:FF181,3,0)</f>
        <v>Independence(A+, A, A-, U)</v>
      </c>
      <c r="L95" s="48"/>
      <c r="M95" s="125" t="s">
        <v>1050</v>
      </c>
      <c r="N95" s="125" t="s">
        <v>1051</v>
      </c>
      <c r="O95" s="125" t="s">
        <v>331</v>
      </c>
      <c r="P95" s="125" t="s">
        <v>1052</v>
      </c>
      <c r="Q95" s="124"/>
      <c r="R95" s="125" t="s">
        <v>842</v>
      </c>
      <c r="S95" s="125" t="s">
        <v>1053</v>
      </c>
      <c r="T95" s="125" t="s">
        <v>365</v>
      </c>
      <c r="U95" s="125" t="s">
        <v>321</v>
      </c>
      <c r="V95" s="125" t="s">
        <v>1054</v>
      </c>
      <c r="W95" s="125" t="s">
        <v>1055</v>
      </c>
      <c r="X95" s="124"/>
      <c r="Y95" s="124"/>
      <c r="Z95" s="125" t="s">
        <v>1056</v>
      </c>
      <c r="AA95" s="128">
        <v>927832000</v>
      </c>
      <c r="AB95" s="128">
        <v>1106448000</v>
      </c>
      <c r="AC95" s="128">
        <v>764804000</v>
      </c>
      <c r="AD95" s="128">
        <v>1014902000</v>
      </c>
      <c r="AE95" s="128">
        <v>926791000</v>
      </c>
      <c r="AF95" s="128">
        <v>1106011000</v>
      </c>
      <c r="AG95" s="128">
        <v>764630000</v>
      </c>
      <c r="AH95" s="128">
        <v>1014212000</v>
      </c>
      <c r="AI95" s="125" t="s">
        <v>340</v>
      </c>
      <c r="AJ95" s="125" t="s">
        <v>340</v>
      </c>
      <c r="AK95" s="125" t="s">
        <v>340</v>
      </c>
      <c r="AL95" s="125" t="s">
        <v>340</v>
      </c>
      <c r="AM95" s="128">
        <v>926791000</v>
      </c>
      <c r="AN95" s="128">
        <v>1106011000</v>
      </c>
      <c r="AO95" s="128">
        <v>764630000</v>
      </c>
      <c r="AP95" s="128">
        <v>1014212000</v>
      </c>
      <c r="AQ95" s="128">
        <v>1041000</v>
      </c>
      <c r="AR95" s="128">
        <v>437000</v>
      </c>
      <c r="AS95" s="128">
        <v>174000</v>
      </c>
      <c r="AT95" s="128">
        <v>690000</v>
      </c>
      <c r="AU95" s="128">
        <v>-259011000</v>
      </c>
      <c r="AV95" s="128">
        <v>-399490000</v>
      </c>
      <c r="AW95" s="128">
        <v>-235612000</v>
      </c>
      <c r="AX95" s="128">
        <v>-286790000</v>
      </c>
      <c r="AY95" s="128">
        <v>-7240000</v>
      </c>
      <c r="AZ95" s="128">
        <v>-10021000</v>
      </c>
      <c r="BA95" s="128">
        <v>-11352000</v>
      </c>
      <c r="BB95" s="128">
        <v>-12154000</v>
      </c>
      <c r="BC95" s="128">
        <v>-278217000</v>
      </c>
      <c r="BD95" s="128">
        <v>-307893000</v>
      </c>
      <c r="BE95" s="128">
        <v>-266416000</v>
      </c>
      <c r="BF95" s="128">
        <v>-447901000</v>
      </c>
      <c r="BG95" s="128">
        <v>383364000</v>
      </c>
      <c r="BH95" s="128">
        <v>389044000</v>
      </c>
      <c r="BI95" s="128">
        <v>251424000</v>
      </c>
      <c r="BJ95" s="128">
        <v>268057000</v>
      </c>
      <c r="BK95" s="128">
        <v>-9765000</v>
      </c>
      <c r="BL95" s="128">
        <v>-12161000</v>
      </c>
      <c r="BM95" s="128">
        <v>-14000000</v>
      </c>
      <c r="BN95" s="128">
        <v>-23542000</v>
      </c>
      <c r="BO95" s="128">
        <v>-9563000</v>
      </c>
      <c r="BP95" s="128">
        <v>-10357000</v>
      </c>
      <c r="BQ95" s="128">
        <v>-12038000</v>
      </c>
      <c r="BR95" s="128">
        <v>-21364000</v>
      </c>
      <c r="BS95" s="128">
        <v>-202000</v>
      </c>
      <c r="BT95" s="128">
        <v>-1804000</v>
      </c>
      <c r="BU95" s="128">
        <v>-1962000</v>
      </c>
      <c r="BV95" s="128">
        <v>-2178000</v>
      </c>
      <c r="BW95" s="128">
        <v>339981000</v>
      </c>
      <c r="BX95" s="128">
        <v>296242000</v>
      </c>
      <c r="BY95" s="128">
        <v>661110000</v>
      </c>
      <c r="BZ95" s="128">
        <v>191797000</v>
      </c>
      <c r="CA95" s="128">
        <v>1619570000</v>
      </c>
      <c r="CB95" s="128">
        <v>1690867000</v>
      </c>
      <c r="CC95" s="128">
        <v>2124985000</v>
      </c>
      <c r="CD95" s="128">
        <v>1930155000</v>
      </c>
      <c r="CE95" s="128">
        <v>115202000</v>
      </c>
      <c r="CF95" s="128">
        <v>115180000</v>
      </c>
      <c r="CG95" s="128">
        <v>103015000</v>
      </c>
      <c r="CH95" s="128">
        <v>102231000</v>
      </c>
      <c r="CI95" s="128">
        <v>125448000</v>
      </c>
      <c r="CJ95" s="128">
        <v>143641000</v>
      </c>
      <c r="CK95" s="128">
        <v>97168000</v>
      </c>
      <c r="CL95" s="128">
        <v>123440000</v>
      </c>
      <c r="CM95" s="128">
        <v>8956000</v>
      </c>
      <c r="CN95" s="128">
        <v>9598000</v>
      </c>
      <c r="CO95" s="128">
        <v>312099000</v>
      </c>
      <c r="CP95" s="128">
        <v>1046627000</v>
      </c>
      <c r="CQ95" s="128">
        <v>1366120000</v>
      </c>
      <c r="CR95" s="128">
        <v>1414606000</v>
      </c>
      <c r="CS95" s="128">
        <v>1604267000</v>
      </c>
      <c r="CT95" s="128">
        <v>650346000</v>
      </c>
      <c r="CU95" s="128">
        <v>714570000</v>
      </c>
      <c r="CV95" s="128">
        <v>385953000</v>
      </c>
      <c r="CW95" s="128">
        <v>891912000</v>
      </c>
      <c r="CX95" s="128">
        <v>23315000</v>
      </c>
      <c r="CY95" s="125" t="s">
        <v>340</v>
      </c>
      <c r="CZ95" s="128">
        <v>117000</v>
      </c>
      <c r="DA95" s="128">
        <v>1000000</v>
      </c>
      <c r="DB95" s="128">
        <v>1272000</v>
      </c>
      <c r="DC95" s="128">
        <v>1783235000</v>
      </c>
      <c r="DD95" s="128">
        <v>1831044000</v>
      </c>
      <c r="DE95" s="128">
        <v>2264946000</v>
      </c>
      <c r="DF95" s="128">
        <v>2052534000</v>
      </c>
      <c r="DG95" s="16">
        <f t="shared" si="46"/>
        <v>926791000</v>
      </c>
      <c r="DH95" s="16">
        <f t="shared" si="47"/>
        <v>-259011000</v>
      </c>
      <c r="DI95" s="16">
        <f t="shared" si="48"/>
        <v>-285457000</v>
      </c>
      <c r="DJ95" s="16">
        <f t="shared" si="49"/>
        <v>-9765000</v>
      </c>
      <c r="DK95" s="16">
        <f t="shared" si="50"/>
        <v>372558000</v>
      </c>
      <c r="DL95" s="57">
        <f t="shared" si="51"/>
        <v>0.4019870715188214</v>
      </c>
      <c r="DM95" s="57">
        <f t="shared" si="52"/>
        <v>0.67220465039072019</v>
      </c>
      <c r="DN95" s="58">
        <f t="shared" si="53"/>
        <v>-7240000</v>
      </c>
      <c r="DO95" s="16">
        <f t="shared" si="54"/>
        <v>115191000</v>
      </c>
      <c r="DP95" s="16" t="e">
        <f t="shared" si="55"/>
        <v>#VALUE!</v>
      </c>
      <c r="DQ95" s="61"/>
      <c r="DR95" s="62">
        <f t="shared" si="56"/>
        <v>1106011000</v>
      </c>
      <c r="DS95" s="62">
        <f t="shared" si="57"/>
        <v>-399490000</v>
      </c>
      <c r="DT95" s="62">
        <f t="shared" si="58"/>
        <v>-317914000</v>
      </c>
      <c r="DU95" s="62">
        <f t="shared" si="59"/>
        <v>-12161000</v>
      </c>
      <c r="DV95" s="62">
        <f t="shared" si="60"/>
        <v>376446000</v>
      </c>
      <c r="DW95" s="63">
        <f t="shared" si="61"/>
        <v>0.34036370343513761</v>
      </c>
      <c r="DX95" s="63">
        <f t="shared" si="62"/>
        <v>0.51598692371481636</v>
      </c>
      <c r="DY95" s="64">
        <f t="shared" si="63"/>
        <v>-10021000</v>
      </c>
      <c r="DZ95" s="64">
        <f t="shared" si="64"/>
        <v>109097500</v>
      </c>
      <c r="EA95" s="64">
        <f t="shared" si="65"/>
        <v>558500</v>
      </c>
      <c r="EB95" s="61"/>
      <c r="EC95" s="64">
        <f t="shared" si="66"/>
        <v>764630000</v>
      </c>
      <c r="ED95" s="64">
        <f t="shared" si="67"/>
        <v>-235612000</v>
      </c>
      <c r="EE95" s="64">
        <f t="shared" si="68"/>
        <v>-277768000</v>
      </c>
      <c r="EF95" s="64">
        <f t="shared" si="69"/>
        <v>-14000000</v>
      </c>
      <c r="EG95" s="64">
        <f t="shared" si="70"/>
        <v>237250000</v>
      </c>
      <c r="EH95" s="63">
        <f t="shared" si="71"/>
        <v>0.31028078940140985</v>
      </c>
      <c r="EI95" s="57">
        <f t="shared" si="72"/>
        <v>0.44986537221737649</v>
      </c>
      <c r="EJ95" s="64">
        <f t="shared" si="73"/>
        <v>-11352000</v>
      </c>
      <c r="EK95" s="64">
        <f t="shared" si="74"/>
        <v>102623000</v>
      </c>
      <c r="EL95" s="64">
        <f t="shared" si="75"/>
        <v>1136000</v>
      </c>
      <c r="EM95" s="61"/>
      <c r="EN95" s="66">
        <f t="shared" si="76"/>
        <v>932477333.33333337</v>
      </c>
      <c r="EO95" s="66">
        <f t="shared" si="76"/>
        <v>-298037666.66666669</v>
      </c>
      <c r="EP95" s="66">
        <f t="shared" si="76"/>
        <v>-293713000</v>
      </c>
      <c r="EQ95" s="66">
        <f t="shared" si="43"/>
        <v>-11975333.333333334</v>
      </c>
      <c r="ER95" s="66">
        <f t="shared" si="77"/>
        <v>328751333.33333343</v>
      </c>
      <c r="ES95" s="63">
        <f t="shared" si="78"/>
        <v>0.35255691648626319</v>
      </c>
      <c r="ET95" s="67">
        <f t="shared" si="79"/>
        <v>0.54453731218024959</v>
      </c>
      <c r="EU95" s="66">
        <f t="shared" si="80"/>
        <v>9537666.666666666</v>
      </c>
      <c r="EV95" s="66">
        <f t="shared" si="81"/>
        <v>108970500</v>
      </c>
      <c r="EW95" s="66" t="e">
        <f t="shared" si="81"/>
        <v>#VALUE!</v>
      </c>
      <c r="EX95" s="70"/>
      <c r="EY95" s="71" t="str">
        <f t="shared" si="82"/>
        <v>完整</v>
      </c>
      <c r="EZ95" s="71" t="str">
        <f t="shared" si="83"/>
        <v>完整</v>
      </c>
      <c r="FA95" s="71" t="str">
        <f t="shared" si="84"/>
        <v>完整</v>
      </c>
      <c r="FB95" s="71" t="str">
        <f t="shared" si="85"/>
        <v>选择</v>
      </c>
      <c r="FC95" s="71" t="str">
        <f t="shared" si="86"/>
        <v>选择</v>
      </c>
    </row>
    <row r="96" spans="1:217" s="3" customFormat="1" ht="12.75" customHeight="1" x14ac:dyDescent="0.25">
      <c r="A96" s="28" t="s">
        <v>260</v>
      </c>
      <c r="B96" s="134" t="str">
        <f t="shared" si="44"/>
        <v>SEWHA P&amp;C INC.</v>
      </c>
      <c r="C96" s="29" t="s">
        <v>328</v>
      </c>
      <c r="D96" s="135" t="s">
        <v>312</v>
      </c>
      <c r="E96" s="29"/>
      <c r="F96" s="135"/>
      <c r="H96" s="31" t="str">
        <f t="shared" si="45"/>
        <v xml:space="preserve"> </v>
      </c>
      <c r="I96" s="29"/>
      <c r="J96" s="29" t="str">
        <f>VLOOKUP(Z:Z,'[1]AP 2022'!FD95:FF181,2,FALSE)</f>
        <v>exclude</v>
      </c>
      <c r="K96" s="47" t="str">
        <f>VLOOKUP(Z:Z,'[1]AP 2022'!FD95:FF181,3,0)</f>
        <v>lev SDA/SDP</v>
      </c>
      <c r="L96" s="48"/>
      <c r="M96" s="125" t="s">
        <v>1057</v>
      </c>
      <c r="N96" s="125" t="s">
        <v>1058</v>
      </c>
      <c r="O96" s="125" t="s">
        <v>413</v>
      </c>
      <c r="P96" s="125" t="s">
        <v>1059</v>
      </c>
      <c r="Q96" s="124"/>
      <c r="R96" s="125" t="s">
        <v>363</v>
      </c>
      <c r="S96" s="125" t="s">
        <v>1060</v>
      </c>
      <c r="T96" s="125" t="s">
        <v>866</v>
      </c>
      <c r="U96" s="125" t="s">
        <v>321</v>
      </c>
      <c r="V96" s="125" t="s">
        <v>1061</v>
      </c>
      <c r="W96" s="125" t="s">
        <v>1062</v>
      </c>
      <c r="X96" s="125" t="s">
        <v>1063</v>
      </c>
      <c r="Y96" s="124"/>
      <c r="Z96" s="125" t="s">
        <v>1064</v>
      </c>
      <c r="AA96" s="128">
        <v>37918740000</v>
      </c>
      <c r="AB96" s="128">
        <v>39660421000</v>
      </c>
      <c r="AC96" s="128">
        <v>36598990000</v>
      </c>
      <c r="AD96" s="128">
        <v>29231952000</v>
      </c>
      <c r="AE96" s="128">
        <v>37918740000</v>
      </c>
      <c r="AF96" s="128">
        <v>39660421000</v>
      </c>
      <c r="AG96" s="128">
        <v>36598990000</v>
      </c>
      <c r="AH96" s="128">
        <v>29231952000</v>
      </c>
      <c r="AI96" s="125" t="s">
        <v>340</v>
      </c>
      <c r="AJ96" s="125" t="s">
        <v>340</v>
      </c>
      <c r="AK96" s="125" t="s">
        <v>340</v>
      </c>
      <c r="AL96" s="125" t="s">
        <v>340</v>
      </c>
      <c r="AM96" s="128">
        <v>37918740000</v>
      </c>
      <c r="AN96" s="128">
        <v>39660421000</v>
      </c>
      <c r="AO96" s="128">
        <v>36598990000</v>
      </c>
      <c r="AP96" s="128">
        <v>29231952000</v>
      </c>
      <c r="AQ96" s="125" t="s">
        <v>340</v>
      </c>
      <c r="AR96" s="125" t="s">
        <v>340</v>
      </c>
      <c r="AS96" s="125" t="s">
        <v>340</v>
      </c>
      <c r="AT96" s="125" t="s">
        <v>340</v>
      </c>
      <c r="AU96" s="128">
        <v>-17574070000</v>
      </c>
      <c r="AV96" s="128">
        <v>-17914526000</v>
      </c>
      <c r="AW96" s="128">
        <v>-18799482000</v>
      </c>
      <c r="AX96" s="128">
        <v>-17634633000</v>
      </c>
      <c r="AY96" s="128">
        <v>-790051000</v>
      </c>
      <c r="AZ96" s="128">
        <v>-762029000</v>
      </c>
      <c r="BA96" s="128">
        <v>-114507000</v>
      </c>
      <c r="BB96" s="128">
        <v>-25855000</v>
      </c>
      <c r="BC96" s="128">
        <v>-18614072000</v>
      </c>
      <c r="BD96" s="128">
        <v>-15405017000</v>
      </c>
      <c r="BE96" s="128">
        <v>-12287547000</v>
      </c>
      <c r="BF96" s="128">
        <v>-10889935000</v>
      </c>
      <c r="BG96" s="128">
        <v>940547000</v>
      </c>
      <c r="BH96" s="128">
        <v>5578849000</v>
      </c>
      <c r="BI96" s="128">
        <v>5397454000</v>
      </c>
      <c r="BJ96" s="128">
        <v>681529000</v>
      </c>
      <c r="BK96" s="128">
        <v>-115527000</v>
      </c>
      <c r="BL96" s="128">
        <v>-138573000</v>
      </c>
      <c r="BM96" s="128">
        <v>-180679000</v>
      </c>
      <c r="BN96" s="128">
        <v>-169444000</v>
      </c>
      <c r="BO96" s="128">
        <v>-77725000</v>
      </c>
      <c r="BP96" s="128">
        <v>-90451000</v>
      </c>
      <c r="BQ96" s="128">
        <v>-118728000</v>
      </c>
      <c r="BR96" s="128">
        <v>-120113000</v>
      </c>
      <c r="BS96" s="128">
        <v>-37802000</v>
      </c>
      <c r="BT96" s="128">
        <v>-48122000</v>
      </c>
      <c r="BU96" s="128">
        <v>-61951000</v>
      </c>
      <c r="BV96" s="128">
        <v>-49331000</v>
      </c>
      <c r="BW96" s="128">
        <v>1320271000</v>
      </c>
      <c r="BX96" s="128">
        <v>4865851000</v>
      </c>
      <c r="BY96" s="128">
        <v>4281389000</v>
      </c>
      <c r="BZ96" s="128">
        <v>595313000</v>
      </c>
      <c r="CA96" s="128">
        <v>29725976000</v>
      </c>
      <c r="CB96" s="128">
        <v>29874327000</v>
      </c>
      <c r="CC96" s="128">
        <v>21459297000</v>
      </c>
      <c r="CD96" s="128">
        <v>16664934000</v>
      </c>
      <c r="CE96" s="128">
        <v>5375522000</v>
      </c>
      <c r="CF96" s="128">
        <v>5389182000</v>
      </c>
      <c r="CG96" s="128">
        <v>5397813000</v>
      </c>
      <c r="CH96" s="128">
        <v>5414091000</v>
      </c>
      <c r="CI96" s="128">
        <v>4358084000</v>
      </c>
      <c r="CJ96" s="128">
        <v>6109535000</v>
      </c>
      <c r="CK96" s="128">
        <v>5372993000</v>
      </c>
      <c r="CL96" s="128">
        <v>6857568000</v>
      </c>
      <c r="CM96" s="128">
        <v>15000000000</v>
      </c>
      <c r="CN96" s="125" t="s">
        <v>340</v>
      </c>
      <c r="CO96" s="128">
        <v>220000000</v>
      </c>
      <c r="CP96" s="128">
        <v>220000000</v>
      </c>
      <c r="CQ96" s="128">
        <v>4568245000</v>
      </c>
      <c r="CR96" s="128">
        <v>18261952000</v>
      </c>
      <c r="CS96" s="128">
        <v>10139019000</v>
      </c>
      <c r="CT96" s="128">
        <v>3169217000</v>
      </c>
      <c r="CU96" s="128">
        <v>2530819000</v>
      </c>
      <c r="CV96" s="128">
        <v>14484533000</v>
      </c>
      <c r="CW96" s="125" t="s">
        <v>340</v>
      </c>
      <c r="CX96" s="125" t="s">
        <v>340</v>
      </c>
      <c r="CY96" s="128">
        <v>776671000</v>
      </c>
      <c r="CZ96" s="128">
        <v>894203000</v>
      </c>
      <c r="DA96" s="128">
        <v>692188000</v>
      </c>
      <c r="DB96" s="128">
        <v>614493000</v>
      </c>
      <c r="DC96" s="128">
        <v>40716625000</v>
      </c>
      <c r="DD96" s="128">
        <v>41090974000</v>
      </c>
      <c r="DE96" s="128">
        <v>33753675000</v>
      </c>
      <c r="DF96" s="128">
        <v>29486062000</v>
      </c>
      <c r="DG96" s="16">
        <f t="shared" si="46"/>
        <v>37918740000</v>
      </c>
      <c r="DH96" s="16">
        <f t="shared" si="47"/>
        <v>-17574070000</v>
      </c>
      <c r="DI96" s="16">
        <f t="shared" si="48"/>
        <v>-19404123000</v>
      </c>
      <c r="DJ96" s="16">
        <f t="shared" si="49"/>
        <v>-115527000</v>
      </c>
      <c r="DK96" s="16">
        <f t="shared" si="50"/>
        <v>825020000</v>
      </c>
      <c r="DL96" s="57">
        <f t="shared" si="51"/>
        <v>2.1757579497630988E-2</v>
      </c>
      <c r="DM96" s="57">
        <f t="shared" si="52"/>
        <v>2.2241500717641693E-2</v>
      </c>
      <c r="DN96" s="58">
        <f t="shared" si="53"/>
        <v>-790051000</v>
      </c>
      <c r="DO96" s="16">
        <f t="shared" si="54"/>
        <v>5382352000</v>
      </c>
      <c r="DP96" s="16">
        <f t="shared" si="55"/>
        <v>835437000</v>
      </c>
      <c r="DQ96" s="61"/>
      <c r="DR96" s="62">
        <f t="shared" si="56"/>
        <v>39660421000</v>
      </c>
      <c r="DS96" s="62">
        <f t="shared" si="57"/>
        <v>-17914526000</v>
      </c>
      <c r="DT96" s="62">
        <f t="shared" si="58"/>
        <v>-16167046000</v>
      </c>
      <c r="DU96" s="62">
        <f t="shared" si="59"/>
        <v>-138573000</v>
      </c>
      <c r="DV96" s="62">
        <f t="shared" si="60"/>
        <v>5440276000</v>
      </c>
      <c r="DW96" s="63">
        <f t="shared" si="61"/>
        <v>0.13717141328378737</v>
      </c>
      <c r="DX96" s="63">
        <f t="shared" si="62"/>
        <v>0.15897875359674835</v>
      </c>
      <c r="DY96" s="64">
        <f t="shared" si="63"/>
        <v>-762029000</v>
      </c>
      <c r="DZ96" s="64">
        <f t="shared" si="64"/>
        <v>5393497500</v>
      </c>
      <c r="EA96" s="64">
        <f t="shared" si="65"/>
        <v>793195500</v>
      </c>
      <c r="EB96" s="61"/>
      <c r="EC96" s="64">
        <f t="shared" si="66"/>
        <v>36598990000</v>
      </c>
      <c r="ED96" s="64">
        <f t="shared" si="67"/>
        <v>-18799482000</v>
      </c>
      <c r="EE96" s="64">
        <f t="shared" si="68"/>
        <v>-12402054000</v>
      </c>
      <c r="EF96" s="64">
        <f t="shared" si="69"/>
        <v>-180679000</v>
      </c>
      <c r="EG96" s="64">
        <f t="shared" si="70"/>
        <v>5216775000</v>
      </c>
      <c r="EH96" s="63">
        <f t="shared" si="71"/>
        <v>0.142538769512492</v>
      </c>
      <c r="EI96" s="57">
        <f t="shared" si="72"/>
        <v>0.16623348606846267</v>
      </c>
      <c r="EJ96" s="64">
        <f t="shared" si="73"/>
        <v>-114507000</v>
      </c>
      <c r="EK96" s="64">
        <f t="shared" si="74"/>
        <v>5405952000</v>
      </c>
      <c r="EL96" s="64">
        <f t="shared" si="75"/>
        <v>653340500</v>
      </c>
      <c r="EM96" s="61"/>
      <c r="EN96" s="66">
        <f t="shared" si="76"/>
        <v>38059383666.666664</v>
      </c>
      <c r="EO96" s="66">
        <f t="shared" si="76"/>
        <v>-18096026000</v>
      </c>
      <c r="EP96" s="66">
        <f t="shared" si="76"/>
        <v>-15991074333.333334</v>
      </c>
      <c r="EQ96" s="66">
        <f t="shared" si="43"/>
        <v>-144926333.33333334</v>
      </c>
      <c r="ER96" s="66">
        <f t="shared" si="77"/>
        <v>3827356999.9999967</v>
      </c>
      <c r="ES96" s="63">
        <f t="shared" si="78"/>
        <v>0.1005627687910272</v>
      </c>
      <c r="ET96" s="67">
        <f t="shared" si="79"/>
        <v>0.11180632211083412</v>
      </c>
      <c r="EU96" s="66">
        <f t="shared" si="80"/>
        <v>555529000</v>
      </c>
      <c r="EV96" s="66">
        <f t="shared" si="81"/>
        <v>5393933833.333333</v>
      </c>
      <c r="EW96" s="66">
        <f t="shared" si="81"/>
        <v>760657666.66666663</v>
      </c>
      <c r="EX96" s="70"/>
      <c r="EY96" s="71" t="str">
        <f t="shared" si="82"/>
        <v>完整</v>
      </c>
      <c r="EZ96" s="71" t="str">
        <f t="shared" si="83"/>
        <v>完整</v>
      </c>
      <c r="FA96" s="71" t="str">
        <f t="shared" si="84"/>
        <v>完整</v>
      </c>
      <c r="FB96" s="71" t="str">
        <f t="shared" si="85"/>
        <v>选择</v>
      </c>
      <c r="FC96" s="71" t="str">
        <f t="shared" si="86"/>
        <v>选择</v>
      </c>
    </row>
    <row r="97" spans="1:218" s="3" customFormat="1" ht="12.75" customHeight="1" x14ac:dyDescent="0.25">
      <c r="A97" s="28" t="s">
        <v>261</v>
      </c>
      <c r="B97" s="134" t="str">
        <f t="shared" si="44"/>
        <v>COLORAY INTERNATIONAL INVESTMENT CO LIMITED</v>
      </c>
      <c r="C97" s="29" t="s">
        <v>328</v>
      </c>
      <c r="D97" s="136" t="s">
        <v>309</v>
      </c>
      <c r="E97" s="33"/>
      <c r="H97" s="31" t="str">
        <f t="shared" si="45"/>
        <v xml:space="preserve"> </v>
      </c>
      <c r="I97" s="29"/>
      <c r="J97" s="29" t="e">
        <f>VLOOKUP(Z:Z,'[1]AP 2022'!FD96:FF181,2,FALSE)</f>
        <v>#N/A</v>
      </c>
      <c r="K97" s="47" t="e">
        <f>VLOOKUP(Z:Z,'[1]AP 2022'!FD96:FF181,3,0)</f>
        <v>#N/A</v>
      </c>
      <c r="L97" s="48"/>
      <c r="M97" s="125" t="s">
        <v>1065</v>
      </c>
      <c r="N97" s="125" t="s">
        <v>1066</v>
      </c>
      <c r="O97" s="125" t="s">
        <v>413</v>
      </c>
      <c r="P97" s="124"/>
      <c r="Q97" s="124"/>
      <c r="R97" s="125" t="s">
        <v>1067</v>
      </c>
      <c r="S97" s="125" t="s">
        <v>1068</v>
      </c>
      <c r="T97" s="125" t="s">
        <v>374</v>
      </c>
      <c r="U97" s="125" t="s">
        <v>321</v>
      </c>
      <c r="V97" s="125" t="s">
        <v>1069</v>
      </c>
      <c r="W97" s="125" t="s">
        <v>1070</v>
      </c>
      <c r="X97" s="124"/>
      <c r="Y97" s="124"/>
      <c r="Z97" s="125" t="s">
        <v>1071</v>
      </c>
      <c r="AA97" s="128">
        <v>203296000</v>
      </c>
      <c r="AB97" s="128">
        <v>318559000</v>
      </c>
      <c r="AC97" s="128">
        <v>432728000</v>
      </c>
      <c r="AD97" s="128">
        <v>302996000</v>
      </c>
      <c r="AE97" s="128">
        <v>202832000</v>
      </c>
      <c r="AF97" s="128">
        <v>317950000</v>
      </c>
      <c r="AG97" s="128">
        <v>431516000</v>
      </c>
      <c r="AH97" s="128">
        <v>301701000</v>
      </c>
      <c r="AI97" s="125" t="s">
        <v>340</v>
      </c>
      <c r="AJ97" s="125" t="s">
        <v>340</v>
      </c>
      <c r="AK97" s="125" t="s">
        <v>340</v>
      </c>
      <c r="AL97" s="125" t="s">
        <v>340</v>
      </c>
      <c r="AM97" s="128">
        <v>202832000</v>
      </c>
      <c r="AN97" s="128">
        <v>317950000</v>
      </c>
      <c r="AO97" s="128">
        <v>431516000</v>
      </c>
      <c r="AP97" s="128">
        <v>301701000</v>
      </c>
      <c r="AQ97" s="128">
        <v>464000</v>
      </c>
      <c r="AR97" s="128">
        <v>609000</v>
      </c>
      <c r="AS97" s="128">
        <v>1212000</v>
      </c>
      <c r="AT97" s="128">
        <v>1295000</v>
      </c>
      <c r="AU97" s="128">
        <v>-83418000</v>
      </c>
      <c r="AV97" s="128">
        <v>-94472000</v>
      </c>
      <c r="AW97" s="128">
        <v>-197026000</v>
      </c>
      <c r="AX97" s="128">
        <v>-84266000</v>
      </c>
      <c r="AY97" s="128">
        <v>-11195000</v>
      </c>
      <c r="AZ97" s="128">
        <v>-9608000</v>
      </c>
      <c r="BA97" s="128">
        <v>-9311000</v>
      </c>
      <c r="BB97" s="128">
        <v>-9190000</v>
      </c>
      <c r="BC97" s="128">
        <v>-23691000</v>
      </c>
      <c r="BD97" s="128">
        <v>-28297000</v>
      </c>
      <c r="BE97" s="128">
        <v>-46297000</v>
      </c>
      <c r="BF97" s="128">
        <v>-33433000</v>
      </c>
      <c r="BG97" s="128">
        <v>84992000</v>
      </c>
      <c r="BH97" s="128">
        <v>186182000</v>
      </c>
      <c r="BI97" s="128">
        <v>180094000</v>
      </c>
      <c r="BJ97" s="128">
        <v>176107000</v>
      </c>
      <c r="BK97" s="128">
        <v>-26948000</v>
      </c>
      <c r="BL97" s="128">
        <v>-20586000</v>
      </c>
      <c r="BM97" s="128">
        <v>-13582000</v>
      </c>
      <c r="BN97" s="128">
        <v>-10936000</v>
      </c>
      <c r="BO97" s="128">
        <v>-26936000</v>
      </c>
      <c r="BP97" s="128">
        <v>-20586000</v>
      </c>
      <c r="BQ97" s="128">
        <v>-13294000</v>
      </c>
      <c r="BR97" s="128">
        <v>-10648000</v>
      </c>
      <c r="BS97" s="128">
        <v>-12000</v>
      </c>
      <c r="BT97" s="128">
        <v>0</v>
      </c>
      <c r="BU97" s="128">
        <v>-288000</v>
      </c>
      <c r="BV97" s="128">
        <v>-288000</v>
      </c>
      <c r="BW97" s="128">
        <v>60546000</v>
      </c>
      <c r="BX97" s="128">
        <v>136754000</v>
      </c>
      <c r="BY97" s="128">
        <v>129069000</v>
      </c>
      <c r="BZ97" s="128">
        <v>143555000</v>
      </c>
      <c r="CA97" s="128">
        <v>1019558000</v>
      </c>
      <c r="CB97" s="128">
        <v>999713000</v>
      </c>
      <c r="CC97" s="128">
        <v>834853000</v>
      </c>
      <c r="CD97" s="128">
        <v>685584000</v>
      </c>
      <c r="CE97" s="128">
        <v>49027000</v>
      </c>
      <c r="CF97" s="128">
        <v>47780000</v>
      </c>
      <c r="CG97" s="128">
        <v>39007000</v>
      </c>
      <c r="CH97" s="128">
        <v>49043000</v>
      </c>
      <c r="CI97" s="128">
        <v>69406000</v>
      </c>
      <c r="CJ97" s="128">
        <v>88929000</v>
      </c>
      <c r="CK97" s="128">
        <v>119785000</v>
      </c>
      <c r="CL97" s="128">
        <v>65062000</v>
      </c>
      <c r="CM97" s="128">
        <v>294000</v>
      </c>
      <c r="CN97" s="128">
        <v>575000</v>
      </c>
      <c r="CO97" s="128">
        <v>2349000</v>
      </c>
      <c r="CP97" s="128">
        <v>1455000</v>
      </c>
      <c r="CQ97" s="128">
        <v>899938000</v>
      </c>
      <c r="CR97" s="128">
        <v>860723000</v>
      </c>
      <c r="CS97" s="128">
        <v>672504000</v>
      </c>
      <c r="CT97" s="128">
        <v>567598000</v>
      </c>
      <c r="CU97" s="128">
        <v>3598000</v>
      </c>
      <c r="CV97" s="128">
        <v>123387000</v>
      </c>
      <c r="CW97" s="128">
        <v>80933000</v>
      </c>
      <c r="CX97" s="128">
        <v>62786000</v>
      </c>
      <c r="CY97" s="128">
        <v>954000</v>
      </c>
      <c r="CZ97" s="128">
        <v>2427000</v>
      </c>
      <c r="DA97" s="128">
        <v>37433000</v>
      </c>
      <c r="DB97" s="128">
        <v>166988000</v>
      </c>
      <c r="DC97" s="128">
        <v>1412863000</v>
      </c>
      <c r="DD97" s="128">
        <v>1344818000</v>
      </c>
      <c r="DE97" s="128">
        <v>1183385000</v>
      </c>
      <c r="DF97" s="128">
        <v>1010894000</v>
      </c>
      <c r="DG97" s="16">
        <f t="shared" si="46"/>
        <v>202832000</v>
      </c>
      <c r="DH97" s="16">
        <f t="shared" si="47"/>
        <v>-83418000</v>
      </c>
      <c r="DI97" s="16">
        <f t="shared" si="48"/>
        <v>-34886000</v>
      </c>
      <c r="DJ97" s="16">
        <f t="shared" si="49"/>
        <v>-26948000</v>
      </c>
      <c r="DK97" s="16">
        <f t="shared" si="50"/>
        <v>57580000</v>
      </c>
      <c r="DL97" s="57">
        <f t="shared" si="51"/>
        <v>0.28388025558097341</v>
      </c>
      <c r="DM97" s="57">
        <f t="shared" si="52"/>
        <v>0.3964145072012778</v>
      </c>
      <c r="DN97" s="58">
        <f t="shared" si="53"/>
        <v>-11195000</v>
      </c>
      <c r="DO97" s="16">
        <f t="shared" si="54"/>
        <v>48403500</v>
      </c>
      <c r="DP97" s="16">
        <f t="shared" si="55"/>
        <v>1690500</v>
      </c>
      <c r="DQ97" s="61"/>
      <c r="DR97" s="62">
        <f t="shared" si="56"/>
        <v>317950000</v>
      </c>
      <c r="DS97" s="62">
        <f t="shared" si="57"/>
        <v>-94472000</v>
      </c>
      <c r="DT97" s="62">
        <f t="shared" si="58"/>
        <v>-37905000</v>
      </c>
      <c r="DU97" s="62">
        <f t="shared" si="59"/>
        <v>-20586000</v>
      </c>
      <c r="DV97" s="62">
        <f t="shared" si="60"/>
        <v>164987000</v>
      </c>
      <c r="DW97" s="63">
        <f t="shared" si="61"/>
        <v>0.5189086334329297</v>
      </c>
      <c r="DX97" s="63">
        <f t="shared" si="62"/>
        <v>1.0786072448892869</v>
      </c>
      <c r="DY97" s="64">
        <f t="shared" si="63"/>
        <v>-9608000</v>
      </c>
      <c r="DZ97" s="64">
        <f t="shared" si="64"/>
        <v>43393500</v>
      </c>
      <c r="EA97" s="64">
        <f t="shared" si="65"/>
        <v>19930000</v>
      </c>
      <c r="EB97" s="61"/>
      <c r="EC97" s="64">
        <f t="shared" si="66"/>
        <v>431516000</v>
      </c>
      <c r="ED97" s="64">
        <f t="shared" si="67"/>
        <v>-197026000</v>
      </c>
      <c r="EE97" s="64">
        <f t="shared" si="68"/>
        <v>-55608000</v>
      </c>
      <c r="EF97" s="64">
        <f t="shared" si="69"/>
        <v>-13582000</v>
      </c>
      <c r="EG97" s="64">
        <f t="shared" si="70"/>
        <v>165300000</v>
      </c>
      <c r="EH97" s="63">
        <f t="shared" si="71"/>
        <v>0.38306806700099183</v>
      </c>
      <c r="EI97" s="57">
        <f t="shared" si="72"/>
        <v>0.62092436217207081</v>
      </c>
      <c r="EJ97" s="64">
        <f t="shared" si="73"/>
        <v>-9311000</v>
      </c>
      <c r="EK97" s="64">
        <f t="shared" si="74"/>
        <v>44025000</v>
      </c>
      <c r="EL97" s="64">
        <f t="shared" si="75"/>
        <v>102210500</v>
      </c>
      <c r="EM97" s="61"/>
      <c r="EN97" s="66">
        <f t="shared" si="76"/>
        <v>317432666.66666669</v>
      </c>
      <c r="EO97" s="66">
        <f t="shared" si="76"/>
        <v>-124972000</v>
      </c>
      <c r="EP97" s="66">
        <f t="shared" si="76"/>
        <v>-42799666.666666664</v>
      </c>
      <c r="EQ97" s="66">
        <f t="shared" si="43"/>
        <v>-20372000</v>
      </c>
      <c r="ER97" s="66">
        <f t="shared" si="77"/>
        <v>129289000.00000003</v>
      </c>
      <c r="ES97" s="63">
        <f t="shared" si="78"/>
        <v>0.4072958254663982</v>
      </c>
      <c r="ET97" s="67">
        <f t="shared" si="79"/>
        <v>0.68718231280705722</v>
      </c>
      <c r="EU97" s="66">
        <f t="shared" si="80"/>
        <v>10038000</v>
      </c>
      <c r="EV97" s="66">
        <f t="shared" si="81"/>
        <v>45274000</v>
      </c>
      <c r="EW97" s="66">
        <f t="shared" si="81"/>
        <v>41277000</v>
      </c>
      <c r="EX97" s="70"/>
      <c r="EY97" s="71" t="str">
        <f t="shared" si="82"/>
        <v>完整</v>
      </c>
      <c r="EZ97" s="71" t="str">
        <f t="shared" si="83"/>
        <v>完整</v>
      </c>
      <c r="FA97" s="71" t="str">
        <f t="shared" si="84"/>
        <v>完整</v>
      </c>
      <c r="FB97" s="71" t="str">
        <f t="shared" si="85"/>
        <v>选择</v>
      </c>
      <c r="FC97" s="71" t="str">
        <f t="shared" si="86"/>
        <v>选择</v>
      </c>
      <c r="FD97" s="72"/>
      <c r="FE97" s="72"/>
      <c r="FF97" s="72"/>
      <c r="FG97" s="72"/>
      <c r="FH97" s="72"/>
      <c r="FI97" s="72"/>
      <c r="FJ97" s="72"/>
      <c r="FK97" s="72"/>
      <c r="FL97" s="72"/>
      <c r="FM97" s="72"/>
      <c r="FN97" s="72"/>
      <c r="FO97" s="72"/>
      <c r="FP97" s="72"/>
      <c r="FQ97" s="72"/>
      <c r="FR97" s="72"/>
      <c r="FS97" s="72"/>
      <c r="FT97" s="72"/>
      <c r="FU97" s="72"/>
      <c r="FV97" s="72"/>
      <c r="FW97" s="72"/>
      <c r="FX97" s="72"/>
      <c r="FY97" s="72"/>
      <c r="FZ97" s="72"/>
      <c r="GA97" s="72"/>
      <c r="GB97" s="72"/>
      <c r="GC97" s="72"/>
      <c r="GD97" s="72"/>
      <c r="GE97" s="72"/>
      <c r="GF97" s="72"/>
      <c r="GG97" s="72"/>
      <c r="GH97" s="72"/>
      <c r="GI97" s="72"/>
      <c r="GJ97" s="72"/>
      <c r="GK97" s="72"/>
      <c r="GL97" s="72"/>
      <c r="GM97" s="72"/>
      <c r="GN97" s="72"/>
      <c r="GO97" s="72"/>
      <c r="GP97" s="72"/>
      <c r="GQ97" s="72"/>
      <c r="GR97" s="72"/>
      <c r="GS97" s="72"/>
      <c r="GT97" s="72"/>
      <c r="GU97" s="72"/>
      <c r="GV97" s="72"/>
      <c r="GW97" s="72"/>
      <c r="GX97" s="72"/>
      <c r="GY97" s="72"/>
      <c r="GZ97" s="72"/>
      <c r="HA97" s="72"/>
      <c r="HB97" s="72"/>
      <c r="HC97" s="72"/>
      <c r="HD97" s="72"/>
      <c r="HE97" s="72"/>
      <c r="HF97" s="72"/>
      <c r="HG97" s="72"/>
      <c r="HH97" s="72"/>
      <c r="HI97" s="72"/>
    </row>
    <row r="98" spans="1:218" s="3" customFormat="1" ht="12.75" customHeight="1" x14ac:dyDescent="0.25">
      <c r="A98" s="28" t="s">
        <v>262</v>
      </c>
      <c r="B98" s="134" t="str">
        <f t="shared" si="44"/>
        <v>IVY COSMETICS CORPORATION</v>
      </c>
      <c r="C98" s="29" t="s">
        <v>328</v>
      </c>
      <c r="D98" s="137" t="s">
        <v>310</v>
      </c>
      <c r="E98" s="33"/>
      <c r="F98" s="34"/>
      <c r="H98" s="31" t="str">
        <f t="shared" si="45"/>
        <v xml:space="preserve"> </v>
      </c>
      <c r="I98" s="29"/>
      <c r="J98" s="29" t="str">
        <f>VLOOKUP(Z:Z,'[1]AP 2022'!FD97:FF181,2,FALSE)</f>
        <v>exclude</v>
      </c>
      <c r="K98" s="47" t="str">
        <f>VLOOKUP(Z:Z,'[1]AP 2022'!FD97:FF181,3,0)</f>
        <v>Independence(A+, A, A-, U)</v>
      </c>
      <c r="L98" s="48"/>
      <c r="M98" s="125" t="s">
        <v>1072</v>
      </c>
      <c r="N98" s="125" t="s">
        <v>1073</v>
      </c>
      <c r="O98" s="125" t="s">
        <v>331</v>
      </c>
      <c r="P98" s="125" t="s">
        <v>1074</v>
      </c>
      <c r="Q98" s="124"/>
      <c r="R98" s="125" t="s">
        <v>333</v>
      </c>
      <c r="S98" s="125" t="s">
        <v>1075</v>
      </c>
      <c r="T98" s="125" t="s">
        <v>335</v>
      </c>
      <c r="U98" s="125" t="s">
        <v>321</v>
      </c>
      <c r="V98" s="125" t="s">
        <v>1076</v>
      </c>
      <c r="W98" s="125" t="s">
        <v>1077</v>
      </c>
      <c r="X98" s="124"/>
      <c r="Y98" s="124"/>
      <c r="Z98" s="125" t="s">
        <v>1078</v>
      </c>
      <c r="AA98" s="125" t="s">
        <v>340</v>
      </c>
      <c r="AB98" s="125" t="s">
        <v>340</v>
      </c>
      <c r="AC98" s="125" t="s">
        <v>340</v>
      </c>
      <c r="AD98" s="125" t="s">
        <v>340</v>
      </c>
      <c r="AE98" s="125" t="s">
        <v>340</v>
      </c>
      <c r="AF98" s="125" t="s">
        <v>340</v>
      </c>
      <c r="AG98" s="125" t="s">
        <v>340</v>
      </c>
      <c r="AH98" s="125" t="s">
        <v>340</v>
      </c>
      <c r="AI98" s="125" t="s">
        <v>340</v>
      </c>
      <c r="AJ98" s="125" t="s">
        <v>340</v>
      </c>
      <c r="AK98" s="125" t="s">
        <v>340</v>
      </c>
      <c r="AL98" s="125" t="s">
        <v>340</v>
      </c>
      <c r="AM98" s="125" t="s">
        <v>340</v>
      </c>
      <c r="AN98" s="125" t="s">
        <v>340</v>
      </c>
      <c r="AO98" s="125" t="s">
        <v>340</v>
      </c>
      <c r="AP98" s="125" t="s">
        <v>340</v>
      </c>
      <c r="AQ98" s="125" t="s">
        <v>340</v>
      </c>
      <c r="AR98" s="125" t="s">
        <v>340</v>
      </c>
      <c r="AS98" s="125" t="s">
        <v>340</v>
      </c>
      <c r="AT98" s="125" t="s">
        <v>340</v>
      </c>
      <c r="AU98" s="125" t="s">
        <v>340</v>
      </c>
      <c r="AV98" s="125" t="s">
        <v>340</v>
      </c>
      <c r="AW98" s="125" t="s">
        <v>340</v>
      </c>
      <c r="AX98" s="125" t="s">
        <v>340</v>
      </c>
      <c r="AY98" s="125" t="s">
        <v>340</v>
      </c>
      <c r="AZ98" s="125" t="s">
        <v>340</v>
      </c>
      <c r="BA98" s="125" t="s">
        <v>340</v>
      </c>
      <c r="BB98" s="125" t="s">
        <v>340</v>
      </c>
      <c r="BC98" s="125" t="s">
        <v>340</v>
      </c>
      <c r="BD98" s="125" t="s">
        <v>340</v>
      </c>
      <c r="BE98" s="125" t="s">
        <v>340</v>
      </c>
      <c r="BF98" s="125" t="s">
        <v>340</v>
      </c>
      <c r="BG98" s="125" t="s">
        <v>340</v>
      </c>
      <c r="BH98" s="125" t="s">
        <v>340</v>
      </c>
      <c r="BI98" s="125" t="s">
        <v>340</v>
      </c>
      <c r="BJ98" s="125" t="s">
        <v>340</v>
      </c>
      <c r="BK98" s="125" t="s">
        <v>340</v>
      </c>
      <c r="BL98" s="125" t="s">
        <v>340</v>
      </c>
      <c r="BM98" s="125" t="s">
        <v>340</v>
      </c>
      <c r="BN98" s="125" t="s">
        <v>340</v>
      </c>
      <c r="BO98" s="125" t="s">
        <v>340</v>
      </c>
      <c r="BP98" s="125" t="s">
        <v>340</v>
      </c>
      <c r="BQ98" s="125" t="s">
        <v>340</v>
      </c>
      <c r="BR98" s="125" t="s">
        <v>340</v>
      </c>
      <c r="BS98" s="125" t="s">
        <v>340</v>
      </c>
      <c r="BT98" s="125" t="s">
        <v>340</v>
      </c>
      <c r="BU98" s="125" t="s">
        <v>340</v>
      </c>
      <c r="BV98" s="125" t="s">
        <v>340</v>
      </c>
      <c r="BW98" s="125" t="s">
        <v>340</v>
      </c>
      <c r="BX98" s="125" t="s">
        <v>340</v>
      </c>
      <c r="BY98" s="125" t="s">
        <v>340</v>
      </c>
      <c r="BZ98" s="125" t="s">
        <v>340</v>
      </c>
      <c r="CA98" s="125" t="s">
        <v>340</v>
      </c>
      <c r="CB98" s="125" t="s">
        <v>340</v>
      </c>
      <c r="CC98" s="125" t="s">
        <v>340</v>
      </c>
      <c r="CD98" s="125" t="s">
        <v>340</v>
      </c>
      <c r="CE98" s="125" t="s">
        <v>340</v>
      </c>
      <c r="CF98" s="125" t="s">
        <v>340</v>
      </c>
      <c r="CG98" s="125" t="s">
        <v>340</v>
      </c>
      <c r="CH98" s="125" t="s">
        <v>340</v>
      </c>
      <c r="CI98" s="125" t="s">
        <v>340</v>
      </c>
      <c r="CJ98" s="125" t="s">
        <v>340</v>
      </c>
      <c r="CK98" s="125" t="s">
        <v>340</v>
      </c>
      <c r="CL98" s="125" t="s">
        <v>340</v>
      </c>
      <c r="CM98" s="125" t="s">
        <v>340</v>
      </c>
      <c r="CN98" s="125" t="s">
        <v>340</v>
      </c>
      <c r="CO98" s="125" t="s">
        <v>340</v>
      </c>
      <c r="CP98" s="125" t="s">
        <v>340</v>
      </c>
      <c r="CQ98" s="125" t="s">
        <v>340</v>
      </c>
      <c r="CR98" s="125" t="s">
        <v>340</v>
      </c>
      <c r="CS98" s="125" t="s">
        <v>340</v>
      </c>
      <c r="CT98" s="125" t="s">
        <v>340</v>
      </c>
      <c r="CU98" s="125" t="s">
        <v>340</v>
      </c>
      <c r="CV98" s="125" t="s">
        <v>340</v>
      </c>
      <c r="CW98" s="125" t="s">
        <v>340</v>
      </c>
      <c r="CX98" s="125" t="s">
        <v>340</v>
      </c>
      <c r="CY98" s="125" t="s">
        <v>340</v>
      </c>
      <c r="CZ98" s="125" t="s">
        <v>340</v>
      </c>
      <c r="DA98" s="125" t="s">
        <v>340</v>
      </c>
      <c r="DB98" s="125" t="s">
        <v>340</v>
      </c>
      <c r="DC98" s="125" t="s">
        <v>340</v>
      </c>
      <c r="DD98" s="125" t="s">
        <v>340</v>
      </c>
      <c r="DE98" s="125" t="s">
        <v>340</v>
      </c>
      <c r="DF98" s="125" t="s">
        <v>340</v>
      </c>
      <c r="DG98" s="16" t="str">
        <f t="shared" si="46"/>
        <v>无数据</v>
      </c>
      <c r="DH98" s="16" t="str">
        <f t="shared" si="47"/>
        <v>n.a.</v>
      </c>
      <c r="DI98" s="16" t="str">
        <f t="shared" si="48"/>
        <v>n.a.</v>
      </c>
      <c r="DJ98" s="16" t="str">
        <f t="shared" si="49"/>
        <v>n.a.</v>
      </c>
      <c r="DK98" s="16" t="str">
        <f t="shared" si="50"/>
        <v>无数据</v>
      </c>
      <c r="DL98" s="57" t="e">
        <f t="shared" si="51"/>
        <v>#VALUE!</v>
      </c>
      <c r="DM98" s="57" t="e">
        <f t="shared" si="52"/>
        <v>#VALUE!</v>
      </c>
      <c r="DN98" s="58" t="str">
        <f t="shared" si="53"/>
        <v>n.a.</v>
      </c>
      <c r="DO98" s="16" t="e">
        <f t="shared" si="54"/>
        <v>#VALUE!</v>
      </c>
      <c r="DP98" s="16" t="e">
        <f t="shared" si="55"/>
        <v>#VALUE!</v>
      </c>
      <c r="DQ98" s="61"/>
      <c r="DR98" s="62" t="str">
        <f t="shared" si="56"/>
        <v>无数据</v>
      </c>
      <c r="DS98" s="62" t="str">
        <f t="shared" si="57"/>
        <v>n.a.</v>
      </c>
      <c r="DT98" s="62" t="str">
        <f t="shared" si="58"/>
        <v>n.a.</v>
      </c>
      <c r="DU98" s="62" t="str">
        <f t="shared" si="59"/>
        <v>n.a.</v>
      </c>
      <c r="DV98" s="62" t="str">
        <f t="shared" si="60"/>
        <v>无数据</v>
      </c>
      <c r="DW98" s="63" t="e">
        <f t="shared" si="61"/>
        <v>#VALUE!</v>
      </c>
      <c r="DX98" s="63" t="e">
        <f t="shared" si="62"/>
        <v>#VALUE!</v>
      </c>
      <c r="DY98" s="64" t="str">
        <f t="shared" si="63"/>
        <v>n.a.</v>
      </c>
      <c r="DZ98" s="64" t="e">
        <f t="shared" si="64"/>
        <v>#VALUE!</v>
      </c>
      <c r="EA98" s="64" t="e">
        <f t="shared" si="65"/>
        <v>#VALUE!</v>
      </c>
      <c r="EB98" s="61"/>
      <c r="EC98" s="64" t="str">
        <f t="shared" si="66"/>
        <v>无数据</v>
      </c>
      <c r="ED98" s="64" t="str">
        <f t="shared" si="67"/>
        <v>n.a.</v>
      </c>
      <c r="EE98" s="64" t="str">
        <f t="shared" si="68"/>
        <v>n.a.</v>
      </c>
      <c r="EF98" s="64" t="str">
        <f t="shared" si="69"/>
        <v>n.a.</v>
      </c>
      <c r="EG98" s="64" t="str">
        <f t="shared" si="70"/>
        <v>无数据</v>
      </c>
      <c r="EH98" s="63" t="e">
        <f t="shared" si="71"/>
        <v>#VALUE!</v>
      </c>
      <c r="EI98" s="57" t="e">
        <f t="shared" si="72"/>
        <v>#VALUE!</v>
      </c>
      <c r="EJ98" s="64" t="str">
        <f t="shared" si="73"/>
        <v>n.a.</v>
      </c>
      <c r="EK98" s="64" t="e">
        <f t="shared" si="74"/>
        <v>#VALUE!</v>
      </c>
      <c r="EL98" s="64" t="e">
        <f t="shared" si="75"/>
        <v>#VALUE!</v>
      </c>
      <c r="EM98" s="61"/>
      <c r="EN98" s="66" t="e">
        <f t="shared" si="76"/>
        <v>#VALUE!</v>
      </c>
      <c r="EO98" s="66" t="e">
        <f t="shared" si="76"/>
        <v>#VALUE!</v>
      </c>
      <c r="EP98" s="66" t="e">
        <f t="shared" si="76"/>
        <v>#VALUE!</v>
      </c>
      <c r="EQ98" s="66" t="e">
        <f t="shared" si="43"/>
        <v>#VALUE!</v>
      </c>
      <c r="ER98" s="66" t="e">
        <f t="shared" si="77"/>
        <v>#VALUE!</v>
      </c>
      <c r="ES98" s="63" t="e">
        <f t="shared" si="78"/>
        <v>#VALUE!</v>
      </c>
      <c r="ET98" s="67" t="e">
        <f t="shared" si="79"/>
        <v>#VALUE!</v>
      </c>
      <c r="EU98" s="66" t="e">
        <f t="shared" si="80"/>
        <v>#VALUE!</v>
      </c>
      <c r="EV98" s="66" t="e">
        <f t="shared" si="81"/>
        <v>#VALUE!</v>
      </c>
      <c r="EW98" s="66" t="e">
        <f t="shared" si="81"/>
        <v>#VALUE!</v>
      </c>
      <c r="EX98" s="70"/>
      <c r="EY98" s="71" t="str">
        <f t="shared" si="82"/>
        <v>无数据</v>
      </c>
      <c r="EZ98" s="71" t="str">
        <f t="shared" si="83"/>
        <v>无数据</v>
      </c>
      <c r="FA98" s="71" t="str">
        <f t="shared" si="84"/>
        <v>无数据</v>
      </c>
      <c r="FB98" s="71" t="str">
        <f t="shared" si="85"/>
        <v>删除</v>
      </c>
      <c r="FC98" s="71" t="str">
        <f t="shared" si="86"/>
        <v>选择</v>
      </c>
    </row>
    <row r="99" spans="1:218" s="3" customFormat="1" ht="12.75" customHeight="1" x14ac:dyDescent="0.25">
      <c r="A99" s="28" t="s">
        <v>263</v>
      </c>
      <c r="B99" s="134" t="str">
        <f t="shared" si="44"/>
        <v>OUTIN FUTURES CO.,LTD.</v>
      </c>
      <c r="C99" s="29" t="s">
        <v>328</v>
      </c>
      <c r="D99" s="135" t="s">
        <v>311</v>
      </c>
      <c r="E99" s="33"/>
      <c r="F99" s="34"/>
      <c r="G99" s="29"/>
      <c r="H99" s="31" t="str">
        <f t="shared" si="45"/>
        <v xml:space="preserve"> </v>
      </c>
      <c r="I99" s="29"/>
      <c r="J99" s="29" t="str">
        <f>VLOOKUP(Z:Z,'[1]AP 2022'!FD98:FF181,2,FALSE)</f>
        <v>exclude</v>
      </c>
      <c r="K99" s="47" t="str">
        <f>VLOOKUP(Z:Z,'[1]AP 2022'!FD98:FF181,3,0)</f>
        <v>Independence(A+, A, A-, U)</v>
      </c>
      <c r="L99" s="48"/>
      <c r="M99" s="125" t="s">
        <v>1079</v>
      </c>
      <c r="N99" s="125" t="s">
        <v>1080</v>
      </c>
      <c r="O99" s="125" t="s">
        <v>512</v>
      </c>
      <c r="P99" s="125" t="s">
        <v>1081</v>
      </c>
      <c r="Q99" s="124"/>
      <c r="R99" s="125" t="s">
        <v>363</v>
      </c>
      <c r="S99" s="125" t="s">
        <v>1082</v>
      </c>
      <c r="T99" s="125" t="s">
        <v>866</v>
      </c>
      <c r="U99" s="125" t="s">
        <v>321</v>
      </c>
      <c r="V99" s="125" t="s">
        <v>1083</v>
      </c>
      <c r="W99" s="125" t="s">
        <v>1084</v>
      </c>
      <c r="X99" s="124"/>
      <c r="Y99" s="124"/>
      <c r="Z99" s="125" t="s">
        <v>1085</v>
      </c>
      <c r="AA99" s="128">
        <v>35044593000</v>
      </c>
      <c r="AB99" s="128">
        <v>43911332000</v>
      </c>
      <c r="AC99" s="128">
        <v>40415612000</v>
      </c>
      <c r="AD99" s="128">
        <v>54122517000</v>
      </c>
      <c r="AE99" s="128">
        <v>35044593000</v>
      </c>
      <c r="AF99" s="128">
        <v>43911332000</v>
      </c>
      <c r="AG99" s="128">
        <v>40415612000</v>
      </c>
      <c r="AH99" s="128">
        <v>54122517000</v>
      </c>
      <c r="AI99" s="125" t="s">
        <v>340</v>
      </c>
      <c r="AJ99" s="125" t="s">
        <v>340</v>
      </c>
      <c r="AK99" s="125" t="s">
        <v>340</v>
      </c>
      <c r="AL99" s="125" t="s">
        <v>340</v>
      </c>
      <c r="AM99" s="128">
        <v>35044593000</v>
      </c>
      <c r="AN99" s="128">
        <v>43911332000</v>
      </c>
      <c r="AO99" s="128">
        <v>40415612000</v>
      </c>
      <c r="AP99" s="128">
        <v>54122517000</v>
      </c>
      <c r="AQ99" s="125" t="s">
        <v>340</v>
      </c>
      <c r="AR99" s="125" t="s">
        <v>340</v>
      </c>
      <c r="AS99" s="125" t="s">
        <v>340</v>
      </c>
      <c r="AT99" s="125" t="s">
        <v>340</v>
      </c>
      <c r="AU99" s="128">
        <v>-25406841000</v>
      </c>
      <c r="AV99" s="128">
        <v>-28903505000</v>
      </c>
      <c r="AW99" s="128">
        <v>-25076125000</v>
      </c>
      <c r="AX99" s="128">
        <v>-34817845000</v>
      </c>
      <c r="AY99" s="125" t="s">
        <v>340</v>
      </c>
      <c r="AZ99" s="125" t="s">
        <v>340</v>
      </c>
      <c r="BA99" s="125" t="s">
        <v>340</v>
      </c>
      <c r="BB99" s="125" t="s">
        <v>340</v>
      </c>
      <c r="BC99" s="128">
        <v>-18393796000</v>
      </c>
      <c r="BD99" s="128">
        <v>-21697511000</v>
      </c>
      <c r="BE99" s="128">
        <v>-19994995000</v>
      </c>
      <c r="BF99" s="128">
        <v>-38809421000</v>
      </c>
      <c r="BG99" s="128">
        <v>-8756044000</v>
      </c>
      <c r="BH99" s="128">
        <v>-6689684000</v>
      </c>
      <c r="BI99" s="128">
        <v>-4655508000</v>
      </c>
      <c r="BJ99" s="128">
        <v>-19504749000</v>
      </c>
      <c r="BK99" s="128">
        <v>-936767000</v>
      </c>
      <c r="BL99" s="128">
        <v>-1031773000</v>
      </c>
      <c r="BM99" s="128">
        <v>-1227644000</v>
      </c>
      <c r="BN99" s="128">
        <v>-1158956000</v>
      </c>
      <c r="BO99" s="128">
        <v>-743667000</v>
      </c>
      <c r="BP99" s="128">
        <v>-796376000</v>
      </c>
      <c r="BQ99" s="128">
        <v>-1004746000</v>
      </c>
      <c r="BR99" s="128">
        <v>-960715000</v>
      </c>
      <c r="BS99" s="128">
        <v>-193100000</v>
      </c>
      <c r="BT99" s="128">
        <v>-235397000</v>
      </c>
      <c r="BU99" s="128">
        <v>-222898000</v>
      </c>
      <c r="BV99" s="128">
        <v>-198241000</v>
      </c>
      <c r="BW99" s="128">
        <v>-17165776000</v>
      </c>
      <c r="BX99" s="128">
        <v>-8319579000</v>
      </c>
      <c r="BY99" s="128">
        <v>-12860819000</v>
      </c>
      <c r="BZ99" s="128">
        <v>-18581896000</v>
      </c>
      <c r="CA99" s="128">
        <v>31199350000</v>
      </c>
      <c r="CB99" s="128">
        <v>30336883000</v>
      </c>
      <c r="CC99" s="128">
        <v>31589403000</v>
      </c>
      <c r="CD99" s="128">
        <v>29508072000</v>
      </c>
      <c r="CE99" s="128">
        <v>9085753000</v>
      </c>
      <c r="CF99" s="128">
        <v>11206999000</v>
      </c>
      <c r="CG99" s="128">
        <v>14688093000</v>
      </c>
      <c r="CH99" s="128">
        <v>13467996000</v>
      </c>
      <c r="CI99" s="128">
        <v>3151939000</v>
      </c>
      <c r="CJ99" s="128">
        <v>3641853000</v>
      </c>
      <c r="CK99" s="128">
        <v>7165897000</v>
      </c>
      <c r="CL99" s="128">
        <v>2770151000</v>
      </c>
      <c r="CM99" s="128">
        <v>16246030000</v>
      </c>
      <c r="CN99" s="128">
        <v>10991681000</v>
      </c>
      <c r="CO99" s="128">
        <v>6305040000</v>
      </c>
      <c r="CP99" s="128">
        <v>5342364000</v>
      </c>
      <c r="CQ99" s="128">
        <v>1392469000</v>
      </c>
      <c r="CR99" s="128">
        <v>3751030000</v>
      </c>
      <c r="CS99" s="128">
        <v>2627971000</v>
      </c>
      <c r="CT99" s="128">
        <v>6617694000</v>
      </c>
      <c r="CU99" s="125" t="s">
        <v>340</v>
      </c>
      <c r="CV99" s="125" t="s">
        <v>340</v>
      </c>
      <c r="CW99" s="125" t="s">
        <v>340</v>
      </c>
      <c r="CX99" s="125" t="s">
        <v>340</v>
      </c>
      <c r="CY99" s="128">
        <v>1345866000</v>
      </c>
      <c r="CZ99" s="128">
        <v>1406253000</v>
      </c>
      <c r="DA99" s="128">
        <v>1591604000</v>
      </c>
      <c r="DB99" s="128">
        <v>4102200000</v>
      </c>
      <c r="DC99" s="128">
        <v>58434792000</v>
      </c>
      <c r="DD99" s="128">
        <v>50535705000</v>
      </c>
      <c r="DE99" s="128">
        <v>53599247000</v>
      </c>
      <c r="DF99" s="128">
        <v>54307215000</v>
      </c>
      <c r="DG99" s="16">
        <f t="shared" si="46"/>
        <v>35044593000</v>
      </c>
      <c r="DH99" s="16">
        <f t="shared" si="47"/>
        <v>-25406841000</v>
      </c>
      <c r="DI99" s="16">
        <f t="shared" si="48"/>
        <v>-18393796000</v>
      </c>
      <c r="DJ99" s="16">
        <f t="shared" si="49"/>
        <v>-936767000</v>
      </c>
      <c r="DK99" s="16">
        <f t="shared" si="50"/>
        <v>-9692811000</v>
      </c>
      <c r="DL99" s="57">
        <f t="shared" si="51"/>
        <v>-0.27658506406394845</v>
      </c>
      <c r="DM99" s="57">
        <f t="shared" si="52"/>
        <v>-0.21666011286662945</v>
      </c>
      <c r="DN99" s="58" t="str">
        <f t="shared" si="53"/>
        <v>n.a.</v>
      </c>
      <c r="DO99" s="16">
        <f t="shared" si="54"/>
        <v>10146376000</v>
      </c>
      <c r="DP99" s="16">
        <f t="shared" si="55"/>
        <v>1376059500</v>
      </c>
      <c r="DQ99" s="61"/>
      <c r="DR99" s="62">
        <f t="shared" si="56"/>
        <v>43911332000</v>
      </c>
      <c r="DS99" s="62">
        <f t="shared" si="57"/>
        <v>-28903505000</v>
      </c>
      <c r="DT99" s="62">
        <f t="shared" si="58"/>
        <v>-21697511000</v>
      </c>
      <c r="DU99" s="62">
        <f t="shared" si="59"/>
        <v>-1031773000</v>
      </c>
      <c r="DV99" s="62">
        <f t="shared" si="60"/>
        <v>-7721457000</v>
      </c>
      <c r="DW99" s="63">
        <f t="shared" si="61"/>
        <v>-0.17584201271781053</v>
      </c>
      <c r="DX99" s="63">
        <f t="shared" si="62"/>
        <v>-0.14954561141370845</v>
      </c>
      <c r="DY99" s="64" t="str">
        <f t="shared" si="63"/>
        <v>n.a.</v>
      </c>
      <c r="DZ99" s="64">
        <f t="shared" si="64"/>
        <v>12947546000</v>
      </c>
      <c r="EA99" s="64">
        <f t="shared" si="65"/>
        <v>1498928500</v>
      </c>
      <c r="EB99" s="61"/>
      <c r="EC99" s="64">
        <f t="shared" si="66"/>
        <v>40415612000</v>
      </c>
      <c r="ED99" s="64">
        <f t="shared" si="67"/>
        <v>-25076125000</v>
      </c>
      <c r="EE99" s="64">
        <f t="shared" si="68"/>
        <v>-19994995000</v>
      </c>
      <c r="EF99" s="64">
        <f t="shared" si="69"/>
        <v>-1227644000</v>
      </c>
      <c r="EG99" s="64">
        <f t="shared" si="70"/>
        <v>-5883152000</v>
      </c>
      <c r="EH99" s="63">
        <f t="shared" si="71"/>
        <v>-0.14556632224200886</v>
      </c>
      <c r="EI99" s="57">
        <f t="shared" si="72"/>
        <v>-0.12706931010080527</v>
      </c>
      <c r="EJ99" s="64" t="str">
        <f t="shared" si="73"/>
        <v>n.a.</v>
      </c>
      <c r="EK99" s="64">
        <f t="shared" si="74"/>
        <v>14078044500</v>
      </c>
      <c r="EL99" s="64">
        <f t="shared" si="75"/>
        <v>2846902000</v>
      </c>
      <c r="EM99" s="61"/>
      <c r="EN99" s="66">
        <f t="shared" si="76"/>
        <v>39790512333.333336</v>
      </c>
      <c r="EO99" s="66">
        <f t="shared" si="76"/>
        <v>-26462157000</v>
      </c>
      <c r="EP99" s="66">
        <f t="shared" si="76"/>
        <v>-20028767333.333332</v>
      </c>
      <c r="EQ99" s="66">
        <f t="shared" si="43"/>
        <v>-1065394666.6666666</v>
      </c>
      <c r="ER99" s="66">
        <f t="shared" si="77"/>
        <v>-7765806666.6666632</v>
      </c>
      <c r="ES99" s="63">
        <f t="shared" si="78"/>
        <v>-0.195167295198687</v>
      </c>
      <c r="ET99" s="67">
        <f t="shared" si="79"/>
        <v>-0.16329705136906547</v>
      </c>
      <c r="EU99" s="66" t="e">
        <f t="shared" si="80"/>
        <v>#VALUE!</v>
      </c>
      <c r="EV99" s="66">
        <f t="shared" si="81"/>
        <v>12390655500</v>
      </c>
      <c r="EW99" s="66">
        <f t="shared" si="81"/>
        <v>1907296666.6666667</v>
      </c>
      <c r="EX99" s="70"/>
      <c r="EY99" s="151" t="str">
        <f t="shared" si="82"/>
        <v>完整</v>
      </c>
      <c r="EZ99" s="151" t="str">
        <f t="shared" si="83"/>
        <v>完整</v>
      </c>
      <c r="FA99" s="151" t="str">
        <f t="shared" si="84"/>
        <v>完整</v>
      </c>
      <c r="FB99" s="151" t="str">
        <f t="shared" si="85"/>
        <v>选择</v>
      </c>
      <c r="FC99" s="151" t="str">
        <f t="shared" si="86"/>
        <v>删除</v>
      </c>
      <c r="FD99" s="72"/>
      <c r="FE99" s="72"/>
      <c r="FF99" s="72"/>
      <c r="FG99" s="72"/>
      <c r="FH99" s="72"/>
      <c r="FI99" s="72"/>
      <c r="FJ99" s="72"/>
      <c r="FK99" s="72"/>
      <c r="FL99" s="72"/>
      <c r="FM99" s="72"/>
      <c r="FN99" s="72"/>
      <c r="FO99" s="72"/>
      <c r="FP99" s="72"/>
      <c r="FQ99" s="72"/>
      <c r="FR99" s="72"/>
      <c r="FS99" s="72"/>
      <c r="FT99" s="72"/>
      <c r="FU99" s="72"/>
      <c r="FV99" s="72"/>
      <c r="FW99" s="72"/>
      <c r="FX99" s="72"/>
      <c r="FY99" s="72"/>
      <c r="FZ99" s="72"/>
      <c r="GA99" s="72"/>
      <c r="GB99" s="72"/>
      <c r="GC99" s="72"/>
      <c r="GD99" s="72"/>
      <c r="GE99" s="72"/>
      <c r="GF99" s="72"/>
      <c r="GG99" s="72"/>
      <c r="GH99" s="72"/>
      <c r="GI99" s="72"/>
      <c r="GJ99" s="72"/>
      <c r="GK99" s="72"/>
      <c r="GL99" s="72"/>
      <c r="GM99" s="72"/>
      <c r="GN99" s="72"/>
      <c r="GO99" s="72"/>
      <c r="GP99" s="72"/>
      <c r="GQ99" s="72"/>
      <c r="GR99" s="72"/>
      <c r="GS99" s="72"/>
      <c r="GT99" s="72"/>
      <c r="GU99" s="72"/>
      <c r="GV99" s="72"/>
      <c r="GW99" s="72"/>
      <c r="GX99" s="72"/>
      <c r="GY99" s="72"/>
      <c r="GZ99" s="72"/>
      <c r="HA99" s="72"/>
      <c r="HB99" s="72"/>
      <c r="HC99" s="72"/>
      <c r="HD99" s="72"/>
      <c r="HE99" s="72"/>
      <c r="HF99" s="72"/>
      <c r="HG99" s="72"/>
      <c r="HH99" s="72"/>
      <c r="HI99" s="72"/>
    </row>
    <row r="100" spans="1:218" s="3" customFormat="1" ht="12.75" customHeight="1" x14ac:dyDescent="0.25">
      <c r="A100" s="28" t="s">
        <v>264</v>
      </c>
      <c r="B100" s="134" t="str">
        <f t="shared" si="44"/>
        <v>ROJUKISS INTERNATIONAL PUBLIC COMPANY LIMITED</v>
      </c>
      <c r="C100" s="29" t="s">
        <v>328</v>
      </c>
      <c r="D100" s="136" t="s">
        <v>309</v>
      </c>
      <c r="E100" s="33"/>
      <c r="H100" s="31" t="str">
        <f t="shared" si="45"/>
        <v xml:space="preserve"> </v>
      </c>
      <c r="I100" s="29"/>
      <c r="J100" s="29" t="str">
        <f>VLOOKUP(Z:Z,'[1]AP 2022'!FD99:FF181,2,FALSE)</f>
        <v>exclude</v>
      </c>
      <c r="K100" s="47" t="str">
        <f>VLOOKUP(Z:Z,'[1]AP 2022'!FD99:FF181,3,0)</f>
        <v>Independence(A+, A, A-, U)</v>
      </c>
      <c r="L100" s="48"/>
      <c r="M100" s="125" t="s">
        <v>1086</v>
      </c>
      <c r="N100" s="125" t="s">
        <v>1087</v>
      </c>
      <c r="O100" s="125" t="s">
        <v>331</v>
      </c>
      <c r="P100" s="125" t="s">
        <v>1088</v>
      </c>
      <c r="Q100" s="124"/>
      <c r="R100" s="125" t="s">
        <v>498</v>
      </c>
      <c r="S100" s="125" t="s">
        <v>1089</v>
      </c>
      <c r="T100" s="125" t="s">
        <v>365</v>
      </c>
      <c r="U100" s="125" t="s">
        <v>321</v>
      </c>
      <c r="V100" s="125" t="s">
        <v>1090</v>
      </c>
      <c r="W100" s="125" t="s">
        <v>1091</v>
      </c>
      <c r="X100" s="125" t="s">
        <v>1092</v>
      </c>
      <c r="Y100" s="124"/>
      <c r="Z100" s="125" t="s">
        <v>1093</v>
      </c>
      <c r="AA100" s="128">
        <v>940063000</v>
      </c>
      <c r="AB100" s="128">
        <v>776050000</v>
      </c>
      <c r="AC100" s="128">
        <v>966249000</v>
      </c>
      <c r="AD100" s="128">
        <v>1140576000</v>
      </c>
      <c r="AE100" s="128">
        <v>932329000</v>
      </c>
      <c r="AF100" s="128">
        <v>772267000</v>
      </c>
      <c r="AG100" s="128">
        <v>964983000</v>
      </c>
      <c r="AH100" s="128">
        <v>1138014000</v>
      </c>
      <c r="AI100" s="125" t="s">
        <v>340</v>
      </c>
      <c r="AJ100" s="125" t="s">
        <v>340</v>
      </c>
      <c r="AK100" s="125" t="s">
        <v>340</v>
      </c>
      <c r="AL100" s="125" t="s">
        <v>340</v>
      </c>
      <c r="AM100" s="128">
        <v>932329000</v>
      </c>
      <c r="AN100" s="128">
        <v>772267000</v>
      </c>
      <c r="AO100" s="128">
        <v>964983000</v>
      </c>
      <c r="AP100" s="128">
        <v>1138014000</v>
      </c>
      <c r="AQ100" s="128">
        <v>7734000</v>
      </c>
      <c r="AR100" s="128">
        <v>3783000</v>
      </c>
      <c r="AS100" s="128">
        <v>1266000</v>
      </c>
      <c r="AT100" s="128">
        <v>2562000</v>
      </c>
      <c r="AU100" s="128">
        <v>-430871000</v>
      </c>
      <c r="AV100" s="128">
        <v>-344427000</v>
      </c>
      <c r="AW100" s="128">
        <v>-381288000</v>
      </c>
      <c r="AX100" s="128">
        <v>-455434000</v>
      </c>
      <c r="AY100" s="128">
        <v>0</v>
      </c>
      <c r="AZ100" s="128">
        <v>0</v>
      </c>
      <c r="BA100" s="128">
        <v>0</v>
      </c>
      <c r="BB100" s="128">
        <v>0</v>
      </c>
      <c r="BC100" s="128">
        <v>-317058000</v>
      </c>
      <c r="BD100" s="128">
        <v>-271229000</v>
      </c>
      <c r="BE100" s="128">
        <v>-330820000</v>
      </c>
      <c r="BF100" s="128">
        <v>-440291000</v>
      </c>
      <c r="BG100" s="128">
        <v>192134000</v>
      </c>
      <c r="BH100" s="128">
        <v>160394000</v>
      </c>
      <c r="BI100" s="128">
        <v>254141000</v>
      </c>
      <c r="BJ100" s="128">
        <v>244851000</v>
      </c>
      <c r="BK100" s="128">
        <v>-16908000</v>
      </c>
      <c r="BL100" s="128">
        <v>-14142000</v>
      </c>
      <c r="BM100" s="128">
        <v>-18249000</v>
      </c>
      <c r="BN100" s="128">
        <v>-10523000</v>
      </c>
      <c r="BO100" s="128">
        <v>-10087000</v>
      </c>
      <c r="BP100" s="128">
        <v>-12479000</v>
      </c>
      <c r="BQ100" s="128">
        <v>-12124000</v>
      </c>
      <c r="BR100" s="128">
        <v>-8128000</v>
      </c>
      <c r="BS100" s="128">
        <v>-6821000</v>
      </c>
      <c r="BT100" s="128">
        <v>-1663000</v>
      </c>
      <c r="BU100" s="128">
        <v>-6125000</v>
      </c>
      <c r="BV100" s="128">
        <v>-2395000</v>
      </c>
      <c r="BW100" s="128">
        <v>123709000</v>
      </c>
      <c r="BX100" s="128">
        <v>118573000</v>
      </c>
      <c r="BY100" s="128">
        <v>167992000</v>
      </c>
      <c r="BZ100" s="128">
        <v>190139000</v>
      </c>
      <c r="CA100" s="128">
        <v>1225353000</v>
      </c>
      <c r="CB100" s="128">
        <v>969949000</v>
      </c>
      <c r="CC100" s="128">
        <v>719470000</v>
      </c>
      <c r="CD100" s="128">
        <v>664773000</v>
      </c>
      <c r="CE100" s="128">
        <v>132161000</v>
      </c>
      <c r="CF100" s="128">
        <v>73556000</v>
      </c>
      <c r="CG100" s="128">
        <v>97243000</v>
      </c>
      <c r="CH100" s="128">
        <v>132251000</v>
      </c>
      <c r="CI100" s="128">
        <v>295703000</v>
      </c>
      <c r="CJ100" s="128">
        <v>164232000</v>
      </c>
      <c r="CK100" s="128">
        <v>226552000</v>
      </c>
      <c r="CL100" s="128">
        <v>430113000</v>
      </c>
      <c r="CM100" s="128">
        <v>123345000</v>
      </c>
      <c r="CN100" s="128">
        <v>95260000</v>
      </c>
      <c r="CO100" s="128">
        <v>109275000</v>
      </c>
      <c r="CP100" s="128">
        <v>4113000</v>
      </c>
      <c r="CQ100" s="128">
        <v>611714000</v>
      </c>
      <c r="CR100" s="128">
        <v>626239000</v>
      </c>
      <c r="CS100" s="128">
        <v>265309000</v>
      </c>
      <c r="CT100" s="128">
        <v>88513000</v>
      </c>
      <c r="CU100" s="128">
        <v>100600000</v>
      </c>
      <c r="CV100" s="125" t="s">
        <v>340</v>
      </c>
      <c r="CW100" s="125" t="s">
        <v>340</v>
      </c>
      <c r="CX100" s="125" t="s">
        <v>340</v>
      </c>
      <c r="CY100" s="128">
        <v>64574000</v>
      </c>
      <c r="CZ100" s="128">
        <v>26327000</v>
      </c>
      <c r="DA100" s="128">
        <v>83923000</v>
      </c>
      <c r="DB100" s="128">
        <v>79327000</v>
      </c>
      <c r="DC100" s="128">
        <v>1297083000</v>
      </c>
      <c r="DD100" s="128">
        <v>1048732000</v>
      </c>
      <c r="DE100" s="128">
        <v>835999000</v>
      </c>
      <c r="DF100" s="128">
        <v>768795000</v>
      </c>
      <c r="DG100" s="16">
        <f t="shared" si="46"/>
        <v>932329000</v>
      </c>
      <c r="DH100" s="16">
        <f t="shared" si="47"/>
        <v>-430871000</v>
      </c>
      <c r="DI100" s="16">
        <f t="shared" si="48"/>
        <v>-317058000</v>
      </c>
      <c r="DJ100" s="16">
        <f t="shared" si="49"/>
        <v>-16908000</v>
      </c>
      <c r="DK100" s="16">
        <f t="shared" si="50"/>
        <v>167492000</v>
      </c>
      <c r="DL100" s="57">
        <f t="shared" si="51"/>
        <v>0.17964902947350131</v>
      </c>
      <c r="DM100" s="57">
        <f t="shared" si="52"/>
        <v>0.21899045156026709</v>
      </c>
      <c r="DN100" s="58">
        <f t="shared" si="53"/>
        <v>0</v>
      </c>
      <c r="DO100" s="16">
        <f t="shared" si="54"/>
        <v>102858500</v>
      </c>
      <c r="DP100" s="16">
        <f t="shared" si="55"/>
        <v>45450500</v>
      </c>
      <c r="DQ100" s="61"/>
      <c r="DR100" s="62">
        <f t="shared" si="56"/>
        <v>772267000</v>
      </c>
      <c r="DS100" s="62">
        <f t="shared" si="57"/>
        <v>-344427000</v>
      </c>
      <c r="DT100" s="62">
        <f t="shared" si="58"/>
        <v>-271229000</v>
      </c>
      <c r="DU100" s="62">
        <f t="shared" si="59"/>
        <v>-14142000</v>
      </c>
      <c r="DV100" s="62">
        <f t="shared" si="60"/>
        <v>142469000</v>
      </c>
      <c r="DW100" s="63">
        <f t="shared" si="61"/>
        <v>0.1844815329413273</v>
      </c>
      <c r="DX100" s="63">
        <f t="shared" si="62"/>
        <v>0.22621380188568399</v>
      </c>
      <c r="DY100" s="64">
        <f t="shared" si="63"/>
        <v>0</v>
      </c>
      <c r="DZ100" s="64">
        <f t="shared" si="64"/>
        <v>85399500</v>
      </c>
      <c r="EA100" s="64">
        <f t="shared" si="65"/>
        <v>55125000</v>
      </c>
      <c r="EB100" s="61"/>
      <c r="EC100" s="64">
        <f t="shared" si="66"/>
        <v>964983000</v>
      </c>
      <c r="ED100" s="64">
        <f t="shared" si="67"/>
        <v>-381288000</v>
      </c>
      <c r="EE100" s="64">
        <f t="shared" si="68"/>
        <v>-330820000</v>
      </c>
      <c r="EF100" s="64">
        <f t="shared" si="69"/>
        <v>-18249000</v>
      </c>
      <c r="EG100" s="64">
        <f t="shared" si="70"/>
        <v>234626000</v>
      </c>
      <c r="EH100" s="63">
        <f t="shared" si="71"/>
        <v>0.24314003459128294</v>
      </c>
      <c r="EI100" s="57">
        <f t="shared" si="72"/>
        <v>0.32124837579430332</v>
      </c>
      <c r="EJ100" s="64">
        <f t="shared" si="73"/>
        <v>0</v>
      </c>
      <c r="EK100" s="64">
        <f t="shared" si="74"/>
        <v>114747000</v>
      </c>
      <c r="EL100" s="64">
        <f t="shared" si="75"/>
        <v>81625000</v>
      </c>
      <c r="EM100" s="61"/>
      <c r="EN100" s="66">
        <f t="shared" si="76"/>
        <v>889859666.66666663</v>
      </c>
      <c r="EO100" s="66">
        <f t="shared" si="76"/>
        <v>-385528666.66666669</v>
      </c>
      <c r="EP100" s="66">
        <f t="shared" si="76"/>
        <v>-306369000</v>
      </c>
      <c r="EQ100" s="66">
        <f t="shared" si="43"/>
        <v>-16433000</v>
      </c>
      <c r="ER100" s="66">
        <f t="shared" si="77"/>
        <v>181528999.99999994</v>
      </c>
      <c r="ES100" s="63">
        <f t="shared" si="78"/>
        <v>0.20399733441115617</v>
      </c>
      <c r="ET100" s="67">
        <f t="shared" si="79"/>
        <v>0.25627720010240029</v>
      </c>
      <c r="EU100" s="66">
        <f t="shared" si="80"/>
        <v>0</v>
      </c>
      <c r="EV100" s="66">
        <f t="shared" si="81"/>
        <v>101001666.66666667</v>
      </c>
      <c r="EW100" s="66">
        <f t="shared" si="81"/>
        <v>60733500</v>
      </c>
      <c r="EX100" s="70"/>
      <c r="EY100" s="71" t="str">
        <f t="shared" si="82"/>
        <v>完整</v>
      </c>
      <c r="EZ100" s="71" t="str">
        <f t="shared" si="83"/>
        <v>完整</v>
      </c>
      <c r="FA100" s="71" t="str">
        <f t="shared" si="84"/>
        <v>完整</v>
      </c>
      <c r="FB100" s="71" t="str">
        <f t="shared" si="85"/>
        <v>选择</v>
      </c>
      <c r="FC100" s="71" t="str">
        <f t="shared" si="86"/>
        <v>选择</v>
      </c>
    </row>
    <row r="101" spans="1:218" s="3" customFormat="1" ht="12.75" customHeight="1" x14ac:dyDescent="0.25">
      <c r="A101" s="28" t="s">
        <v>265</v>
      </c>
      <c r="B101" s="134" t="str">
        <f t="shared" si="44"/>
        <v>NFC CORPORATION</v>
      </c>
      <c r="C101" s="29" t="s">
        <v>328</v>
      </c>
      <c r="D101" s="136" t="s">
        <v>309</v>
      </c>
      <c r="E101" s="33"/>
      <c r="F101" s="34"/>
      <c r="G101" s="29"/>
      <c r="H101" s="31" t="str">
        <f t="shared" si="45"/>
        <v xml:space="preserve"> </v>
      </c>
      <c r="I101" s="29"/>
      <c r="J101" s="29" t="str">
        <f>VLOOKUP(Z:Z,'[1]AP 2022'!FD100:FF181,2,FALSE)</f>
        <v>exclude</v>
      </c>
      <c r="K101" s="47" t="str">
        <f>VLOOKUP(Z:Z,'[1]AP 2022'!FD100:FF181,3,0)</f>
        <v>Independence(A+, A, A-, U)</v>
      </c>
      <c r="L101" s="48"/>
      <c r="M101" s="125" t="s">
        <v>1094</v>
      </c>
      <c r="N101" s="125" t="s">
        <v>1095</v>
      </c>
      <c r="O101" s="125" t="s">
        <v>331</v>
      </c>
      <c r="P101" s="125" t="s">
        <v>1096</v>
      </c>
      <c r="Q101" s="124"/>
      <c r="R101" s="125" t="s">
        <v>363</v>
      </c>
      <c r="S101" s="125" t="s">
        <v>1097</v>
      </c>
      <c r="T101" s="125" t="s">
        <v>365</v>
      </c>
      <c r="U101" s="125" t="s">
        <v>321</v>
      </c>
      <c r="V101" s="125" t="s">
        <v>1098</v>
      </c>
      <c r="W101" s="125" t="s">
        <v>1099</v>
      </c>
      <c r="X101" s="124"/>
      <c r="Y101" s="124"/>
      <c r="Z101" s="125" t="s">
        <v>1100</v>
      </c>
      <c r="AA101" s="128">
        <v>31478133000</v>
      </c>
      <c r="AB101" s="128">
        <v>40414882000</v>
      </c>
      <c r="AC101" s="128">
        <v>33324513000</v>
      </c>
      <c r="AD101" s="128">
        <v>32859674000</v>
      </c>
      <c r="AE101" s="128">
        <v>31478133000</v>
      </c>
      <c r="AF101" s="128">
        <v>40414882000</v>
      </c>
      <c r="AG101" s="128">
        <v>33324513000</v>
      </c>
      <c r="AH101" s="128">
        <v>32859674000</v>
      </c>
      <c r="AI101" s="125" t="s">
        <v>340</v>
      </c>
      <c r="AJ101" s="125" t="s">
        <v>340</v>
      </c>
      <c r="AK101" s="125" t="s">
        <v>340</v>
      </c>
      <c r="AL101" s="125" t="s">
        <v>340</v>
      </c>
      <c r="AM101" s="128">
        <v>31478133000</v>
      </c>
      <c r="AN101" s="128">
        <v>40414882000</v>
      </c>
      <c r="AO101" s="128">
        <v>33324513000</v>
      </c>
      <c r="AP101" s="128">
        <v>32859674000</v>
      </c>
      <c r="AQ101" s="125" t="s">
        <v>340</v>
      </c>
      <c r="AR101" s="125" t="s">
        <v>340</v>
      </c>
      <c r="AS101" s="125" t="s">
        <v>340</v>
      </c>
      <c r="AT101" s="125" t="s">
        <v>340</v>
      </c>
      <c r="AU101" s="128">
        <v>-24184073000</v>
      </c>
      <c r="AV101" s="128">
        <v>-28001585000</v>
      </c>
      <c r="AW101" s="128">
        <v>-22831466000</v>
      </c>
      <c r="AX101" s="128">
        <v>-21301553000</v>
      </c>
      <c r="AY101" s="125" t="s">
        <v>340</v>
      </c>
      <c r="AZ101" s="128">
        <v>-860707000</v>
      </c>
      <c r="BA101" s="128">
        <v>-683251000</v>
      </c>
      <c r="BB101" s="128">
        <v>-534491000</v>
      </c>
      <c r="BC101" s="128">
        <v>-4640716000</v>
      </c>
      <c r="BD101" s="128">
        <v>-5348792000</v>
      </c>
      <c r="BE101" s="128">
        <v>-4836337000</v>
      </c>
      <c r="BF101" s="128">
        <v>-3678078000</v>
      </c>
      <c r="BG101" s="128">
        <v>2653344000</v>
      </c>
      <c r="BH101" s="128">
        <v>6203798000</v>
      </c>
      <c r="BI101" s="128">
        <v>4973459000</v>
      </c>
      <c r="BJ101" s="128">
        <v>7345552000</v>
      </c>
      <c r="BK101" s="128">
        <v>-381124000</v>
      </c>
      <c r="BL101" s="128">
        <v>-439840000</v>
      </c>
      <c r="BM101" s="128">
        <v>-417862000</v>
      </c>
      <c r="BN101" s="128">
        <v>-524455000</v>
      </c>
      <c r="BO101" s="128">
        <v>-381124000</v>
      </c>
      <c r="BP101" s="128">
        <v>-439840000</v>
      </c>
      <c r="BQ101" s="128">
        <v>-391276000</v>
      </c>
      <c r="BR101" s="128">
        <v>-513986000</v>
      </c>
      <c r="BS101" s="125" t="s">
        <v>340</v>
      </c>
      <c r="BT101" s="125" t="s">
        <v>340</v>
      </c>
      <c r="BU101" s="128">
        <v>-26586000</v>
      </c>
      <c r="BV101" s="128">
        <v>-10469000</v>
      </c>
      <c r="BW101" s="128">
        <v>1872127000</v>
      </c>
      <c r="BX101" s="128">
        <v>6144235000</v>
      </c>
      <c r="BY101" s="128">
        <v>765103000</v>
      </c>
      <c r="BZ101" s="128">
        <v>6572367000</v>
      </c>
      <c r="CA101" s="128">
        <v>27704858000</v>
      </c>
      <c r="CB101" s="128">
        <v>22285938000</v>
      </c>
      <c r="CC101" s="128">
        <v>32692568000</v>
      </c>
      <c r="CD101" s="128">
        <v>16193148000</v>
      </c>
      <c r="CE101" s="128">
        <v>6826552000</v>
      </c>
      <c r="CF101" s="128">
        <v>6451026000</v>
      </c>
      <c r="CG101" s="128">
        <v>6020147000</v>
      </c>
      <c r="CH101" s="128">
        <v>6252980000</v>
      </c>
      <c r="CI101" s="128">
        <v>3661265000</v>
      </c>
      <c r="CJ101" s="128">
        <v>3413176000</v>
      </c>
      <c r="CK101" s="128">
        <v>3081421000</v>
      </c>
      <c r="CL101" s="128">
        <v>4500405000</v>
      </c>
      <c r="CM101" s="128">
        <v>81828000</v>
      </c>
      <c r="CN101" s="128">
        <v>18180000</v>
      </c>
      <c r="CO101" s="128">
        <v>276067000</v>
      </c>
      <c r="CP101" s="128">
        <v>1125438000</v>
      </c>
      <c r="CQ101" s="128">
        <v>16701526000</v>
      </c>
      <c r="CR101" s="128">
        <v>12068048000</v>
      </c>
      <c r="CS101" s="128">
        <v>22997974000</v>
      </c>
      <c r="CT101" s="128">
        <v>4246485000</v>
      </c>
      <c r="CU101" s="125" t="s">
        <v>340</v>
      </c>
      <c r="CV101" s="125" t="s">
        <v>340</v>
      </c>
      <c r="CW101" s="125" t="s">
        <v>340</v>
      </c>
      <c r="CX101" s="125" t="s">
        <v>340</v>
      </c>
      <c r="CY101" s="128">
        <v>1155715000</v>
      </c>
      <c r="CZ101" s="128">
        <v>635085000</v>
      </c>
      <c r="DA101" s="128">
        <v>634658000</v>
      </c>
      <c r="DB101" s="128">
        <v>6292419000</v>
      </c>
      <c r="DC101" s="128">
        <v>73414055000</v>
      </c>
      <c r="DD101" s="128">
        <v>68311170000</v>
      </c>
      <c r="DE101" s="128">
        <v>77109200000</v>
      </c>
      <c r="DF101" s="128">
        <v>53292312000</v>
      </c>
      <c r="DG101" s="16">
        <f t="shared" si="46"/>
        <v>31478133000</v>
      </c>
      <c r="DH101" s="16">
        <f t="shared" si="47"/>
        <v>-24184073000</v>
      </c>
      <c r="DI101" s="16">
        <f t="shared" si="48"/>
        <v>-4640716000</v>
      </c>
      <c r="DJ101" s="16">
        <f t="shared" si="49"/>
        <v>-381124000</v>
      </c>
      <c r="DK101" s="16">
        <f t="shared" si="50"/>
        <v>2272220000</v>
      </c>
      <c r="DL101" s="57">
        <f t="shared" si="51"/>
        <v>7.2184077753277176E-2</v>
      </c>
      <c r="DM101" s="57">
        <f t="shared" si="52"/>
        <v>7.7799998924875241E-2</v>
      </c>
      <c r="DN101" s="58" t="str">
        <f t="shared" si="53"/>
        <v>n.a.</v>
      </c>
      <c r="DO101" s="16">
        <f t="shared" si="54"/>
        <v>6638789000</v>
      </c>
      <c r="DP101" s="16">
        <f t="shared" si="55"/>
        <v>895400000</v>
      </c>
      <c r="DQ101" s="61"/>
      <c r="DR101" s="62">
        <f t="shared" si="56"/>
        <v>40414882000</v>
      </c>
      <c r="DS101" s="62">
        <f t="shared" si="57"/>
        <v>-28001585000</v>
      </c>
      <c r="DT101" s="62">
        <f t="shared" si="58"/>
        <v>-6209499000</v>
      </c>
      <c r="DU101" s="62">
        <f t="shared" si="59"/>
        <v>-439840000</v>
      </c>
      <c r="DV101" s="62">
        <f t="shared" si="60"/>
        <v>5763958000</v>
      </c>
      <c r="DW101" s="63">
        <f t="shared" si="61"/>
        <v>0.14261969142950856</v>
      </c>
      <c r="DX101" s="63">
        <f t="shared" si="62"/>
        <v>0.16634355839977025</v>
      </c>
      <c r="DY101" s="64">
        <f t="shared" si="63"/>
        <v>-860707000</v>
      </c>
      <c r="DZ101" s="64">
        <f t="shared" si="64"/>
        <v>6235586500</v>
      </c>
      <c r="EA101" s="64">
        <f t="shared" si="65"/>
        <v>634871500</v>
      </c>
      <c r="EB101" s="61"/>
      <c r="EC101" s="64">
        <f t="shared" si="66"/>
        <v>33324513000</v>
      </c>
      <c r="ED101" s="64">
        <f t="shared" si="67"/>
        <v>-22831466000</v>
      </c>
      <c r="EE101" s="64">
        <f t="shared" si="68"/>
        <v>-5519588000</v>
      </c>
      <c r="EF101" s="64">
        <f t="shared" si="69"/>
        <v>-417862000</v>
      </c>
      <c r="EG101" s="64">
        <f t="shared" si="70"/>
        <v>4555597000</v>
      </c>
      <c r="EH101" s="63">
        <f t="shared" si="71"/>
        <v>0.13670408326747341</v>
      </c>
      <c r="EI101" s="57">
        <f t="shared" si="72"/>
        <v>0.15835136089242988</v>
      </c>
      <c r="EJ101" s="64">
        <f t="shared" si="73"/>
        <v>-683251000</v>
      </c>
      <c r="EK101" s="64">
        <f t="shared" si="74"/>
        <v>6136563500</v>
      </c>
      <c r="EL101" s="64">
        <f t="shared" si="75"/>
        <v>3463538500</v>
      </c>
      <c r="EM101" s="61"/>
      <c r="EN101" s="66">
        <f t="shared" si="76"/>
        <v>35072509333.333336</v>
      </c>
      <c r="EO101" s="66">
        <f t="shared" si="76"/>
        <v>-25005708000</v>
      </c>
      <c r="EP101" s="66">
        <f t="shared" si="76"/>
        <v>-5456601000</v>
      </c>
      <c r="EQ101" s="66">
        <f t="shared" si="43"/>
        <v>-412942000</v>
      </c>
      <c r="ER101" s="66">
        <f t="shared" si="77"/>
        <v>4197258333.3333359</v>
      </c>
      <c r="ES101" s="63">
        <f t="shared" si="78"/>
        <v>0.11967373915114225</v>
      </c>
      <c r="ET101" s="67">
        <f t="shared" si="79"/>
        <v>0.13594248459173128</v>
      </c>
      <c r="EU101" s="66" t="e">
        <f t="shared" si="80"/>
        <v>#VALUE!</v>
      </c>
      <c r="EV101" s="66">
        <f t="shared" si="81"/>
        <v>6336979666.666667</v>
      </c>
      <c r="EW101" s="66">
        <f t="shared" si="81"/>
        <v>1664603333.3333333</v>
      </c>
      <c r="EX101" s="70"/>
      <c r="EY101" s="71" t="str">
        <f t="shared" si="82"/>
        <v>完整</v>
      </c>
      <c r="EZ101" s="71" t="str">
        <f t="shared" si="83"/>
        <v>完整</v>
      </c>
      <c r="FA101" s="71" t="str">
        <f t="shared" si="84"/>
        <v>完整</v>
      </c>
      <c r="FB101" s="71" t="str">
        <f t="shared" si="85"/>
        <v>选择</v>
      </c>
      <c r="FC101" s="71" t="str">
        <f t="shared" si="86"/>
        <v>选择</v>
      </c>
      <c r="FD101" s="72"/>
      <c r="FE101" s="72"/>
      <c r="FF101" s="72"/>
      <c r="FG101" s="72"/>
      <c r="FH101" s="72"/>
      <c r="FI101" s="72"/>
      <c r="FJ101" s="72"/>
      <c r="FK101" s="72"/>
      <c r="FL101" s="72"/>
      <c r="FM101" s="72"/>
      <c r="FN101" s="72"/>
      <c r="FO101" s="72"/>
      <c r="FP101" s="72"/>
      <c r="FQ101" s="72"/>
      <c r="FR101" s="72"/>
      <c r="FS101" s="72"/>
      <c r="FT101" s="72"/>
      <c r="FU101" s="72"/>
      <c r="FV101" s="72"/>
      <c r="FW101" s="72"/>
      <c r="FX101" s="72"/>
      <c r="FY101" s="72"/>
      <c r="FZ101" s="72"/>
      <c r="GA101" s="72"/>
      <c r="GB101" s="72"/>
      <c r="GC101" s="72"/>
      <c r="GD101" s="72"/>
      <c r="GE101" s="72"/>
      <c r="GF101" s="72"/>
      <c r="GG101" s="72"/>
      <c r="GH101" s="72"/>
      <c r="GI101" s="72"/>
      <c r="GJ101" s="72"/>
      <c r="GK101" s="72"/>
      <c r="GL101" s="72"/>
      <c r="GM101" s="72"/>
      <c r="GN101" s="72"/>
      <c r="GO101" s="72"/>
      <c r="GP101" s="72"/>
      <c r="GQ101" s="72"/>
      <c r="GR101" s="72"/>
      <c r="GS101" s="72"/>
      <c r="GT101" s="72"/>
      <c r="GU101" s="72"/>
      <c r="GV101" s="72"/>
      <c r="GW101" s="72"/>
      <c r="GX101" s="72"/>
      <c r="GY101" s="72"/>
      <c r="GZ101" s="72"/>
      <c r="HA101" s="72"/>
      <c r="HB101" s="72"/>
      <c r="HC101" s="72"/>
      <c r="HD101" s="72"/>
      <c r="HE101" s="72"/>
      <c r="HF101" s="72"/>
      <c r="HG101" s="72"/>
      <c r="HH101" s="72"/>
      <c r="HI101" s="72"/>
    </row>
    <row r="102" spans="1:218" s="3" customFormat="1" ht="12.75" customHeight="1" x14ac:dyDescent="0.25">
      <c r="A102" s="28" t="s">
        <v>266</v>
      </c>
      <c r="B102" s="134" t="str">
        <f t="shared" si="44"/>
        <v>GENIC CO,.LTD.</v>
      </c>
      <c r="C102" s="29" t="s">
        <v>328</v>
      </c>
      <c r="D102" s="136" t="s">
        <v>309</v>
      </c>
      <c r="E102" s="33"/>
      <c r="F102" s="34"/>
      <c r="H102" s="31" t="str">
        <f t="shared" si="45"/>
        <v xml:space="preserve"> </v>
      </c>
      <c r="I102" s="29"/>
      <c r="J102" s="29" t="str">
        <f>VLOOKUP(Z:Z,'[1]AP 2022'!FD101:FF181,2,FALSE)</f>
        <v>exclude</v>
      </c>
      <c r="K102" s="47" t="str">
        <f>VLOOKUP(Z:Z,'[1]AP 2022'!FD101:FF181,3,0)</f>
        <v>Independence(A+, A, A-, U)</v>
      </c>
      <c r="L102" s="48"/>
      <c r="M102" s="125" t="s">
        <v>1101</v>
      </c>
      <c r="N102" s="125" t="s">
        <v>1102</v>
      </c>
      <c r="O102" s="125" t="s">
        <v>331</v>
      </c>
      <c r="P102" s="125" t="s">
        <v>1103</v>
      </c>
      <c r="Q102" s="124"/>
      <c r="R102" s="125" t="s">
        <v>363</v>
      </c>
      <c r="S102" s="125" t="s">
        <v>1104</v>
      </c>
      <c r="T102" s="125" t="s">
        <v>899</v>
      </c>
      <c r="U102" s="125" t="s">
        <v>321</v>
      </c>
      <c r="V102" s="125" t="s">
        <v>1105</v>
      </c>
      <c r="W102" s="125" t="s">
        <v>1106</v>
      </c>
      <c r="X102" s="124"/>
      <c r="Y102" s="124"/>
      <c r="Z102" s="125" t="s">
        <v>1107</v>
      </c>
      <c r="AA102" s="128">
        <v>31448829000</v>
      </c>
      <c r="AB102" s="128">
        <v>38408414000</v>
      </c>
      <c r="AC102" s="128">
        <v>42131838000</v>
      </c>
      <c r="AD102" s="128">
        <v>43150788000</v>
      </c>
      <c r="AE102" s="128">
        <v>31448829000</v>
      </c>
      <c r="AF102" s="128">
        <v>38408414000</v>
      </c>
      <c r="AG102" s="128">
        <v>42131838000</v>
      </c>
      <c r="AH102" s="128">
        <v>43150788000</v>
      </c>
      <c r="AI102" s="125" t="s">
        <v>340</v>
      </c>
      <c r="AJ102" s="125" t="s">
        <v>340</v>
      </c>
      <c r="AK102" s="125" t="s">
        <v>340</v>
      </c>
      <c r="AL102" s="125" t="s">
        <v>340</v>
      </c>
      <c r="AM102" s="128">
        <v>31448829000</v>
      </c>
      <c r="AN102" s="128">
        <v>38408414000</v>
      </c>
      <c r="AO102" s="128">
        <v>42131838000</v>
      </c>
      <c r="AP102" s="128">
        <v>43150788000</v>
      </c>
      <c r="AQ102" s="125" t="s">
        <v>340</v>
      </c>
      <c r="AR102" s="125" t="s">
        <v>340</v>
      </c>
      <c r="AS102" s="125" t="s">
        <v>340</v>
      </c>
      <c r="AT102" s="125" t="s">
        <v>340</v>
      </c>
      <c r="AU102" s="128">
        <v>-28750291000</v>
      </c>
      <c r="AV102" s="128">
        <v>-31490847000</v>
      </c>
      <c r="AW102" s="128">
        <v>-33036166000</v>
      </c>
      <c r="AX102" s="128">
        <v>-35970641000</v>
      </c>
      <c r="AY102" s="128">
        <v>-1059124000</v>
      </c>
      <c r="AZ102" s="128">
        <v>-1134048000</v>
      </c>
      <c r="BA102" s="128">
        <v>-929270000</v>
      </c>
      <c r="BB102" s="128">
        <v>-949062000</v>
      </c>
      <c r="BC102" s="128">
        <v>-4584764000</v>
      </c>
      <c r="BD102" s="128">
        <v>-9453158000</v>
      </c>
      <c r="BE102" s="128">
        <v>-6732971000</v>
      </c>
      <c r="BF102" s="128">
        <v>-6932971000</v>
      </c>
      <c r="BG102" s="128">
        <v>-2945350000</v>
      </c>
      <c r="BH102" s="128">
        <v>-3669639000</v>
      </c>
      <c r="BI102" s="128">
        <v>1433431000</v>
      </c>
      <c r="BJ102" s="128">
        <v>-701886000</v>
      </c>
      <c r="BK102" s="128">
        <v>-227966000</v>
      </c>
      <c r="BL102" s="128">
        <v>-274245000</v>
      </c>
      <c r="BM102" s="128">
        <v>-393159000</v>
      </c>
      <c r="BN102" s="128">
        <v>-444646000</v>
      </c>
      <c r="BO102" s="128">
        <v>-196865000</v>
      </c>
      <c r="BP102" s="128">
        <v>-197389000</v>
      </c>
      <c r="BQ102" s="128">
        <v>-233218000</v>
      </c>
      <c r="BR102" s="128">
        <v>-264686000</v>
      </c>
      <c r="BS102" s="128">
        <v>-31101000</v>
      </c>
      <c r="BT102" s="128">
        <v>-76856000</v>
      </c>
      <c r="BU102" s="128">
        <v>-159941000</v>
      </c>
      <c r="BV102" s="128">
        <v>-179960000</v>
      </c>
      <c r="BW102" s="128">
        <v>-3340028000</v>
      </c>
      <c r="BX102" s="128">
        <v>-4330612000</v>
      </c>
      <c r="BY102" s="128">
        <v>-4353443000</v>
      </c>
      <c r="BZ102" s="128">
        <v>-11959235000</v>
      </c>
      <c r="CA102" s="128">
        <v>15452057000</v>
      </c>
      <c r="CB102" s="128">
        <v>29541355000</v>
      </c>
      <c r="CC102" s="128">
        <v>21254310000</v>
      </c>
      <c r="CD102" s="128">
        <v>27123796000</v>
      </c>
      <c r="CE102" s="128">
        <v>4451963000</v>
      </c>
      <c r="CF102" s="128">
        <v>6269606000</v>
      </c>
      <c r="CG102" s="128">
        <v>7211076000</v>
      </c>
      <c r="CH102" s="128">
        <v>7368310000</v>
      </c>
      <c r="CI102" s="128">
        <v>3468473000</v>
      </c>
      <c r="CJ102" s="128">
        <v>4883190000</v>
      </c>
      <c r="CK102" s="128">
        <v>5827525000</v>
      </c>
      <c r="CL102" s="128">
        <v>7692285000</v>
      </c>
      <c r="CM102" s="128">
        <v>3609082000</v>
      </c>
      <c r="CN102" s="128">
        <v>295094000</v>
      </c>
      <c r="CO102" s="128">
        <v>133352000</v>
      </c>
      <c r="CP102" s="128">
        <v>367443000</v>
      </c>
      <c r="CQ102" s="128">
        <v>3353955000</v>
      </c>
      <c r="CR102" s="128">
        <v>17193155000</v>
      </c>
      <c r="CS102" s="128">
        <v>5443342000</v>
      </c>
      <c r="CT102" s="128">
        <v>9063087000</v>
      </c>
      <c r="CU102" s="125" t="s">
        <v>340</v>
      </c>
      <c r="CV102" s="125" t="s">
        <v>340</v>
      </c>
      <c r="CW102" s="125" t="s">
        <v>340</v>
      </c>
      <c r="CX102" s="125" t="s">
        <v>340</v>
      </c>
      <c r="CY102" s="128">
        <v>10028990000</v>
      </c>
      <c r="CZ102" s="128">
        <v>9779225000</v>
      </c>
      <c r="DA102" s="128">
        <v>10347404000</v>
      </c>
      <c r="DB102" s="128">
        <v>10356670000</v>
      </c>
      <c r="DC102" s="128">
        <v>30356303000</v>
      </c>
      <c r="DD102" s="128">
        <v>45410705000</v>
      </c>
      <c r="DE102" s="128">
        <v>50097357000</v>
      </c>
      <c r="DF102" s="128">
        <v>58148662000</v>
      </c>
      <c r="DG102" s="16">
        <f t="shared" si="46"/>
        <v>31448829000</v>
      </c>
      <c r="DH102" s="16">
        <f t="shared" si="47"/>
        <v>-28750291000</v>
      </c>
      <c r="DI102" s="16">
        <f t="shared" si="48"/>
        <v>-5643888000</v>
      </c>
      <c r="DJ102" s="16">
        <f t="shared" si="49"/>
        <v>-227966000</v>
      </c>
      <c r="DK102" s="16">
        <f t="shared" si="50"/>
        <v>-3173316000</v>
      </c>
      <c r="DL102" s="57">
        <f t="shared" si="51"/>
        <v>-0.10090410679520055</v>
      </c>
      <c r="DM102" s="57">
        <f t="shared" si="52"/>
        <v>-9.1655672980400255E-2</v>
      </c>
      <c r="DN102" s="58">
        <f t="shared" si="53"/>
        <v>-1059124000</v>
      </c>
      <c r="DO102" s="16">
        <f t="shared" si="54"/>
        <v>5360784500</v>
      </c>
      <c r="DP102" s="16">
        <f t="shared" si="55"/>
        <v>9904107500</v>
      </c>
      <c r="DQ102" s="61"/>
      <c r="DR102" s="62">
        <f t="shared" si="56"/>
        <v>38408414000</v>
      </c>
      <c r="DS102" s="62">
        <f t="shared" si="57"/>
        <v>-31490847000</v>
      </c>
      <c r="DT102" s="62">
        <f t="shared" si="58"/>
        <v>-10587206000</v>
      </c>
      <c r="DU102" s="62">
        <f t="shared" si="59"/>
        <v>-274245000</v>
      </c>
      <c r="DV102" s="62">
        <f t="shared" si="60"/>
        <v>-3943884000</v>
      </c>
      <c r="DW102" s="63">
        <f t="shared" si="61"/>
        <v>-0.10268281319817059</v>
      </c>
      <c r="DX102" s="63">
        <f t="shared" si="62"/>
        <v>-9.3120897477629194E-2</v>
      </c>
      <c r="DY102" s="64">
        <f t="shared" si="63"/>
        <v>-1134048000</v>
      </c>
      <c r="DZ102" s="64">
        <f t="shared" si="64"/>
        <v>6740341000</v>
      </c>
      <c r="EA102" s="64">
        <f t="shared" si="65"/>
        <v>10063314500</v>
      </c>
      <c r="EB102" s="61"/>
      <c r="EC102" s="64">
        <f t="shared" si="66"/>
        <v>42131838000</v>
      </c>
      <c r="ED102" s="64">
        <f t="shared" si="67"/>
        <v>-33036166000</v>
      </c>
      <c r="EE102" s="64">
        <f t="shared" si="68"/>
        <v>-7662241000</v>
      </c>
      <c r="EF102" s="64">
        <f t="shared" si="69"/>
        <v>-393159000</v>
      </c>
      <c r="EG102" s="64">
        <f t="shared" si="70"/>
        <v>1040272000</v>
      </c>
      <c r="EH102" s="63">
        <f t="shared" si="71"/>
        <v>2.4690876291701302E-2</v>
      </c>
      <c r="EI102" s="57">
        <f t="shared" si="72"/>
        <v>2.5315949263165098E-2</v>
      </c>
      <c r="EJ102" s="64">
        <f t="shared" si="73"/>
        <v>-929270000</v>
      </c>
      <c r="EK102" s="64">
        <f t="shared" si="74"/>
        <v>7289693000</v>
      </c>
      <c r="EL102" s="64">
        <f t="shared" si="75"/>
        <v>10352037000</v>
      </c>
      <c r="EM102" s="61"/>
      <c r="EN102" s="66">
        <f t="shared" si="76"/>
        <v>37329693666.666664</v>
      </c>
      <c r="EO102" s="66">
        <f t="shared" si="76"/>
        <v>-31092434666.666668</v>
      </c>
      <c r="EP102" s="66">
        <f t="shared" si="76"/>
        <v>-7964445000</v>
      </c>
      <c r="EQ102" s="66">
        <f t="shared" si="43"/>
        <v>-298456666.66666669</v>
      </c>
      <c r="ER102" s="66">
        <f t="shared" si="77"/>
        <v>-2025642666.6666706</v>
      </c>
      <c r="ES102" s="63">
        <f t="shared" si="78"/>
        <v>-5.426357592844263E-2</v>
      </c>
      <c r="ET102" s="67">
        <f t="shared" si="79"/>
        <v>-5.1470597265636471E-2</v>
      </c>
      <c r="EU102" s="66">
        <f t="shared" si="80"/>
        <v>1040814000</v>
      </c>
      <c r="EV102" s="66">
        <f t="shared" si="81"/>
        <v>6463606166.666667</v>
      </c>
      <c r="EW102" s="66">
        <f t="shared" si="81"/>
        <v>10106486333.333334</v>
      </c>
      <c r="EX102" s="70"/>
      <c r="EY102" s="71" t="str">
        <f t="shared" si="82"/>
        <v>完整</v>
      </c>
      <c r="EZ102" s="71" t="str">
        <f t="shared" si="83"/>
        <v>完整</v>
      </c>
      <c r="FA102" s="71" t="str">
        <f t="shared" si="84"/>
        <v>完整</v>
      </c>
      <c r="FB102" s="71" t="str">
        <f t="shared" si="85"/>
        <v>选择</v>
      </c>
      <c r="FC102" s="71" t="str">
        <f t="shared" si="86"/>
        <v>选择</v>
      </c>
    </row>
    <row r="103" spans="1:218" s="3" customFormat="1" ht="12.75" customHeight="1" x14ac:dyDescent="0.25">
      <c r="A103" s="28" t="s">
        <v>267</v>
      </c>
      <c r="B103" s="134" t="str">
        <f t="shared" si="44"/>
        <v>KOREA MIRACLE PEOPLE COMPANY LTD.</v>
      </c>
      <c r="C103" s="29" t="s">
        <v>328</v>
      </c>
      <c r="D103" s="136" t="s">
        <v>309</v>
      </c>
      <c r="E103" s="35"/>
      <c r="H103" s="31" t="str">
        <f t="shared" si="45"/>
        <v xml:space="preserve"> </v>
      </c>
      <c r="I103" s="29"/>
      <c r="J103" s="29" t="str">
        <f>VLOOKUP(Z:Z,'[1]AP 2022'!FD102:FF181,2,FALSE)</f>
        <v>exclude</v>
      </c>
      <c r="K103" s="47" t="str">
        <f>VLOOKUP(Z:Z,'[1]AP 2022'!FD102:FF181,3,0)</f>
        <v>Independence(A+, A, A-, U)</v>
      </c>
      <c r="L103" s="48"/>
      <c r="M103" s="125" t="s">
        <v>1108</v>
      </c>
      <c r="N103" s="125" t="s">
        <v>1109</v>
      </c>
      <c r="O103" s="125" t="s">
        <v>331</v>
      </c>
      <c r="P103" s="125" t="s">
        <v>1110</v>
      </c>
      <c r="Q103" s="124"/>
      <c r="R103" s="125" t="s">
        <v>363</v>
      </c>
      <c r="S103" s="125" t="s">
        <v>1111</v>
      </c>
      <c r="T103" s="125" t="s">
        <v>374</v>
      </c>
      <c r="U103" s="125" t="s">
        <v>315</v>
      </c>
      <c r="V103" s="125" t="s">
        <v>1112</v>
      </c>
      <c r="W103" s="125" t="s">
        <v>1113</v>
      </c>
      <c r="X103" s="125" t="s">
        <v>1114</v>
      </c>
      <c r="Y103" s="124"/>
      <c r="Z103" s="125" t="s">
        <v>1115</v>
      </c>
      <c r="AA103" s="128">
        <v>29945359000</v>
      </c>
      <c r="AB103" s="128">
        <v>22463884000</v>
      </c>
      <c r="AC103" s="128">
        <v>31754532000</v>
      </c>
      <c r="AD103" s="128">
        <v>22768889000</v>
      </c>
      <c r="AE103" s="128">
        <v>29945359000</v>
      </c>
      <c r="AF103" s="128">
        <v>22463884000</v>
      </c>
      <c r="AG103" s="128">
        <v>31754532000</v>
      </c>
      <c r="AH103" s="128">
        <v>22768889000</v>
      </c>
      <c r="AI103" s="125" t="s">
        <v>340</v>
      </c>
      <c r="AJ103" s="125" t="s">
        <v>340</v>
      </c>
      <c r="AK103" s="125" t="s">
        <v>340</v>
      </c>
      <c r="AL103" s="125" t="s">
        <v>340</v>
      </c>
      <c r="AM103" s="128">
        <v>29945359000</v>
      </c>
      <c r="AN103" s="128">
        <v>22463884000</v>
      </c>
      <c r="AO103" s="128">
        <v>31754532000</v>
      </c>
      <c r="AP103" s="128">
        <v>22768889000</v>
      </c>
      <c r="AQ103" s="125" t="s">
        <v>340</v>
      </c>
      <c r="AR103" s="125" t="s">
        <v>340</v>
      </c>
      <c r="AS103" s="125" t="s">
        <v>340</v>
      </c>
      <c r="AT103" s="125" t="s">
        <v>340</v>
      </c>
      <c r="AU103" s="128">
        <v>-19771446000</v>
      </c>
      <c r="AV103" s="128">
        <v>-14364154000</v>
      </c>
      <c r="AW103" s="128">
        <v>-17761401000</v>
      </c>
      <c r="AX103" s="128">
        <v>-10599944000</v>
      </c>
      <c r="AY103" s="128">
        <v>-555087000</v>
      </c>
      <c r="AZ103" s="128">
        <v>-809668000</v>
      </c>
      <c r="BA103" s="128">
        <v>-790044000</v>
      </c>
      <c r="BB103" s="128">
        <v>-424136000</v>
      </c>
      <c r="BC103" s="128">
        <v>-8941983000</v>
      </c>
      <c r="BD103" s="128">
        <v>-9204828000</v>
      </c>
      <c r="BE103" s="128">
        <v>-11467927000</v>
      </c>
      <c r="BF103" s="128">
        <v>-14096175000</v>
      </c>
      <c r="BG103" s="128">
        <v>676843000</v>
      </c>
      <c r="BH103" s="128">
        <v>-1914766000</v>
      </c>
      <c r="BI103" s="128">
        <v>1735160000</v>
      </c>
      <c r="BJ103" s="128">
        <v>-2351366000</v>
      </c>
      <c r="BK103" s="128">
        <v>-288945000</v>
      </c>
      <c r="BL103" s="128">
        <v>-298214000</v>
      </c>
      <c r="BM103" s="128">
        <v>-288575000</v>
      </c>
      <c r="BN103" s="128">
        <v>-103729000</v>
      </c>
      <c r="BO103" s="128">
        <v>-288945000</v>
      </c>
      <c r="BP103" s="128">
        <v>-298214000</v>
      </c>
      <c r="BQ103" s="128">
        <v>-288575000</v>
      </c>
      <c r="BR103" s="128">
        <v>-103729000</v>
      </c>
      <c r="BS103" s="125" t="s">
        <v>340</v>
      </c>
      <c r="BT103" s="125" t="s">
        <v>340</v>
      </c>
      <c r="BU103" s="125" t="s">
        <v>340</v>
      </c>
      <c r="BV103" s="125" t="s">
        <v>340</v>
      </c>
      <c r="BW103" s="128">
        <v>-654851000</v>
      </c>
      <c r="BX103" s="128">
        <v>-2947448000</v>
      </c>
      <c r="BY103" s="128">
        <v>597320000</v>
      </c>
      <c r="BZ103" s="128">
        <v>-2242511000</v>
      </c>
      <c r="CA103" s="128">
        <v>11471115000</v>
      </c>
      <c r="CB103" s="128">
        <v>6180108000</v>
      </c>
      <c r="CC103" s="128">
        <v>5972514000</v>
      </c>
      <c r="CD103" s="128">
        <v>5831418000</v>
      </c>
      <c r="CE103" s="128">
        <v>4641476000</v>
      </c>
      <c r="CF103" s="128">
        <v>2229047000</v>
      </c>
      <c r="CG103" s="128">
        <v>2275628000</v>
      </c>
      <c r="CH103" s="128">
        <v>979560000</v>
      </c>
      <c r="CI103" s="128">
        <v>4029985000</v>
      </c>
      <c r="CJ103" s="128">
        <v>2082336000</v>
      </c>
      <c r="CK103" s="128">
        <v>1891117000</v>
      </c>
      <c r="CL103" s="128">
        <v>1278249000</v>
      </c>
      <c r="CM103" s="128">
        <v>940000000</v>
      </c>
      <c r="CN103" s="128">
        <v>800000000</v>
      </c>
      <c r="CO103" s="128">
        <v>570000000</v>
      </c>
      <c r="CP103" s="128">
        <v>156000000</v>
      </c>
      <c r="CQ103" s="128">
        <v>1605608000</v>
      </c>
      <c r="CR103" s="128">
        <v>755097000</v>
      </c>
      <c r="CS103" s="128">
        <v>745779000</v>
      </c>
      <c r="CT103" s="128">
        <v>2721665000</v>
      </c>
      <c r="CU103" s="125" t="s">
        <v>340</v>
      </c>
      <c r="CV103" s="125" t="s">
        <v>340</v>
      </c>
      <c r="CW103" s="125" t="s">
        <v>340</v>
      </c>
      <c r="CX103" s="128">
        <v>1000220000</v>
      </c>
      <c r="CY103" s="128">
        <v>704923000</v>
      </c>
      <c r="CZ103" s="128">
        <v>957739000</v>
      </c>
      <c r="DA103" s="128">
        <v>539162000</v>
      </c>
      <c r="DB103" s="128">
        <v>476134000</v>
      </c>
      <c r="DC103" s="128">
        <v>24129727000</v>
      </c>
      <c r="DD103" s="128">
        <v>19320153000</v>
      </c>
      <c r="DE103" s="128">
        <v>19661018000</v>
      </c>
      <c r="DF103" s="128">
        <v>17609012000</v>
      </c>
      <c r="DG103" s="16">
        <f t="shared" si="46"/>
        <v>29945359000</v>
      </c>
      <c r="DH103" s="16">
        <f t="shared" si="47"/>
        <v>-19771446000</v>
      </c>
      <c r="DI103" s="16">
        <f t="shared" si="48"/>
        <v>-9497070000</v>
      </c>
      <c r="DJ103" s="16">
        <f t="shared" si="49"/>
        <v>-288945000</v>
      </c>
      <c r="DK103" s="16">
        <f t="shared" si="50"/>
        <v>387898000</v>
      </c>
      <c r="DL103" s="57">
        <f t="shared" si="51"/>
        <v>1.2953526454633588E-2</v>
      </c>
      <c r="DM103" s="57">
        <f t="shared" si="52"/>
        <v>1.3123522348553551E-2</v>
      </c>
      <c r="DN103" s="58">
        <f t="shared" si="53"/>
        <v>-555087000</v>
      </c>
      <c r="DO103" s="16">
        <f t="shared" si="54"/>
        <v>3435261500</v>
      </c>
      <c r="DP103" s="16">
        <f t="shared" si="55"/>
        <v>831331000</v>
      </c>
      <c r="DQ103" s="61"/>
      <c r="DR103" s="62">
        <f t="shared" si="56"/>
        <v>22463884000</v>
      </c>
      <c r="DS103" s="62">
        <f t="shared" si="57"/>
        <v>-14364154000</v>
      </c>
      <c r="DT103" s="62">
        <f t="shared" si="58"/>
        <v>-10014496000</v>
      </c>
      <c r="DU103" s="62">
        <f t="shared" si="59"/>
        <v>-298214000</v>
      </c>
      <c r="DV103" s="62">
        <f t="shared" si="60"/>
        <v>-2212980000</v>
      </c>
      <c r="DW103" s="63">
        <f t="shared" si="61"/>
        <v>-9.8512795026897401E-2</v>
      </c>
      <c r="DX103" s="63">
        <f t="shared" si="62"/>
        <v>-8.9678331898250932E-2</v>
      </c>
      <c r="DY103" s="64">
        <f t="shared" si="63"/>
        <v>-809668000</v>
      </c>
      <c r="DZ103" s="64">
        <f t="shared" si="64"/>
        <v>2252337500</v>
      </c>
      <c r="EA103" s="64">
        <f t="shared" si="65"/>
        <v>748450500</v>
      </c>
      <c r="EB103" s="61"/>
      <c r="EC103" s="64">
        <f t="shared" si="66"/>
        <v>31754532000</v>
      </c>
      <c r="ED103" s="64">
        <f t="shared" si="67"/>
        <v>-17761401000</v>
      </c>
      <c r="EE103" s="64">
        <f t="shared" si="68"/>
        <v>-12257971000</v>
      </c>
      <c r="EF103" s="64">
        <f t="shared" si="69"/>
        <v>-288575000</v>
      </c>
      <c r="EG103" s="64">
        <f t="shared" si="70"/>
        <v>1446585000</v>
      </c>
      <c r="EH103" s="63">
        <f t="shared" si="71"/>
        <v>4.5555229722799885E-2</v>
      </c>
      <c r="EI103" s="57">
        <f t="shared" si="72"/>
        <v>4.7729560831025607E-2</v>
      </c>
      <c r="EJ103" s="64">
        <f t="shared" si="73"/>
        <v>-790044000</v>
      </c>
      <c r="EK103" s="64">
        <f t="shared" si="74"/>
        <v>1627594000</v>
      </c>
      <c r="EL103" s="64">
        <f t="shared" si="75"/>
        <v>507648000</v>
      </c>
      <c r="EM103" s="61"/>
      <c r="EN103" s="66">
        <f t="shared" si="76"/>
        <v>28054591666.666668</v>
      </c>
      <c r="EO103" s="66">
        <f t="shared" si="76"/>
        <v>-17299000333.333332</v>
      </c>
      <c r="EP103" s="66">
        <f t="shared" si="76"/>
        <v>-10589845666.666666</v>
      </c>
      <c r="EQ103" s="66">
        <f t="shared" si="43"/>
        <v>-291911333.33333331</v>
      </c>
      <c r="ER103" s="66">
        <f t="shared" si="77"/>
        <v>-126165666.66666347</v>
      </c>
      <c r="ES103" s="63">
        <f t="shared" si="78"/>
        <v>-4.4971485654010934E-3</v>
      </c>
      <c r="ET103" s="67">
        <f t="shared" si="79"/>
        <v>-4.4770147648739607E-3</v>
      </c>
      <c r="EU103" s="66">
        <f t="shared" si="80"/>
        <v>718266333.33333337</v>
      </c>
      <c r="EV103" s="66">
        <f t="shared" si="81"/>
        <v>2438397666.6666665</v>
      </c>
      <c r="EW103" s="66">
        <f t="shared" si="81"/>
        <v>695809833.33333337</v>
      </c>
      <c r="EX103" s="70"/>
      <c r="EY103" s="71" t="str">
        <f t="shared" si="82"/>
        <v>完整</v>
      </c>
      <c r="EZ103" s="71" t="str">
        <f t="shared" si="83"/>
        <v>完整</v>
      </c>
      <c r="FA103" s="71" t="str">
        <f t="shared" si="84"/>
        <v>完整</v>
      </c>
      <c r="FB103" s="71" t="str">
        <f t="shared" si="85"/>
        <v>选择</v>
      </c>
      <c r="FC103" s="71" t="str">
        <f t="shared" si="86"/>
        <v>选择</v>
      </c>
    </row>
    <row r="104" spans="1:218" s="3" customFormat="1" ht="12.75" customHeight="1" x14ac:dyDescent="0.25">
      <c r="A104" s="28" t="s">
        <v>268</v>
      </c>
      <c r="B104" s="134" t="str">
        <f t="shared" si="44"/>
        <v>MIKOBEAUTE INTERNATIONAL CO., LTD.</v>
      </c>
      <c r="C104" s="29" t="s">
        <v>328</v>
      </c>
      <c r="D104" s="136" t="s">
        <v>309</v>
      </c>
      <c r="E104" s="35"/>
      <c r="H104" s="31" t="str">
        <f t="shared" si="45"/>
        <v xml:space="preserve"> </v>
      </c>
      <c r="I104" s="29"/>
      <c r="J104" s="29" t="str">
        <f>VLOOKUP(Z:Z,'[1]AP 2022'!FD103:FF181,2,FALSE)</f>
        <v>exclude</v>
      </c>
      <c r="K104" s="47" t="str">
        <f>VLOOKUP(Z:Z,'[1]AP 2022'!FD103:FF181,3,0)</f>
        <v>Independence(A+, A, A-, U)</v>
      </c>
      <c r="L104" s="48"/>
      <c r="M104" s="125" t="s">
        <v>1116</v>
      </c>
      <c r="N104" s="125" t="s">
        <v>1117</v>
      </c>
      <c r="O104" s="125" t="s">
        <v>496</v>
      </c>
      <c r="P104" s="125" t="s">
        <v>1118</v>
      </c>
      <c r="Q104" s="124"/>
      <c r="R104" s="125" t="s">
        <v>842</v>
      </c>
      <c r="S104" s="125" t="s">
        <v>1119</v>
      </c>
      <c r="T104" s="125" t="s">
        <v>365</v>
      </c>
      <c r="U104" s="125" t="s">
        <v>321</v>
      </c>
      <c r="V104" s="125" t="s">
        <v>1120</v>
      </c>
      <c r="W104" s="125" t="s">
        <v>1121</v>
      </c>
      <c r="X104" s="124"/>
      <c r="Y104" s="125" t="s">
        <v>1122</v>
      </c>
      <c r="Z104" s="125" t="s">
        <v>1123</v>
      </c>
      <c r="AA104" s="128">
        <v>683204000</v>
      </c>
      <c r="AB104" s="128">
        <v>669252000</v>
      </c>
      <c r="AC104" s="128">
        <v>850007000</v>
      </c>
      <c r="AD104" s="128">
        <v>1065679000</v>
      </c>
      <c r="AE104" s="128">
        <v>681247000</v>
      </c>
      <c r="AF104" s="128">
        <v>648269000</v>
      </c>
      <c r="AG104" s="128">
        <v>849853000</v>
      </c>
      <c r="AH104" s="128">
        <v>1064096000</v>
      </c>
      <c r="AI104" s="125" t="s">
        <v>340</v>
      </c>
      <c r="AJ104" s="125" t="s">
        <v>340</v>
      </c>
      <c r="AK104" s="125" t="s">
        <v>340</v>
      </c>
      <c r="AL104" s="125" t="s">
        <v>340</v>
      </c>
      <c r="AM104" s="128">
        <v>681247000</v>
      </c>
      <c r="AN104" s="128">
        <v>648269000</v>
      </c>
      <c r="AO104" s="128">
        <v>849853000</v>
      </c>
      <c r="AP104" s="128">
        <v>1064096000</v>
      </c>
      <c r="AQ104" s="128">
        <v>1957000</v>
      </c>
      <c r="AR104" s="128">
        <v>20983000</v>
      </c>
      <c r="AS104" s="128">
        <v>154000</v>
      </c>
      <c r="AT104" s="128">
        <v>1583000</v>
      </c>
      <c r="AU104" s="128">
        <v>-67320000</v>
      </c>
      <c r="AV104" s="128">
        <v>-86064000</v>
      </c>
      <c r="AW104" s="128">
        <v>-130519000</v>
      </c>
      <c r="AX104" s="128">
        <v>-145380000</v>
      </c>
      <c r="AY104" s="128">
        <v>-2527000</v>
      </c>
      <c r="AZ104" s="128">
        <v>-2532000</v>
      </c>
      <c r="BA104" s="128">
        <v>-1692000</v>
      </c>
      <c r="BB104" s="128">
        <v>-1875000</v>
      </c>
      <c r="BC104" s="128">
        <v>-472766000</v>
      </c>
      <c r="BD104" s="128">
        <v>-498413000</v>
      </c>
      <c r="BE104" s="128">
        <v>-612664000</v>
      </c>
      <c r="BF104" s="128">
        <v>-779236000</v>
      </c>
      <c r="BG104" s="128">
        <v>140591000</v>
      </c>
      <c r="BH104" s="128">
        <v>82243000</v>
      </c>
      <c r="BI104" s="128">
        <v>105132000</v>
      </c>
      <c r="BJ104" s="128">
        <v>139188000</v>
      </c>
      <c r="BK104" s="128">
        <v>-87754000</v>
      </c>
      <c r="BL104" s="128">
        <v>-65839000</v>
      </c>
      <c r="BM104" s="128">
        <v>-44881000</v>
      </c>
      <c r="BN104" s="128">
        <v>-28112000</v>
      </c>
      <c r="BO104" s="128">
        <v>-83897000</v>
      </c>
      <c r="BP104" s="128">
        <v>-62971000</v>
      </c>
      <c r="BQ104" s="128">
        <v>-42983000</v>
      </c>
      <c r="BR104" s="128">
        <v>-26887000</v>
      </c>
      <c r="BS104" s="128">
        <v>-3857000</v>
      </c>
      <c r="BT104" s="128">
        <v>-2868000</v>
      </c>
      <c r="BU104" s="128">
        <v>-1898000</v>
      </c>
      <c r="BV104" s="128">
        <v>-1225000</v>
      </c>
      <c r="BW104" s="128">
        <v>68046000</v>
      </c>
      <c r="BX104" s="128">
        <v>13818000</v>
      </c>
      <c r="BY104" s="128">
        <v>42080000</v>
      </c>
      <c r="BZ104" s="128">
        <v>88934000</v>
      </c>
      <c r="CA104" s="128">
        <v>677043000</v>
      </c>
      <c r="CB104" s="128">
        <v>653131000</v>
      </c>
      <c r="CC104" s="128">
        <v>700739000</v>
      </c>
      <c r="CD104" s="128">
        <v>702105000</v>
      </c>
      <c r="CE104" s="128">
        <v>49640000</v>
      </c>
      <c r="CF104" s="128">
        <v>54327000</v>
      </c>
      <c r="CG104" s="128">
        <v>72241000</v>
      </c>
      <c r="CH104" s="128">
        <v>73647000</v>
      </c>
      <c r="CI104" s="128">
        <v>36573000</v>
      </c>
      <c r="CJ104" s="128">
        <v>61885000</v>
      </c>
      <c r="CK104" s="128">
        <v>97940000</v>
      </c>
      <c r="CL104" s="128">
        <v>165857000</v>
      </c>
      <c r="CM104" s="128">
        <v>11220000</v>
      </c>
      <c r="CN104" s="128">
        <v>25309000</v>
      </c>
      <c r="CO104" s="128">
        <v>29685000</v>
      </c>
      <c r="CP104" s="128">
        <v>23427000</v>
      </c>
      <c r="CQ104" s="128">
        <v>579610000</v>
      </c>
      <c r="CR104" s="128">
        <v>511610000</v>
      </c>
      <c r="CS104" s="128">
        <v>500873000</v>
      </c>
      <c r="CT104" s="128">
        <v>439174000</v>
      </c>
      <c r="CU104" s="128">
        <v>375399000</v>
      </c>
      <c r="CV104" s="128">
        <v>324967000</v>
      </c>
      <c r="CW104" s="128">
        <v>360125000</v>
      </c>
      <c r="CX104" s="128">
        <v>332989000</v>
      </c>
      <c r="CY104" s="128">
        <v>9939000</v>
      </c>
      <c r="CZ104" s="128">
        <v>11588000</v>
      </c>
      <c r="DA104" s="128">
        <v>6661000</v>
      </c>
      <c r="DB104" s="128">
        <v>6971000</v>
      </c>
      <c r="DC104" s="128">
        <v>925385000</v>
      </c>
      <c r="DD104" s="128">
        <v>897071000</v>
      </c>
      <c r="DE104" s="128">
        <v>847752000</v>
      </c>
      <c r="DF104" s="128">
        <v>831494000</v>
      </c>
      <c r="DG104" s="16">
        <f t="shared" si="46"/>
        <v>681247000</v>
      </c>
      <c r="DH104" s="16">
        <f t="shared" si="47"/>
        <v>-67320000</v>
      </c>
      <c r="DI104" s="16">
        <f t="shared" si="48"/>
        <v>-475293000</v>
      </c>
      <c r="DJ104" s="16">
        <f t="shared" si="49"/>
        <v>-87754000</v>
      </c>
      <c r="DK104" s="16">
        <f t="shared" si="50"/>
        <v>50880000</v>
      </c>
      <c r="DL104" s="57">
        <f t="shared" si="51"/>
        <v>7.4686567427085918E-2</v>
      </c>
      <c r="DM104" s="57">
        <f t="shared" si="52"/>
        <v>8.0714885138340048E-2</v>
      </c>
      <c r="DN104" s="58">
        <f t="shared" si="53"/>
        <v>-2527000</v>
      </c>
      <c r="DO104" s="16">
        <f t="shared" si="54"/>
        <v>51983500</v>
      </c>
      <c r="DP104" s="16">
        <f t="shared" si="55"/>
        <v>10763500</v>
      </c>
      <c r="DQ104" s="61"/>
      <c r="DR104" s="62">
        <f t="shared" si="56"/>
        <v>648269000</v>
      </c>
      <c r="DS104" s="62">
        <f t="shared" si="57"/>
        <v>-86064000</v>
      </c>
      <c r="DT104" s="62">
        <f t="shared" si="58"/>
        <v>-500945000</v>
      </c>
      <c r="DU104" s="62">
        <f t="shared" si="59"/>
        <v>-65839000</v>
      </c>
      <c r="DV104" s="62">
        <f t="shared" si="60"/>
        <v>-4579000</v>
      </c>
      <c r="DW104" s="63">
        <f t="shared" si="61"/>
        <v>-7.0634258309436359E-3</v>
      </c>
      <c r="DX104" s="63">
        <f t="shared" si="62"/>
        <v>-7.0138837830551679E-3</v>
      </c>
      <c r="DY104" s="64">
        <f t="shared" si="63"/>
        <v>-2532000</v>
      </c>
      <c r="DZ104" s="64">
        <f t="shared" si="64"/>
        <v>63284000</v>
      </c>
      <c r="EA104" s="64">
        <f t="shared" si="65"/>
        <v>9124500</v>
      </c>
      <c r="EB104" s="61"/>
      <c r="EC104" s="64">
        <f t="shared" si="66"/>
        <v>849853000</v>
      </c>
      <c r="ED104" s="64">
        <f t="shared" si="67"/>
        <v>-130519000</v>
      </c>
      <c r="EE104" s="64">
        <f t="shared" si="68"/>
        <v>-614356000</v>
      </c>
      <c r="EF104" s="64">
        <f t="shared" si="69"/>
        <v>-44881000</v>
      </c>
      <c r="EG104" s="64">
        <f t="shared" si="70"/>
        <v>60097000</v>
      </c>
      <c r="EH104" s="63">
        <f t="shared" si="71"/>
        <v>7.0714582404251089E-2</v>
      </c>
      <c r="EI104" s="57">
        <f t="shared" si="72"/>
        <v>7.6095654860488554E-2</v>
      </c>
      <c r="EJ104" s="64">
        <f t="shared" si="73"/>
        <v>-1692000</v>
      </c>
      <c r="EK104" s="64">
        <f t="shared" si="74"/>
        <v>72944000</v>
      </c>
      <c r="EL104" s="64">
        <f t="shared" si="75"/>
        <v>6816000</v>
      </c>
      <c r="EM104" s="61"/>
      <c r="EN104" s="66">
        <f t="shared" si="76"/>
        <v>726456333.33333337</v>
      </c>
      <c r="EO104" s="66">
        <f t="shared" si="76"/>
        <v>-94634333.333333328</v>
      </c>
      <c r="EP104" s="66">
        <f t="shared" si="76"/>
        <v>-530198000</v>
      </c>
      <c r="EQ104" s="66">
        <f t="shared" si="43"/>
        <v>-66158000</v>
      </c>
      <c r="ER104" s="66">
        <f t="shared" si="77"/>
        <v>35466000</v>
      </c>
      <c r="ES104" s="63">
        <f t="shared" si="78"/>
        <v>4.8820553105050131E-2</v>
      </c>
      <c r="ET104" s="67">
        <f t="shared" si="79"/>
        <v>5.1326333074606441E-2</v>
      </c>
      <c r="EU104" s="66">
        <f t="shared" si="80"/>
        <v>2250333.3333333335</v>
      </c>
      <c r="EV104" s="66">
        <f t="shared" si="81"/>
        <v>62737166.666666664</v>
      </c>
      <c r="EW104" s="66">
        <f t="shared" si="81"/>
        <v>8901333.333333334</v>
      </c>
      <c r="EX104" s="70"/>
      <c r="EY104" s="71" t="str">
        <f t="shared" si="82"/>
        <v>完整</v>
      </c>
      <c r="EZ104" s="71" t="str">
        <f t="shared" si="83"/>
        <v>完整</v>
      </c>
      <c r="FA104" s="71" t="str">
        <f t="shared" si="84"/>
        <v>完整</v>
      </c>
      <c r="FB104" s="71" t="str">
        <f t="shared" si="85"/>
        <v>选择</v>
      </c>
      <c r="FC104" s="71" t="str">
        <f t="shared" si="86"/>
        <v>选择</v>
      </c>
    </row>
    <row r="105" spans="1:218" s="3" customFormat="1" ht="12.75" customHeight="1" x14ac:dyDescent="0.25">
      <c r="A105" s="28" t="s">
        <v>269</v>
      </c>
      <c r="B105" s="134" t="str">
        <f t="shared" si="44"/>
        <v>SUZHOU MISIFU COSMETICS CO.,LTD</v>
      </c>
      <c r="C105" s="29" t="s">
        <v>328</v>
      </c>
      <c r="D105" s="136" t="s">
        <v>309</v>
      </c>
      <c r="E105" s="35"/>
      <c r="F105" s="34"/>
      <c r="H105" s="31" t="str">
        <f t="shared" si="45"/>
        <v xml:space="preserve"> </v>
      </c>
      <c r="I105" s="29"/>
      <c r="J105" s="29" t="str">
        <f>VLOOKUP(Z:Z,'[1]AP 2022'!FD104:FF181,2,FALSE)</f>
        <v>exclude</v>
      </c>
      <c r="K105" s="47" t="str">
        <f>VLOOKUP(Z:Z,'[1]AP 2022'!FD104:FF181,3,0)</f>
        <v>Independence(A+, A, A-, U)</v>
      </c>
      <c r="L105" s="48"/>
      <c r="M105" s="125" t="s">
        <v>1124</v>
      </c>
      <c r="N105" s="125" t="s">
        <v>1125</v>
      </c>
      <c r="O105" s="125" t="s">
        <v>331</v>
      </c>
      <c r="P105" s="125" t="s">
        <v>1126</v>
      </c>
      <c r="Q105" s="124"/>
      <c r="R105" s="125" t="s">
        <v>423</v>
      </c>
      <c r="S105" s="125" t="s">
        <v>1127</v>
      </c>
      <c r="T105" s="125" t="s">
        <v>365</v>
      </c>
      <c r="U105" s="125" t="s">
        <v>321</v>
      </c>
      <c r="V105" s="125" t="s">
        <v>1128</v>
      </c>
      <c r="W105" s="125" t="s">
        <v>1129</v>
      </c>
      <c r="X105" s="124"/>
      <c r="Y105" s="124"/>
      <c r="Z105" s="125" t="s">
        <v>1130</v>
      </c>
      <c r="AA105" s="128">
        <v>152453000</v>
      </c>
      <c r="AB105" s="128">
        <v>147045000</v>
      </c>
      <c r="AC105" s="128">
        <v>127159000</v>
      </c>
      <c r="AD105" s="128">
        <v>122285000</v>
      </c>
      <c r="AE105" s="128">
        <v>153091000</v>
      </c>
      <c r="AF105" s="128">
        <v>146856000</v>
      </c>
      <c r="AG105" s="128">
        <v>126504000</v>
      </c>
      <c r="AH105" s="128">
        <v>122736000</v>
      </c>
      <c r="AI105" s="128">
        <v>-1480000</v>
      </c>
      <c r="AJ105" s="128">
        <v>-1229000</v>
      </c>
      <c r="AK105" s="128">
        <v>-497000</v>
      </c>
      <c r="AL105" s="128">
        <v>-942000</v>
      </c>
      <c r="AM105" s="128">
        <v>151611000</v>
      </c>
      <c r="AN105" s="128">
        <v>145627000</v>
      </c>
      <c r="AO105" s="128">
        <v>126007000</v>
      </c>
      <c r="AP105" s="128">
        <v>121794000</v>
      </c>
      <c r="AQ105" s="128">
        <v>842000</v>
      </c>
      <c r="AR105" s="128">
        <v>1418000</v>
      </c>
      <c r="AS105" s="128">
        <v>1152000</v>
      </c>
      <c r="AT105" s="128">
        <v>491000</v>
      </c>
      <c r="AU105" s="128">
        <v>-69699000</v>
      </c>
      <c r="AV105" s="128">
        <v>-74968000</v>
      </c>
      <c r="AW105" s="128">
        <v>-65959000</v>
      </c>
      <c r="AX105" s="128">
        <v>-62485000</v>
      </c>
      <c r="AY105" s="125" t="s">
        <v>340</v>
      </c>
      <c r="AZ105" s="125" t="s">
        <v>340</v>
      </c>
      <c r="BA105" s="125" t="s">
        <v>340</v>
      </c>
      <c r="BB105" s="125" t="s">
        <v>340</v>
      </c>
      <c r="BC105" s="128">
        <v>-41747000</v>
      </c>
      <c r="BD105" s="128">
        <v>-39682000</v>
      </c>
      <c r="BE105" s="128">
        <v>-31911000</v>
      </c>
      <c r="BF105" s="128">
        <v>-30677000</v>
      </c>
      <c r="BG105" s="128">
        <v>41007000</v>
      </c>
      <c r="BH105" s="128">
        <v>32395000</v>
      </c>
      <c r="BI105" s="128">
        <v>29289000</v>
      </c>
      <c r="BJ105" s="128">
        <v>29123000</v>
      </c>
      <c r="BK105" s="128">
        <v>-4744000</v>
      </c>
      <c r="BL105" s="128">
        <v>-3219000</v>
      </c>
      <c r="BM105" s="128">
        <v>-1719000</v>
      </c>
      <c r="BN105" s="128">
        <v>-1944000</v>
      </c>
      <c r="BO105" s="128">
        <v>-4325000</v>
      </c>
      <c r="BP105" s="128">
        <v>-2940000</v>
      </c>
      <c r="BQ105" s="128">
        <v>-1248000</v>
      </c>
      <c r="BR105" s="128">
        <v>-1301000</v>
      </c>
      <c r="BS105" s="128">
        <v>-419000</v>
      </c>
      <c r="BT105" s="128">
        <v>-279000</v>
      </c>
      <c r="BU105" s="128">
        <v>-471000</v>
      </c>
      <c r="BV105" s="128">
        <v>-643000</v>
      </c>
      <c r="BW105" s="128">
        <v>26911000</v>
      </c>
      <c r="BX105" s="128">
        <v>20265000</v>
      </c>
      <c r="BY105" s="128">
        <v>22329000</v>
      </c>
      <c r="BZ105" s="128">
        <v>19640000</v>
      </c>
      <c r="CA105" s="128">
        <v>83634000</v>
      </c>
      <c r="CB105" s="128">
        <v>62953000</v>
      </c>
      <c r="CC105" s="128">
        <v>45229000</v>
      </c>
      <c r="CD105" s="128">
        <v>42678000</v>
      </c>
      <c r="CE105" s="128">
        <v>27079000</v>
      </c>
      <c r="CF105" s="128">
        <v>21991000</v>
      </c>
      <c r="CG105" s="128">
        <v>17777000</v>
      </c>
      <c r="CH105" s="128">
        <v>19551000</v>
      </c>
      <c r="CI105" s="128">
        <v>15688000</v>
      </c>
      <c r="CJ105" s="128">
        <v>12150000</v>
      </c>
      <c r="CK105" s="128">
        <v>8835000</v>
      </c>
      <c r="CL105" s="128">
        <v>3921000</v>
      </c>
      <c r="CM105" s="128">
        <v>541000</v>
      </c>
      <c r="CN105" s="128">
        <v>567000</v>
      </c>
      <c r="CO105" s="128">
        <v>2700000</v>
      </c>
      <c r="CP105" s="128">
        <v>692000</v>
      </c>
      <c r="CQ105" s="128">
        <v>39268000</v>
      </c>
      <c r="CR105" s="128">
        <v>26799000</v>
      </c>
      <c r="CS105" s="128">
        <v>13289000</v>
      </c>
      <c r="CT105" s="128">
        <v>16348000</v>
      </c>
      <c r="CU105" s="125" t="s">
        <v>340</v>
      </c>
      <c r="CV105" s="125" t="s">
        <v>340</v>
      </c>
      <c r="CW105" s="125" t="s">
        <v>340</v>
      </c>
      <c r="CX105" s="125" t="s">
        <v>340</v>
      </c>
      <c r="CY105" s="128">
        <v>1553000</v>
      </c>
      <c r="CZ105" s="128">
        <v>1548000</v>
      </c>
      <c r="DA105" s="128">
        <v>45687000</v>
      </c>
      <c r="DB105" s="128">
        <v>438000</v>
      </c>
      <c r="DC105" s="128">
        <v>139393000</v>
      </c>
      <c r="DD105" s="128">
        <v>120703000</v>
      </c>
      <c r="DE105" s="128">
        <v>98856000</v>
      </c>
      <c r="DF105" s="128">
        <v>81557000</v>
      </c>
      <c r="DG105" s="16">
        <f t="shared" si="46"/>
        <v>151611000</v>
      </c>
      <c r="DH105" s="16">
        <f t="shared" si="47"/>
        <v>-69699000</v>
      </c>
      <c r="DI105" s="16">
        <f t="shared" si="48"/>
        <v>-41747000</v>
      </c>
      <c r="DJ105" s="16">
        <f t="shared" si="49"/>
        <v>-4744000</v>
      </c>
      <c r="DK105" s="16">
        <f t="shared" si="50"/>
        <v>35421000</v>
      </c>
      <c r="DL105" s="57">
        <f t="shared" si="51"/>
        <v>0.23363080515266044</v>
      </c>
      <c r="DM105" s="57">
        <f t="shared" si="52"/>
        <v>0.30485411825458303</v>
      </c>
      <c r="DN105" s="58" t="str">
        <f t="shared" si="53"/>
        <v>n.a.</v>
      </c>
      <c r="DO105" s="16">
        <f t="shared" si="54"/>
        <v>24535000</v>
      </c>
      <c r="DP105" s="16">
        <f t="shared" si="55"/>
        <v>1550500</v>
      </c>
      <c r="DQ105" s="61"/>
      <c r="DR105" s="62">
        <f t="shared" si="56"/>
        <v>145627000</v>
      </c>
      <c r="DS105" s="62">
        <f t="shared" si="57"/>
        <v>-74968000</v>
      </c>
      <c r="DT105" s="62">
        <f t="shared" si="58"/>
        <v>-39682000</v>
      </c>
      <c r="DU105" s="62">
        <f t="shared" si="59"/>
        <v>-3219000</v>
      </c>
      <c r="DV105" s="62">
        <f t="shared" si="60"/>
        <v>27758000</v>
      </c>
      <c r="DW105" s="63">
        <f t="shared" si="61"/>
        <v>0.19061025771319878</v>
      </c>
      <c r="DX105" s="63">
        <f t="shared" si="62"/>
        <v>0.23549873164275595</v>
      </c>
      <c r="DY105" s="64" t="str">
        <f t="shared" si="63"/>
        <v>n.a.</v>
      </c>
      <c r="DZ105" s="64">
        <f t="shared" si="64"/>
        <v>19884000</v>
      </c>
      <c r="EA105" s="64">
        <f t="shared" si="65"/>
        <v>23617500</v>
      </c>
      <c r="EB105" s="61"/>
      <c r="EC105" s="64">
        <f t="shared" si="66"/>
        <v>126007000</v>
      </c>
      <c r="ED105" s="64">
        <f t="shared" si="67"/>
        <v>-65959000</v>
      </c>
      <c r="EE105" s="64">
        <f t="shared" si="68"/>
        <v>-31911000</v>
      </c>
      <c r="EF105" s="64">
        <f t="shared" si="69"/>
        <v>-1719000</v>
      </c>
      <c r="EG105" s="64">
        <f t="shared" si="70"/>
        <v>26418000</v>
      </c>
      <c r="EH105" s="63">
        <f t="shared" si="71"/>
        <v>0.20965501916560192</v>
      </c>
      <c r="EI105" s="57">
        <f t="shared" si="72"/>
        <v>0.26527026077177196</v>
      </c>
      <c r="EJ105" s="64" t="str">
        <f t="shared" si="73"/>
        <v>n.a.</v>
      </c>
      <c r="EK105" s="64">
        <f t="shared" si="74"/>
        <v>18664000</v>
      </c>
      <c r="EL105" s="64">
        <f t="shared" si="75"/>
        <v>23062500</v>
      </c>
      <c r="EM105" s="61"/>
      <c r="EN105" s="66">
        <f t="shared" si="76"/>
        <v>141081666.66666666</v>
      </c>
      <c r="EO105" s="66">
        <f t="shared" si="76"/>
        <v>-70208666.666666672</v>
      </c>
      <c r="EP105" s="66">
        <f t="shared" si="76"/>
        <v>-37780000</v>
      </c>
      <c r="EQ105" s="66">
        <f t="shared" si="43"/>
        <v>-3227333.3333333335</v>
      </c>
      <c r="ER105" s="66">
        <f t="shared" si="77"/>
        <v>29865666.666666653</v>
      </c>
      <c r="ES105" s="63">
        <f t="shared" si="78"/>
        <v>0.21169062835946076</v>
      </c>
      <c r="ET105" s="67">
        <f t="shared" si="79"/>
        <v>0.26853750059943399</v>
      </c>
      <c r="EU105" s="66" t="e">
        <f t="shared" si="80"/>
        <v>#VALUE!</v>
      </c>
      <c r="EV105" s="66">
        <f t="shared" si="81"/>
        <v>21027666.666666668</v>
      </c>
      <c r="EW105" s="66">
        <f t="shared" si="81"/>
        <v>16076833.333333334</v>
      </c>
      <c r="EX105" s="70"/>
      <c r="EY105" s="71" t="str">
        <f t="shared" si="82"/>
        <v>完整</v>
      </c>
      <c r="EZ105" s="71" t="str">
        <f t="shared" si="83"/>
        <v>完整</v>
      </c>
      <c r="FA105" s="71" t="str">
        <f t="shared" si="84"/>
        <v>完整</v>
      </c>
      <c r="FB105" s="71" t="str">
        <f t="shared" si="85"/>
        <v>选择</v>
      </c>
      <c r="FC105" s="71" t="str">
        <f t="shared" si="86"/>
        <v>选择</v>
      </c>
    </row>
    <row r="106" spans="1:218" s="3" customFormat="1" ht="12.75" customHeight="1" x14ac:dyDescent="0.25">
      <c r="A106" s="28" t="s">
        <v>270</v>
      </c>
      <c r="B106" s="134" t="str">
        <f t="shared" si="44"/>
        <v>MAXIGEN BIOTECH INC</v>
      </c>
      <c r="C106" s="29" t="s">
        <v>328</v>
      </c>
      <c r="D106" s="135" t="s">
        <v>312</v>
      </c>
      <c r="E106" s="29"/>
      <c r="F106" s="135"/>
      <c r="G106" s="29"/>
      <c r="H106" s="31" t="str">
        <f t="shared" si="45"/>
        <v xml:space="preserve"> </v>
      </c>
      <c r="I106" s="29"/>
      <c r="J106" s="29" t="str">
        <f>VLOOKUP(Z:Z,'[1]AP 2022'!FD105:FF181,2,FALSE)</f>
        <v>exclude</v>
      </c>
      <c r="K106" s="47" t="str">
        <f>VLOOKUP(Z:Z,'[1]AP 2022'!FD105:FF181,3,0)</f>
        <v>lev SDA/SDP</v>
      </c>
      <c r="L106" s="48"/>
      <c r="M106" s="125" t="s">
        <v>1131</v>
      </c>
      <c r="N106" s="125" t="s">
        <v>1132</v>
      </c>
      <c r="O106" s="125" t="s">
        <v>331</v>
      </c>
      <c r="P106" s="125" t="s">
        <v>1133</v>
      </c>
      <c r="Q106" s="124"/>
      <c r="R106" s="125" t="s">
        <v>842</v>
      </c>
      <c r="S106" s="125" t="s">
        <v>1134</v>
      </c>
      <c r="T106" s="125" t="s">
        <v>335</v>
      </c>
      <c r="U106" s="125" t="s">
        <v>321</v>
      </c>
      <c r="V106" s="125" t="s">
        <v>1135</v>
      </c>
      <c r="W106" s="125" t="s">
        <v>1136</v>
      </c>
      <c r="X106" s="124"/>
      <c r="Y106" s="124"/>
      <c r="Z106" s="125" t="s">
        <v>1137</v>
      </c>
      <c r="AA106" s="128">
        <v>605541000</v>
      </c>
      <c r="AB106" s="128">
        <v>523430000</v>
      </c>
      <c r="AC106" s="128">
        <v>457924000</v>
      </c>
      <c r="AD106" s="128">
        <v>452599000</v>
      </c>
      <c r="AE106" s="128">
        <v>604431000</v>
      </c>
      <c r="AF106" s="128">
        <v>511976000</v>
      </c>
      <c r="AG106" s="128">
        <v>457691000</v>
      </c>
      <c r="AH106" s="128">
        <v>452199000</v>
      </c>
      <c r="AI106" s="125" t="s">
        <v>340</v>
      </c>
      <c r="AJ106" s="125" t="s">
        <v>340</v>
      </c>
      <c r="AK106" s="125" t="s">
        <v>340</v>
      </c>
      <c r="AL106" s="125" t="s">
        <v>340</v>
      </c>
      <c r="AM106" s="128">
        <v>604431000</v>
      </c>
      <c r="AN106" s="128">
        <v>511976000</v>
      </c>
      <c r="AO106" s="128">
        <v>457691000</v>
      </c>
      <c r="AP106" s="128">
        <v>452199000</v>
      </c>
      <c r="AQ106" s="128">
        <v>1110000</v>
      </c>
      <c r="AR106" s="128">
        <v>11454000</v>
      </c>
      <c r="AS106" s="128">
        <v>233000</v>
      </c>
      <c r="AT106" s="128">
        <v>400000</v>
      </c>
      <c r="AU106" s="128">
        <v>-200857000</v>
      </c>
      <c r="AV106" s="128">
        <v>-218048000</v>
      </c>
      <c r="AW106" s="128">
        <v>-209979000</v>
      </c>
      <c r="AX106" s="128">
        <v>-202436000</v>
      </c>
      <c r="AY106" s="128">
        <v>-99632000</v>
      </c>
      <c r="AZ106" s="128">
        <v>-75681000</v>
      </c>
      <c r="BA106" s="128">
        <v>-69150000</v>
      </c>
      <c r="BB106" s="128">
        <v>-66862000</v>
      </c>
      <c r="BC106" s="128">
        <v>-141028000</v>
      </c>
      <c r="BD106" s="128">
        <v>-92375000</v>
      </c>
      <c r="BE106" s="128">
        <v>-84362000</v>
      </c>
      <c r="BF106" s="128">
        <v>-84920000</v>
      </c>
      <c r="BG106" s="128">
        <v>164024000</v>
      </c>
      <c r="BH106" s="128">
        <v>137326000</v>
      </c>
      <c r="BI106" s="128">
        <v>94433000</v>
      </c>
      <c r="BJ106" s="128">
        <v>98381000</v>
      </c>
      <c r="BK106" s="128">
        <v>-29582000</v>
      </c>
      <c r="BL106" s="128">
        <v>-32901000</v>
      </c>
      <c r="BM106" s="128">
        <v>-33192000</v>
      </c>
      <c r="BN106" s="128">
        <v>-32491000</v>
      </c>
      <c r="BO106" s="128">
        <v>-28713000</v>
      </c>
      <c r="BP106" s="128">
        <v>-31870000</v>
      </c>
      <c r="BQ106" s="128">
        <v>-32030000</v>
      </c>
      <c r="BR106" s="128">
        <v>-31478000</v>
      </c>
      <c r="BS106" s="128">
        <v>-869000</v>
      </c>
      <c r="BT106" s="128">
        <v>-1031000</v>
      </c>
      <c r="BU106" s="128">
        <v>-1162000</v>
      </c>
      <c r="BV106" s="128">
        <v>-1013000</v>
      </c>
      <c r="BW106" s="128">
        <v>139404000</v>
      </c>
      <c r="BX106" s="128">
        <v>87667000</v>
      </c>
      <c r="BY106" s="128">
        <v>63311000</v>
      </c>
      <c r="BZ106" s="128">
        <v>60111000</v>
      </c>
      <c r="CA106" s="128">
        <v>993246000</v>
      </c>
      <c r="CB106" s="128">
        <v>783553000</v>
      </c>
      <c r="CC106" s="128">
        <v>432058000</v>
      </c>
      <c r="CD106" s="128">
        <v>640152000</v>
      </c>
      <c r="CE106" s="128">
        <v>75272000</v>
      </c>
      <c r="CF106" s="128">
        <v>78954000</v>
      </c>
      <c r="CG106" s="128">
        <v>86984000</v>
      </c>
      <c r="CH106" s="128">
        <v>88115000</v>
      </c>
      <c r="CI106" s="128">
        <v>57928000</v>
      </c>
      <c r="CJ106" s="128">
        <v>45625000</v>
      </c>
      <c r="CK106" s="128">
        <v>52902000</v>
      </c>
      <c r="CL106" s="128">
        <v>58235000</v>
      </c>
      <c r="CM106" s="128">
        <v>43233000</v>
      </c>
      <c r="CN106" s="128">
        <v>69037000</v>
      </c>
      <c r="CO106" s="128">
        <v>69275000</v>
      </c>
      <c r="CP106" s="128">
        <v>61110000</v>
      </c>
      <c r="CQ106" s="128">
        <v>801264000</v>
      </c>
      <c r="CR106" s="128">
        <v>540177000</v>
      </c>
      <c r="CS106" s="128">
        <v>222897000</v>
      </c>
      <c r="CT106" s="128">
        <v>432692000</v>
      </c>
      <c r="CU106" s="128">
        <v>10316000</v>
      </c>
      <c r="CV106" s="128">
        <v>26872000</v>
      </c>
      <c r="CW106" s="128">
        <v>13135000</v>
      </c>
      <c r="CX106" s="128">
        <v>165049000</v>
      </c>
      <c r="CY106" s="128">
        <v>51301000</v>
      </c>
      <c r="CZ106" s="128">
        <v>48661000</v>
      </c>
      <c r="DA106" s="128">
        <v>52679000</v>
      </c>
      <c r="DB106" s="128">
        <v>46559000</v>
      </c>
      <c r="DC106" s="128">
        <v>1447723000</v>
      </c>
      <c r="DD106" s="128">
        <v>1265184000</v>
      </c>
      <c r="DE106" s="128">
        <v>956470000</v>
      </c>
      <c r="DF106" s="128">
        <v>1185486000</v>
      </c>
      <c r="DG106" s="16">
        <f t="shared" si="46"/>
        <v>604431000</v>
      </c>
      <c r="DH106" s="16">
        <f t="shared" si="47"/>
        <v>-200857000</v>
      </c>
      <c r="DI106" s="16">
        <f t="shared" si="48"/>
        <v>-240660000</v>
      </c>
      <c r="DJ106" s="16">
        <f t="shared" si="49"/>
        <v>-29582000</v>
      </c>
      <c r="DK106" s="16">
        <f t="shared" si="50"/>
        <v>133332000</v>
      </c>
      <c r="DL106" s="57">
        <f t="shared" si="51"/>
        <v>0.22059093593809714</v>
      </c>
      <c r="DM106" s="57">
        <f t="shared" si="52"/>
        <v>0.28302331357103283</v>
      </c>
      <c r="DN106" s="58">
        <f t="shared" si="53"/>
        <v>-99632000</v>
      </c>
      <c r="DO106" s="16">
        <f t="shared" si="54"/>
        <v>77113000</v>
      </c>
      <c r="DP106" s="16">
        <f t="shared" si="55"/>
        <v>49981000</v>
      </c>
      <c r="DQ106" s="61"/>
      <c r="DR106" s="62">
        <f t="shared" si="56"/>
        <v>511976000</v>
      </c>
      <c r="DS106" s="62">
        <f t="shared" si="57"/>
        <v>-218048000</v>
      </c>
      <c r="DT106" s="62">
        <f t="shared" si="58"/>
        <v>-168056000</v>
      </c>
      <c r="DU106" s="62">
        <f t="shared" si="59"/>
        <v>-32901000</v>
      </c>
      <c r="DV106" s="62">
        <f t="shared" si="60"/>
        <v>92971000</v>
      </c>
      <c r="DW106" s="63">
        <f t="shared" si="61"/>
        <v>0.18159249652327453</v>
      </c>
      <c r="DX106" s="63">
        <f t="shared" si="62"/>
        <v>0.22188518036777605</v>
      </c>
      <c r="DY106" s="64">
        <f t="shared" si="63"/>
        <v>-75681000</v>
      </c>
      <c r="DZ106" s="64">
        <f t="shared" si="64"/>
        <v>82969000</v>
      </c>
      <c r="EA106" s="64">
        <f t="shared" si="65"/>
        <v>50670000</v>
      </c>
      <c r="EB106" s="61"/>
      <c r="EC106" s="64">
        <f t="shared" si="66"/>
        <v>457691000</v>
      </c>
      <c r="ED106" s="64">
        <f t="shared" si="67"/>
        <v>-209979000</v>
      </c>
      <c r="EE106" s="64">
        <f t="shared" si="68"/>
        <v>-153512000</v>
      </c>
      <c r="EF106" s="64">
        <f t="shared" si="69"/>
        <v>-33192000</v>
      </c>
      <c r="EG106" s="64">
        <f t="shared" si="70"/>
        <v>61008000</v>
      </c>
      <c r="EH106" s="63">
        <f t="shared" si="71"/>
        <v>0.13329517075931141</v>
      </c>
      <c r="EI106" s="57">
        <f t="shared" si="72"/>
        <v>0.15379534792264857</v>
      </c>
      <c r="EJ106" s="64">
        <f t="shared" si="73"/>
        <v>-69150000</v>
      </c>
      <c r="EK106" s="64">
        <f t="shared" si="74"/>
        <v>87549500</v>
      </c>
      <c r="EL106" s="64">
        <f t="shared" si="75"/>
        <v>49619000</v>
      </c>
      <c r="EM106" s="61"/>
      <c r="EN106" s="66">
        <f t="shared" si="76"/>
        <v>524699333.33333331</v>
      </c>
      <c r="EO106" s="66">
        <f t="shared" si="76"/>
        <v>-209628000</v>
      </c>
      <c r="EP106" s="66">
        <f t="shared" si="76"/>
        <v>-187409333.33333334</v>
      </c>
      <c r="EQ106" s="66">
        <f t="shared" si="43"/>
        <v>-31891666.666666668</v>
      </c>
      <c r="ER106" s="66">
        <f t="shared" si="77"/>
        <v>95770333.333333299</v>
      </c>
      <c r="ES106" s="63">
        <f t="shared" si="78"/>
        <v>0.18252421386724327</v>
      </c>
      <c r="ET106" s="67">
        <f t="shared" si="79"/>
        <v>0.22327782298080401</v>
      </c>
      <c r="EU106" s="66">
        <f t="shared" si="80"/>
        <v>81487666.666666672</v>
      </c>
      <c r="EV106" s="66">
        <f t="shared" si="81"/>
        <v>82543833.333333328</v>
      </c>
      <c r="EW106" s="66">
        <f t="shared" si="81"/>
        <v>50090000</v>
      </c>
      <c r="EX106" s="70"/>
      <c r="EY106" s="71" t="str">
        <f t="shared" si="82"/>
        <v>完整</v>
      </c>
      <c r="EZ106" s="71" t="str">
        <f t="shared" si="83"/>
        <v>完整</v>
      </c>
      <c r="FA106" s="71" t="str">
        <f t="shared" si="84"/>
        <v>完整</v>
      </c>
      <c r="FB106" s="71" t="str">
        <f t="shared" si="85"/>
        <v>选择</v>
      </c>
      <c r="FC106" s="71" t="str">
        <f t="shared" si="86"/>
        <v>选择</v>
      </c>
      <c r="FD106" s="72"/>
      <c r="FE106" s="72"/>
      <c r="FF106" s="72"/>
      <c r="FG106" s="72"/>
      <c r="FH106" s="72"/>
      <c r="FI106" s="72"/>
      <c r="FJ106" s="72"/>
      <c r="FK106" s="72"/>
      <c r="FL106" s="72"/>
      <c r="FM106" s="72"/>
      <c r="FN106" s="72"/>
      <c r="FO106" s="72"/>
      <c r="FP106" s="72"/>
      <c r="FQ106" s="72"/>
      <c r="FR106" s="72"/>
      <c r="FS106" s="72"/>
      <c r="FT106" s="72"/>
      <c r="FU106" s="72"/>
      <c r="FV106" s="72"/>
      <c r="FW106" s="72"/>
      <c r="FX106" s="72"/>
      <c r="FY106" s="72"/>
      <c r="FZ106" s="72"/>
      <c r="GA106" s="72"/>
      <c r="GB106" s="72"/>
      <c r="GC106" s="72"/>
      <c r="GD106" s="72"/>
      <c r="GE106" s="72"/>
      <c r="GF106" s="72"/>
      <c r="GG106" s="72"/>
      <c r="GH106" s="72"/>
      <c r="GI106" s="72"/>
      <c r="GJ106" s="72"/>
      <c r="GK106" s="72"/>
      <c r="GL106" s="72"/>
      <c r="GM106" s="72"/>
      <c r="GN106" s="72"/>
      <c r="GO106" s="72"/>
      <c r="GP106" s="72"/>
      <c r="GQ106" s="72"/>
      <c r="GR106" s="72"/>
      <c r="GS106" s="72"/>
      <c r="GT106" s="72"/>
      <c r="GU106" s="72"/>
      <c r="GV106" s="72"/>
      <c r="GW106" s="72"/>
      <c r="GX106" s="72"/>
      <c r="GY106" s="72"/>
      <c r="GZ106" s="72"/>
      <c r="HA106" s="72"/>
      <c r="HB106" s="72"/>
      <c r="HC106" s="72"/>
      <c r="HD106" s="72"/>
      <c r="HE106" s="72"/>
      <c r="HF106" s="72"/>
      <c r="HG106" s="72"/>
      <c r="HH106" s="72"/>
      <c r="HI106" s="72"/>
    </row>
    <row r="107" spans="1:218" s="3" customFormat="1" ht="12.75" customHeight="1" x14ac:dyDescent="0.25">
      <c r="A107" s="28" t="s">
        <v>271</v>
      </c>
      <c r="B107" s="134" t="str">
        <f t="shared" si="44"/>
        <v>MAO BAO INC.</v>
      </c>
      <c r="C107" s="29" t="s">
        <v>328</v>
      </c>
      <c r="D107" s="136" t="s">
        <v>309</v>
      </c>
      <c r="E107" s="35"/>
      <c r="F107" s="34"/>
      <c r="H107" s="31" t="str">
        <f t="shared" si="45"/>
        <v xml:space="preserve"> </v>
      </c>
      <c r="I107" s="29"/>
      <c r="J107" s="29" t="str">
        <f>VLOOKUP(Z:Z,'[1]AP 2022'!FD106:FF181,2,FALSE)</f>
        <v>exclude</v>
      </c>
      <c r="K107" s="47" t="str">
        <f>VLOOKUP(Z:Z,'[1]AP 2022'!FD106:FF181,3,0)</f>
        <v>Independence(A+, A, A-, U)</v>
      </c>
      <c r="L107" s="48"/>
      <c r="M107" s="125" t="s">
        <v>1138</v>
      </c>
      <c r="N107" s="125" t="s">
        <v>1139</v>
      </c>
      <c r="O107" s="125" t="s">
        <v>381</v>
      </c>
      <c r="P107" s="125" t="s">
        <v>1140</v>
      </c>
      <c r="Q107" s="124"/>
      <c r="R107" s="125" t="s">
        <v>842</v>
      </c>
      <c r="S107" s="125" t="s">
        <v>1141</v>
      </c>
      <c r="T107" s="125" t="s">
        <v>899</v>
      </c>
      <c r="U107" s="125" t="s">
        <v>321</v>
      </c>
      <c r="V107" s="125" t="s">
        <v>1142</v>
      </c>
      <c r="W107" s="125" t="s">
        <v>1143</v>
      </c>
      <c r="X107" s="124"/>
      <c r="Y107" s="124"/>
      <c r="Z107" s="125" t="s">
        <v>1144</v>
      </c>
      <c r="AA107" s="128">
        <v>587872000</v>
      </c>
      <c r="AB107" s="128">
        <v>622539000</v>
      </c>
      <c r="AC107" s="128">
        <v>622858000</v>
      </c>
      <c r="AD107" s="128">
        <v>596678000</v>
      </c>
      <c r="AE107" s="128">
        <v>587101000</v>
      </c>
      <c r="AF107" s="128">
        <v>619352000</v>
      </c>
      <c r="AG107" s="128">
        <v>620713000</v>
      </c>
      <c r="AH107" s="128">
        <v>596066000</v>
      </c>
      <c r="AI107" s="125" t="s">
        <v>340</v>
      </c>
      <c r="AJ107" s="125" t="s">
        <v>340</v>
      </c>
      <c r="AK107" s="125" t="s">
        <v>340</v>
      </c>
      <c r="AL107" s="125" t="s">
        <v>340</v>
      </c>
      <c r="AM107" s="128">
        <v>587101000</v>
      </c>
      <c r="AN107" s="128">
        <v>619352000</v>
      </c>
      <c r="AO107" s="128">
        <v>620713000</v>
      </c>
      <c r="AP107" s="128">
        <v>596066000</v>
      </c>
      <c r="AQ107" s="128">
        <v>771000</v>
      </c>
      <c r="AR107" s="128">
        <v>3187000</v>
      </c>
      <c r="AS107" s="128">
        <v>2145000</v>
      </c>
      <c r="AT107" s="128">
        <v>612000</v>
      </c>
      <c r="AU107" s="128">
        <v>-351614000</v>
      </c>
      <c r="AV107" s="128">
        <v>-361567000</v>
      </c>
      <c r="AW107" s="128">
        <v>-331746000</v>
      </c>
      <c r="AX107" s="128">
        <v>-322418000</v>
      </c>
      <c r="AY107" s="128">
        <v>-6107000</v>
      </c>
      <c r="AZ107" s="128">
        <v>-4292000</v>
      </c>
      <c r="BA107" s="128">
        <v>-6925000</v>
      </c>
      <c r="BB107" s="128">
        <v>-4425000</v>
      </c>
      <c r="BC107" s="128">
        <v>-220168000</v>
      </c>
      <c r="BD107" s="128">
        <v>-224405000</v>
      </c>
      <c r="BE107" s="128">
        <v>-225618000</v>
      </c>
      <c r="BF107" s="128">
        <v>-230556000</v>
      </c>
      <c r="BG107" s="128">
        <v>9983000</v>
      </c>
      <c r="BH107" s="128">
        <v>32275000</v>
      </c>
      <c r="BI107" s="128">
        <v>58569000</v>
      </c>
      <c r="BJ107" s="128">
        <v>39279000</v>
      </c>
      <c r="BK107" s="128">
        <v>-12943000</v>
      </c>
      <c r="BL107" s="128">
        <v>-11759000</v>
      </c>
      <c r="BM107" s="128">
        <v>-9719000</v>
      </c>
      <c r="BN107" s="128">
        <v>-9734000</v>
      </c>
      <c r="BO107" s="128">
        <v>-12171000</v>
      </c>
      <c r="BP107" s="128">
        <v>-11006000</v>
      </c>
      <c r="BQ107" s="128">
        <v>-8888000</v>
      </c>
      <c r="BR107" s="128">
        <v>-9022000</v>
      </c>
      <c r="BS107" s="128">
        <v>-772000</v>
      </c>
      <c r="BT107" s="128">
        <v>-753000</v>
      </c>
      <c r="BU107" s="128">
        <v>-831000</v>
      </c>
      <c r="BV107" s="128">
        <v>-712000</v>
      </c>
      <c r="BW107" s="128">
        <v>5167000</v>
      </c>
      <c r="BX107" s="128">
        <v>19409000</v>
      </c>
      <c r="BY107" s="128">
        <v>38595000</v>
      </c>
      <c r="BZ107" s="128">
        <v>24858000</v>
      </c>
      <c r="CA107" s="128">
        <v>427953000</v>
      </c>
      <c r="CB107" s="128">
        <v>456183000</v>
      </c>
      <c r="CC107" s="128">
        <v>437452000</v>
      </c>
      <c r="CD107" s="128">
        <v>376327000</v>
      </c>
      <c r="CE107" s="128">
        <v>106189000</v>
      </c>
      <c r="CF107" s="128">
        <v>118358000</v>
      </c>
      <c r="CG107" s="128">
        <v>113013000</v>
      </c>
      <c r="CH107" s="128">
        <v>97573000</v>
      </c>
      <c r="CI107" s="128">
        <v>86398000</v>
      </c>
      <c r="CJ107" s="128">
        <v>104953000</v>
      </c>
      <c r="CK107" s="128">
        <v>98548000</v>
      </c>
      <c r="CL107" s="128">
        <v>95039000</v>
      </c>
      <c r="CM107" s="128">
        <v>16112000</v>
      </c>
      <c r="CN107" s="128">
        <v>12142000</v>
      </c>
      <c r="CO107" s="128">
        <v>12811000</v>
      </c>
      <c r="CP107" s="128">
        <v>10995000</v>
      </c>
      <c r="CQ107" s="128">
        <v>219254000</v>
      </c>
      <c r="CR107" s="128">
        <v>220730000</v>
      </c>
      <c r="CS107" s="128">
        <v>213080000</v>
      </c>
      <c r="CT107" s="128">
        <v>172720000</v>
      </c>
      <c r="CU107" s="128">
        <v>89999000</v>
      </c>
      <c r="CV107" s="128">
        <v>55360000</v>
      </c>
      <c r="CW107" s="128">
        <v>14240000</v>
      </c>
      <c r="CX107" s="128">
        <v>0</v>
      </c>
      <c r="CY107" s="125" t="s">
        <v>340</v>
      </c>
      <c r="CZ107" s="125" t="s">
        <v>340</v>
      </c>
      <c r="DA107" s="125" t="s">
        <v>340</v>
      </c>
      <c r="DB107" s="125" t="s">
        <v>340</v>
      </c>
      <c r="DC107" s="128">
        <v>654088000</v>
      </c>
      <c r="DD107" s="128">
        <v>669827000</v>
      </c>
      <c r="DE107" s="128">
        <v>650622000</v>
      </c>
      <c r="DF107" s="128">
        <v>595720000</v>
      </c>
      <c r="DG107" s="16">
        <f t="shared" si="46"/>
        <v>587101000</v>
      </c>
      <c r="DH107" s="16">
        <f t="shared" si="47"/>
        <v>-351614000</v>
      </c>
      <c r="DI107" s="16">
        <f t="shared" si="48"/>
        <v>-226275000</v>
      </c>
      <c r="DJ107" s="16">
        <f t="shared" si="49"/>
        <v>-12943000</v>
      </c>
      <c r="DK107" s="16">
        <f t="shared" si="50"/>
        <v>-3731000</v>
      </c>
      <c r="DL107" s="57">
        <f t="shared" si="51"/>
        <v>-6.3549542582962727E-3</v>
      </c>
      <c r="DM107" s="57">
        <f t="shared" si="52"/>
        <v>-6.3148238416334927E-3</v>
      </c>
      <c r="DN107" s="58">
        <f t="shared" si="53"/>
        <v>-6107000</v>
      </c>
      <c r="DO107" s="16">
        <f t="shared" si="54"/>
        <v>112273500</v>
      </c>
      <c r="DP107" s="16" t="e">
        <f t="shared" si="55"/>
        <v>#VALUE!</v>
      </c>
      <c r="DQ107" s="61"/>
      <c r="DR107" s="62">
        <f t="shared" si="56"/>
        <v>619352000</v>
      </c>
      <c r="DS107" s="62">
        <f t="shared" si="57"/>
        <v>-361567000</v>
      </c>
      <c r="DT107" s="62">
        <f t="shared" si="58"/>
        <v>-228697000</v>
      </c>
      <c r="DU107" s="62">
        <f t="shared" si="59"/>
        <v>-11759000</v>
      </c>
      <c r="DV107" s="62">
        <f t="shared" si="60"/>
        <v>17329000</v>
      </c>
      <c r="DW107" s="63">
        <f t="shared" si="61"/>
        <v>2.7979242821529599E-2</v>
      </c>
      <c r="DX107" s="63">
        <f t="shared" si="62"/>
        <v>2.87846145413049E-2</v>
      </c>
      <c r="DY107" s="64">
        <f t="shared" si="63"/>
        <v>-4292000</v>
      </c>
      <c r="DZ107" s="64">
        <f t="shared" si="64"/>
        <v>115685500</v>
      </c>
      <c r="EA107" s="64" t="e">
        <f t="shared" si="65"/>
        <v>#VALUE!</v>
      </c>
      <c r="EB107" s="61"/>
      <c r="EC107" s="64">
        <f t="shared" si="66"/>
        <v>620713000</v>
      </c>
      <c r="ED107" s="64">
        <f t="shared" si="67"/>
        <v>-331746000</v>
      </c>
      <c r="EE107" s="64">
        <f t="shared" si="68"/>
        <v>-232543000</v>
      </c>
      <c r="EF107" s="64">
        <f t="shared" si="69"/>
        <v>-9719000</v>
      </c>
      <c r="EG107" s="64">
        <f t="shared" si="70"/>
        <v>46705000</v>
      </c>
      <c r="EH107" s="63">
        <f t="shared" si="71"/>
        <v>7.5244114429696168E-2</v>
      </c>
      <c r="EI107" s="57">
        <f t="shared" si="72"/>
        <v>8.1366461791473291E-2</v>
      </c>
      <c r="EJ107" s="64">
        <f t="shared" si="73"/>
        <v>-6925000</v>
      </c>
      <c r="EK107" s="64">
        <f t="shared" si="74"/>
        <v>105293000</v>
      </c>
      <c r="EL107" s="64" t="e">
        <f t="shared" si="75"/>
        <v>#VALUE!</v>
      </c>
      <c r="EM107" s="61"/>
      <c r="EN107" s="66">
        <f t="shared" si="76"/>
        <v>609055333.33333337</v>
      </c>
      <c r="EO107" s="66">
        <f t="shared" si="76"/>
        <v>-348309000</v>
      </c>
      <c r="EP107" s="66">
        <f t="shared" si="76"/>
        <v>-229171666.66666666</v>
      </c>
      <c r="EQ107" s="66">
        <f t="shared" si="43"/>
        <v>-11473666.666666666</v>
      </c>
      <c r="ER107" s="66">
        <f t="shared" si="77"/>
        <v>20101000.000000052</v>
      </c>
      <c r="ES107" s="63">
        <f t="shared" si="78"/>
        <v>3.3003569462216435E-2</v>
      </c>
      <c r="ET107" s="67">
        <f t="shared" si="79"/>
        <v>3.4129980649320386E-2</v>
      </c>
      <c r="EU107" s="66">
        <f t="shared" si="80"/>
        <v>5774666.666666667</v>
      </c>
      <c r="EV107" s="66">
        <f t="shared" si="81"/>
        <v>111084000</v>
      </c>
      <c r="EW107" s="66" t="e">
        <f t="shared" si="81"/>
        <v>#VALUE!</v>
      </c>
      <c r="EX107" s="70"/>
      <c r="EY107" s="71" t="str">
        <f t="shared" si="82"/>
        <v>完整</v>
      </c>
      <c r="EZ107" s="71" t="str">
        <f t="shared" si="83"/>
        <v>完整</v>
      </c>
      <c r="FA107" s="71" t="str">
        <f t="shared" si="84"/>
        <v>完整</v>
      </c>
      <c r="FB107" s="71" t="str">
        <f t="shared" si="85"/>
        <v>选择</v>
      </c>
      <c r="FC107" s="71" t="str">
        <f t="shared" si="86"/>
        <v>选择</v>
      </c>
    </row>
    <row r="108" spans="1:218" s="3" customFormat="1" ht="12.75" customHeight="1" x14ac:dyDescent="0.25">
      <c r="A108" s="28" t="s">
        <v>272</v>
      </c>
      <c r="B108" s="134" t="str">
        <f t="shared" si="44"/>
        <v>PT MUSTIKA RATU TBK</v>
      </c>
      <c r="C108" s="29" t="s">
        <v>328</v>
      </c>
      <c r="D108" s="136" t="s">
        <v>309</v>
      </c>
      <c r="E108" s="35"/>
      <c r="F108" s="34"/>
      <c r="H108" s="31" t="str">
        <f t="shared" si="45"/>
        <v xml:space="preserve"> </v>
      </c>
      <c r="I108" s="29"/>
      <c r="J108" s="29" t="str">
        <f>VLOOKUP(Z:Z,'[1]AP 2022'!FD107:FF181,2,FALSE)</f>
        <v>exclude</v>
      </c>
      <c r="K108" s="47" t="str">
        <f>VLOOKUP(Z:Z,'[1]AP 2022'!FD107:FF181,3,0)</f>
        <v>Independence(A+, A, A-, U)</v>
      </c>
      <c r="L108" s="48"/>
      <c r="M108" s="125" t="s">
        <v>1145</v>
      </c>
      <c r="N108" s="125" t="s">
        <v>1146</v>
      </c>
      <c r="O108" s="125" t="s">
        <v>381</v>
      </c>
      <c r="P108" s="125" t="s">
        <v>1147</v>
      </c>
      <c r="Q108" s="124"/>
      <c r="R108" s="125" t="s">
        <v>399</v>
      </c>
      <c r="S108" s="125" t="s">
        <v>1148</v>
      </c>
      <c r="T108" s="125" t="s">
        <v>374</v>
      </c>
      <c r="U108" s="125" t="s">
        <v>321</v>
      </c>
      <c r="V108" s="125" t="s">
        <v>1149</v>
      </c>
      <c r="W108" s="125" t="s">
        <v>1150</v>
      </c>
      <c r="X108" s="124"/>
      <c r="Y108" s="124"/>
      <c r="Z108" s="125" t="s">
        <v>1151</v>
      </c>
      <c r="AA108" s="128">
        <v>285382321000</v>
      </c>
      <c r="AB108" s="128">
        <v>327784914000</v>
      </c>
      <c r="AC108" s="128">
        <v>319864487000</v>
      </c>
      <c r="AD108" s="128">
        <v>306216034000</v>
      </c>
      <c r="AE108" s="128">
        <v>358776499000</v>
      </c>
      <c r="AF108" s="128">
        <v>413471184000</v>
      </c>
      <c r="AG108" s="128">
        <v>439381137000</v>
      </c>
      <c r="AH108" s="128">
        <v>418930089000</v>
      </c>
      <c r="AI108" s="128">
        <v>-73598932000</v>
      </c>
      <c r="AJ108" s="128">
        <v>-86676613000</v>
      </c>
      <c r="AK108" s="128">
        <v>-120972638000</v>
      </c>
      <c r="AL108" s="128">
        <v>-113705511000</v>
      </c>
      <c r="AM108" s="128">
        <v>285177567000</v>
      </c>
      <c r="AN108" s="128">
        <v>326794571000</v>
      </c>
      <c r="AO108" s="128">
        <v>318408499000</v>
      </c>
      <c r="AP108" s="128">
        <v>305224578000</v>
      </c>
      <c r="AQ108" s="128">
        <v>204754000</v>
      </c>
      <c r="AR108" s="128">
        <v>990343000</v>
      </c>
      <c r="AS108" s="128">
        <v>1455988000</v>
      </c>
      <c r="AT108" s="128">
        <v>991456000</v>
      </c>
      <c r="AU108" s="128">
        <v>-146157612000</v>
      </c>
      <c r="AV108" s="128">
        <v>-127124044000</v>
      </c>
      <c r="AW108" s="128">
        <v>-110887826000</v>
      </c>
      <c r="AX108" s="128">
        <v>-117616997000</v>
      </c>
      <c r="AY108" s="128">
        <v>0</v>
      </c>
      <c r="AZ108" s="128">
        <v>0</v>
      </c>
      <c r="BA108" s="128">
        <v>0</v>
      </c>
      <c r="BB108" s="128">
        <v>0</v>
      </c>
      <c r="BC108" s="128">
        <v>-198035576000</v>
      </c>
      <c r="BD108" s="128">
        <v>-156995036000</v>
      </c>
      <c r="BE108" s="128">
        <v>-188336409000</v>
      </c>
      <c r="BF108" s="128">
        <v>-172330601000</v>
      </c>
      <c r="BG108" s="128">
        <v>-58810867000</v>
      </c>
      <c r="BH108" s="128">
        <v>43665834000</v>
      </c>
      <c r="BI108" s="128">
        <v>20640252000</v>
      </c>
      <c r="BJ108" s="128">
        <v>16268436000</v>
      </c>
      <c r="BK108" s="128">
        <v>-4768504000</v>
      </c>
      <c r="BL108" s="128">
        <v>-5730571000</v>
      </c>
      <c r="BM108" s="128">
        <v>-5525576000</v>
      </c>
      <c r="BN108" s="128">
        <v>-6197966000</v>
      </c>
      <c r="BO108" s="128">
        <v>-4768504000</v>
      </c>
      <c r="BP108" s="128">
        <v>-5730571000</v>
      </c>
      <c r="BQ108" s="128">
        <v>-5525576000</v>
      </c>
      <c r="BR108" s="128">
        <v>-6197966000</v>
      </c>
      <c r="BS108" s="128">
        <v>0</v>
      </c>
      <c r="BT108" s="128">
        <v>0</v>
      </c>
      <c r="BU108" s="128">
        <v>0</v>
      </c>
      <c r="BV108" s="128">
        <v>0</v>
      </c>
      <c r="BW108" s="128">
        <v>67833011000</v>
      </c>
      <c r="BX108" s="128">
        <v>358127000</v>
      </c>
      <c r="BY108" s="128">
        <v>-6766210000</v>
      </c>
      <c r="BZ108" s="128">
        <v>131182000</v>
      </c>
      <c r="CA108" s="128">
        <v>586852139000</v>
      </c>
      <c r="CB108" s="128">
        <v>459338630000</v>
      </c>
      <c r="CC108" s="128">
        <v>432576455000</v>
      </c>
      <c r="CD108" s="128">
        <v>412707718000</v>
      </c>
      <c r="CE108" s="128">
        <v>206648966000</v>
      </c>
      <c r="CF108" s="128">
        <v>190870626000</v>
      </c>
      <c r="CG108" s="128">
        <v>146622902000</v>
      </c>
      <c r="CH108" s="128">
        <v>128353150000</v>
      </c>
      <c r="CI108" s="128">
        <v>166316482000</v>
      </c>
      <c r="CJ108" s="128">
        <v>212825582000</v>
      </c>
      <c r="CK108" s="128">
        <v>215136542000</v>
      </c>
      <c r="CL108" s="128">
        <v>214230985000</v>
      </c>
      <c r="CM108" s="128">
        <v>10579327000</v>
      </c>
      <c r="CN108" s="128">
        <v>12994706000</v>
      </c>
      <c r="CO108" s="128">
        <v>20631043000</v>
      </c>
      <c r="CP108" s="128">
        <v>22174549000</v>
      </c>
      <c r="CQ108" s="128">
        <v>177143354000</v>
      </c>
      <c r="CR108" s="128">
        <v>8693405000</v>
      </c>
      <c r="CS108" s="128">
        <v>11695695000</v>
      </c>
      <c r="CT108" s="128">
        <v>10099506000</v>
      </c>
      <c r="CU108" s="125" t="s">
        <v>340</v>
      </c>
      <c r="CV108" s="125" t="s">
        <v>340</v>
      </c>
      <c r="CW108" s="125" t="s">
        <v>340</v>
      </c>
      <c r="CX108" s="125" t="s">
        <v>340</v>
      </c>
      <c r="CY108" s="128">
        <v>45471198000</v>
      </c>
      <c r="CZ108" s="128">
        <v>45106339000</v>
      </c>
      <c r="DA108" s="128">
        <v>44037927000</v>
      </c>
      <c r="DB108" s="128">
        <v>42558911000</v>
      </c>
      <c r="DC108" s="128">
        <v>694780598000</v>
      </c>
      <c r="DD108" s="128">
        <v>578260976000</v>
      </c>
      <c r="DE108" s="128">
        <v>559795937000</v>
      </c>
      <c r="DF108" s="128">
        <v>532762948000</v>
      </c>
      <c r="DG108" s="16">
        <f t="shared" si="46"/>
        <v>285177567000</v>
      </c>
      <c r="DH108" s="16">
        <f t="shared" si="47"/>
        <v>-146157612000</v>
      </c>
      <c r="DI108" s="16">
        <f t="shared" si="48"/>
        <v>-198035576000</v>
      </c>
      <c r="DJ108" s="16">
        <f t="shared" si="49"/>
        <v>-4768504000</v>
      </c>
      <c r="DK108" s="16">
        <f t="shared" si="50"/>
        <v>-63784125000</v>
      </c>
      <c r="DL108" s="57">
        <f t="shared" si="51"/>
        <v>-0.22366459490833654</v>
      </c>
      <c r="DM108" s="57">
        <f t="shared" si="52"/>
        <v>-0.18278259895644935</v>
      </c>
      <c r="DN108" s="58">
        <f t="shared" si="53"/>
        <v>0</v>
      </c>
      <c r="DO108" s="16">
        <f t="shared" si="54"/>
        <v>198759796000</v>
      </c>
      <c r="DP108" s="16">
        <f t="shared" si="55"/>
        <v>45288768500</v>
      </c>
      <c r="DQ108" s="61"/>
      <c r="DR108" s="62">
        <f t="shared" si="56"/>
        <v>326794571000</v>
      </c>
      <c r="DS108" s="62">
        <f t="shared" si="57"/>
        <v>-127124044000</v>
      </c>
      <c r="DT108" s="62">
        <f t="shared" si="58"/>
        <v>-156995036000</v>
      </c>
      <c r="DU108" s="62">
        <f t="shared" si="59"/>
        <v>-5730571000</v>
      </c>
      <c r="DV108" s="62">
        <f t="shared" si="60"/>
        <v>36944920000</v>
      </c>
      <c r="DW108" s="63">
        <f t="shared" si="61"/>
        <v>0.11305242889117641</v>
      </c>
      <c r="DX108" s="63">
        <f t="shared" si="62"/>
        <v>0.12746235806231831</v>
      </c>
      <c r="DY108" s="64">
        <f t="shared" si="63"/>
        <v>0</v>
      </c>
      <c r="DZ108" s="64">
        <f t="shared" si="64"/>
        <v>168746764000</v>
      </c>
      <c r="EA108" s="64">
        <f t="shared" si="65"/>
        <v>44572133000</v>
      </c>
      <c r="EB108" s="61"/>
      <c r="EC108" s="64">
        <f t="shared" si="66"/>
        <v>318408499000</v>
      </c>
      <c r="ED108" s="64">
        <f t="shared" si="67"/>
        <v>-110887826000</v>
      </c>
      <c r="EE108" s="64">
        <f t="shared" si="68"/>
        <v>-188336409000</v>
      </c>
      <c r="EF108" s="64">
        <f t="shared" si="69"/>
        <v>-5525576000</v>
      </c>
      <c r="EG108" s="64">
        <f t="shared" si="70"/>
        <v>13658688000</v>
      </c>
      <c r="EH108" s="63">
        <f t="shared" si="71"/>
        <v>4.2896744411335577E-2</v>
      </c>
      <c r="EI108" s="57">
        <f t="shared" si="72"/>
        <v>4.4819348550801892E-2</v>
      </c>
      <c r="EJ108" s="64">
        <f t="shared" si="73"/>
        <v>0</v>
      </c>
      <c r="EK108" s="64">
        <f t="shared" si="74"/>
        <v>137488026000</v>
      </c>
      <c r="EL108" s="64">
        <f t="shared" si="75"/>
        <v>43298419000</v>
      </c>
      <c r="EM108" s="61"/>
      <c r="EN108" s="66">
        <f t="shared" si="76"/>
        <v>310126879000</v>
      </c>
      <c r="EO108" s="66">
        <f t="shared" si="76"/>
        <v>-128056494000</v>
      </c>
      <c r="EP108" s="66">
        <f t="shared" si="76"/>
        <v>-181122340333.33334</v>
      </c>
      <c r="EQ108" s="66">
        <f t="shared" si="43"/>
        <v>-5341550333.333333</v>
      </c>
      <c r="ER108" s="66">
        <f t="shared" si="77"/>
        <v>-4393505666.6666765</v>
      </c>
      <c r="ES108" s="63">
        <f t="shared" si="78"/>
        <v>-1.4166800636028315E-2</v>
      </c>
      <c r="ET108" s="67">
        <f t="shared" si="79"/>
        <v>-1.3968905930605987E-2</v>
      </c>
      <c r="EU108" s="66">
        <f t="shared" si="80"/>
        <v>0</v>
      </c>
      <c r="EV108" s="66">
        <f t="shared" si="81"/>
        <v>168331528666.66666</v>
      </c>
      <c r="EW108" s="66">
        <f t="shared" si="81"/>
        <v>44386440166.666664</v>
      </c>
      <c r="EX108" s="70"/>
      <c r="EY108" s="71" t="str">
        <f t="shared" si="82"/>
        <v>完整</v>
      </c>
      <c r="EZ108" s="71" t="str">
        <f t="shared" si="83"/>
        <v>完整</v>
      </c>
      <c r="FA108" s="71" t="str">
        <f t="shared" si="84"/>
        <v>完整</v>
      </c>
      <c r="FB108" s="71" t="str">
        <f t="shared" si="85"/>
        <v>选择</v>
      </c>
      <c r="FC108" s="71" t="str">
        <f t="shared" si="86"/>
        <v>选择</v>
      </c>
      <c r="FD108" s="72"/>
      <c r="FE108" s="72"/>
      <c r="FF108" s="72"/>
      <c r="FG108" s="72"/>
      <c r="FH108" s="72"/>
      <c r="FI108" s="72"/>
      <c r="FJ108" s="72"/>
      <c r="FK108" s="72"/>
      <c r="FL108" s="72"/>
      <c r="FM108" s="72"/>
      <c r="FN108" s="72"/>
      <c r="FO108" s="72"/>
      <c r="FP108" s="72"/>
      <c r="FQ108" s="72"/>
      <c r="FR108" s="72"/>
      <c r="FS108" s="72"/>
      <c r="FT108" s="72"/>
      <c r="FU108" s="72"/>
      <c r="FV108" s="72"/>
      <c r="FW108" s="72"/>
      <c r="FX108" s="72"/>
      <c r="FY108" s="72"/>
      <c r="FZ108" s="72"/>
      <c r="GA108" s="72"/>
      <c r="GB108" s="72"/>
      <c r="GC108" s="72"/>
      <c r="GD108" s="72"/>
      <c r="GE108" s="72"/>
      <c r="GF108" s="72"/>
      <c r="GG108" s="72"/>
      <c r="GH108" s="72"/>
      <c r="GI108" s="72"/>
      <c r="GJ108" s="72"/>
      <c r="GK108" s="72"/>
      <c r="GL108" s="72"/>
      <c r="GM108" s="72"/>
      <c r="GN108" s="72"/>
      <c r="GO108" s="72"/>
      <c r="GP108" s="72"/>
      <c r="GQ108" s="72"/>
      <c r="GR108" s="72"/>
      <c r="GS108" s="72"/>
      <c r="GT108" s="72"/>
      <c r="GU108" s="72"/>
      <c r="GV108" s="72"/>
      <c r="GW108" s="72"/>
      <c r="GX108" s="72"/>
      <c r="GY108" s="72"/>
      <c r="GZ108" s="72"/>
      <c r="HA108" s="72"/>
      <c r="HB108" s="72"/>
      <c r="HC108" s="72"/>
      <c r="HD108" s="72"/>
      <c r="HE108" s="72"/>
      <c r="HF108" s="72"/>
      <c r="HG108" s="72"/>
      <c r="HH108" s="72"/>
      <c r="HI108" s="72"/>
    </row>
    <row r="109" spans="1:218" s="3" customFormat="1" ht="12.75" customHeight="1" x14ac:dyDescent="0.25">
      <c r="A109" s="28" t="s">
        <v>273</v>
      </c>
      <c r="B109" s="134" t="str">
        <f t="shared" si="44"/>
        <v>FUJIAN JUNJIE NEW MATERIAL TECHNOLOGY CO., LTD.</v>
      </c>
      <c r="C109" s="29" t="s">
        <v>328</v>
      </c>
      <c r="D109" s="136" t="s">
        <v>309</v>
      </c>
      <c r="E109" s="35"/>
      <c r="H109" s="31" t="str">
        <f t="shared" si="45"/>
        <v xml:space="preserve"> </v>
      </c>
      <c r="I109" s="29"/>
      <c r="J109" s="29" t="str">
        <f>VLOOKUP(Z:Z,'[1]AP 2022'!FD108:FF181,2,FALSE)</f>
        <v>exclude</v>
      </c>
      <c r="K109" s="47" t="str">
        <f>VLOOKUP(Z:Z,'[1]AP 2022'!FD108:FF181,3,0)</f>
        <v>Independence(A+, A, A-, U)</v>
      </c>
      <c r="L109" s="48"/>
      <c r="M109" s="125" t="s">
        <v>1152</v>
      </c>
      <c r="N109" s="125" t="s">
        <v>1153</v>
      </c>
      <c r="O109" s="125" t="s">
        <v>331</v>
      </c>
      <c r="P109" s="124"/>
      <c r="Q109" s="124"/>
      <c r="R109" s="125" t="s">
        <v>423</v>
      </c>
      <c r="S109" s="125" t="s">
        <v>1154</v>
      </c>
      <c r="T109" s="125" t="s">
        <v>365</v>
      </c>
      <c r="U109" s="125" t="s">
        <v>317</v>
      </c>
      <c r="V109" s="125" t="s">
        <v>1155</v>
      </c>
      <c r="W109" s="125" t="s">
        <v>1156</v>
      </c>
      <c r="X109" s="124"/>
      <c r="Y109" s="124"/>
      <c r="Z109" s="125" t="s">
        <v>1157</v>
      </c>
      <c r="AA109" s="128">
        <v>126618000</v>
      </c>
      <c r="AB109" s="128">
        <v>115241000</v>
      </c>
      <c r="AC109" s="128">
        <v>85995000</v>
      </c>
      <c r="AD109" s="128">
        <v>82199000</v>
      </c>
      <c r="AE109" s="128">
        <v>121910000</v>
      </c>
      <c r="AF109" s="128">
        <v>114131000</v>
      </c>
      <c r="AG109" s="128">
        <v>85585000</v>
      </c>
      <c r="AH109" s="128">
        <v>81837000</v>
      </c>
      <c r="AI109" s="128">
        <v>-1003000</v>
      </c>
      <c r="AJ109" s="128">
        <v>-789000</v>
      </c>
      <c r="AK109" s="128">
        <v>-365000</v>
      </c>
      <c r="AL109" s="128">
        <v>-463000</v>
      </c>
      <c r="AM109" s="128">
        <v>120907000</v>
      </c>
      <c r="AN109" s="128">
        <v>113342000</v>
      </c>
      <c r="AO109" s="128">
        <v>85220000</v>
      </c>
      <c r="AP109" s="128">
        <v>81374000</v>
      </c>
      <c r="AQ109" s="128">
        <v>5711000</v>
      </c>
      <c r="AR109" s="128">
        <v>1899000</v>
      </c>
      <c r="AS109" s="128">
        <v>775000</v>
      </c>
      <c r="AT109" s="128">
        <v>825000</v>
      </c>
      <c r="AU109" s="128">
        <v>-73404000</v>
      </c>
      <c r="AV109" s="128">
        <v>-67180000</v>
      </c>
      <c r="AW109" s="128">
        <v>-46850000</v>
      </c>
      <c r="AX109" s="128">
        <v>-40857000</v>
      </c>
      <c r="AY109" s="125" t="s">
        <v>340</v>
      </c>
      <c r="AZ109" s="125" t="s">
        <v>340</v>
      </c>
      <c r="BA109" s="125" t="s">
        <v>340</v>
      </c>
      <c r="BB109" s="125" t="s">
        <v>340</v>
      </c>
      <c r="BC109" s="128">
        <v>-25936000</v>
      </c>
      <c r="BD109" s="128">
        <v>-21660000</v>
      </c>
      <c r="BE109" s="128">
        <v>-22380000</v>
      </c>
      <c r="BF109" s="128">
        <v>-20459000</v>
      </c>
      <c r="BG109" s="128">
        <v>27278000</v>
      </c>
      <c r="BH109" s="128">
        <v>26401000</v>
      </c>
      <c r="BI109" s="128">
        <v>16765000</v>
      </c>
      <c r="BJ109" s="128">
        <v>20883000</v>
      </c>
      <c r="BK109" s="128">
        <v>-7941000</v>
      </c>
      <c r="BL109" s="128">
        <v>-7153000</v>
      </c>
      <c r="BM109" s="128">
        <v>-7046000</v>
      </c>
      <c r="BN109" s="128">
        <v>-6463000</v>
      </c>
      <c r="BO109" s="128">
        <v>-5906000</v>
      </c>
      <c r="BP109" s="128">
        <v>-5829000</v>
      </c>
      <c r="BQ109" s="128">
        <v>-5722000</v>
      </c>
      <c r="BR109" s="128">
        <v>-5139000</v>
      </c>
      <c r="BS109" s="128">
        <v>-2035000</v>
      </c>
      <c r="BT109" s="128">
        <v>-1324000</v>
      </c>
      <c r="BU109" s="128">
        <v>-1324000</v>
      </c>
      <c r="BV109" s="128">
        <v>-1324000</v>
      </c>
      <c r="BW109" s="128">
        <v>28144000</v>
      </c>
      <c r="BX109" s="128">
        <v>14264000</v>
      </c>
      <c r="BY109" s="128">
        <v>5340000</v>
      </c>
      <c r="BZ109" s="128">
        <v>11497000</v>
      </c>
      <c r="CA109" s="128">
        <v>132941000</v>
      </c>
      <c r="CB109" s="128">
        <v>107406000</v>
      </c>
      <c r="CC109" s="128">
        <v>89100000</v>
      </c>
      <c r="CD109" s="128">
        <v>65418000</v>
      </c>
      <c r="CE109" s="128">
        <v>38029000</v>
      </c>
      <c r="CF109" s="128">
        <v>35639000</v>
      </c>
      <c r="CG109" s="128">
        <v>30634000</v>
      </c>
      <c r="CH109" s="128">
        <v>27717000</v>
      </c>
      <c r="CI109" s="128">
        <v>60631000</v>
      </c>
      <c r="CJ109" s="128">
        <v>47516000</v>
      </c>
      <c r="CK109" s="128">
        <v>38531000</v>
      </c>
      <c r="CL109" s="128">
        <v>29335000</v>
      </c>
      <c r="CM109" s="128">
        <v>24042000</v>
      </c>
      <c r="CN109" s="128">
        <v>18876000</v>
      </c>
      <c r="CO109" s="128">
        <v>4579000</v>
      </c>
      <c r="CP109" s="128">
        <v>6068000</v>
      </c>
      <c r="CQ109" s="128">
        <v>9377000</v>
      </c>
      <c r="CR109" s="128">
        <v>3081000</v>
      </c>
      <c r="CS109" s="128">
        <v>13504000</v>
      </c>
      <c r="CT109" s="128">
        <v>523000</v>
      </c>
      <c r="CU109" s="125" t="s">
        <v>340</v>
      </c>
      <c r="CV109" s="125" t="s">
        <v>340</v>
      </c>
      <c r="CW109" s="125" t="s">
        <v>340</v>
      </c>
      <c r="CX109" s="128">
        <v>0</v>
      </c>
      <c r="CY109" s="128">
        <v>8627000</v>
      </c>
      <c r="CZ109" s="128">
        <v>41574000</v>
      </c>
      <c r="DA109" s="128">
        <v>29605000</v>
      </c>
      <c r="DB109" s="128">
        <v>9075000</v>
      </c>
      <c r="DC109" s="128">
        <v>271702000</v>
      </c>
      <c r="DD109" s="128">
        <v>248926000</v>
      </c>
      <c r="DE109" s="128">
        <v>224789000</v>
      </c>
      <c r="DF109" s="128">
        <v>183858000</v>
      </c>
      <c r="DG109" s="16">
        <f t="shared" si="46"/>
        <v>120907000</v>
      </c>
      <c r="DH109" s="16">
        <f t="shared" si="47"/>
        <v>-73404000</v>
      </c>
      <c r="DI109" s="16">
        <f t="shared" si="48"/>
        <v>-25936000</v>
      </c>
      <c r="DJ109" s="16">
        <f t="shared" si="49"/>
        <v>-7941000</v>
      </c>
      <c r="DK109" s="16">
        <f t="shared" si="50"/>
        <v>13626000</v>
      </c>
      <c r="DL109" s="57">
        <f t="shared" si="51"/>
        <v>0.11269818951756308</v>
      </c>
      <c r="DM109" s="57">
        <f t="shared" si="52"/>
        <v>0.12701223888666213</v>
      </c>
      <c r="DN109" s="58" t="str">
        <f t="shared" si="53"/>
        <v>n.a.</v>
      </c>
      <c r="DO109" s="16">
        <f t="shared" si="54"/>
        <v>36834000</v>
      </c>
      <c r="DP109" s="16">
        <f t="shared" si="55"/>
        <v>25100500</v>
      </c>
      <c r="DQ109" s="61"/>
      <c r="DR109" s="62">
        <f t="shared" si="56"/>
        <v>113342000</v>
      </c>
      <c r="DS109" s="62">
        <f t="shared" si="57"/>
        <v>-67180000</v>
      </c>
      <c r="DT109" s="62">
        <f t="shared" si="58"/>
        <v>-21660000</v>
      </c>
      <c r="DU109" s="62">
        <f t="shared" si="59"/>
        <v>-7153000</v>
      </c>
      <c r="DV109" s="62">
        <f t="shared" si="60"/>
        <v>17349000</v>
      </c>
      <c r="DW109" s="63">
        <f t="shared" si="61"/>
        <v>0.15306770658714333</v>
      </c>
      <c r="DX109" s="63">
        <f t="shared" si="62"/>
        <v>0.18073192836977697</v>
      </c>
      <c r="DY109" s="64" t="str">
        <f t="shared" si="63"/>
        <v>n.a.</v>
      </c>
      <c r="DZ109" s="64">
        <f t="shared" si="64"/>
        <v>33136500</v>
      </c>
      <c r="EA109" s="64">
        <f t="shared" si="65"/>
        <v>35589500</v>
      </c>
      <c r="EB109" s="61"/>
      <c r="EC109" s="64">
        <f t="shared" si="66"/>
        <v>85220000</v>
      </c>
      <c r="ED109" s="64">
        <f t="shared" si="67"/>
        <v>-46850000</v>
      </c>
      <c r="EE109" s="64">
        <f t="shared" si="68"/>
        <v>-22380000</v>
      </c>
      <c r="EF109" s="64">
        <f t="shared" si="69"/>
        <v>-7046000</v>
      </c>
      <c r="EG109" s="64">
        <f t="shared" si="70"/>
        <v>8944000</v>
      </c>
      <c r="EH109" s="63">
        <f t="shared" si="71"/>
        <v>0.10495188922788078</v>
      </c>
      <c r="EI109" s="57">
        <f t="shared" si="72"/>
        <v>0.11725837747128848</v>
      </c>
      <c r="EJ109" s="64" t="str">
        <f t="shared" si="73"/>
        <v>n.a.</v>
      </c>
      <c r="EK109" s="64">
        <f t="shared" si="74"/>
        <v>29175500</v>
      </c>
      <c r="EL109" s="64">
        <f t="shared" si="75"/>
        <v>19340000</v>
      </c>
      <c r="EM109" s="61"/>
      <c r="EN109" s="66">
        <f t="shared" si="76"/>
        <v>106489666.66666667</v>
      </c>
      <c r="EO109" s="66">
        <f t="shared" si="76"/>
        <v>-62478000</v>
      </c>
      <c r="EP109" s="66">
        <f t="shared" si="76"/>
        <v>-23325333.333333332</v>
      </c>
      <c r="EQ109" s="66">
        <f t="shared" si="43"/>
        <v>-7380000</v>
      </c>
      <c r="ER109" s="66">
        <f t="shared" si="77"/>
        <v>13306333.33333334</v>
      </c>
      <c r="ES109" s="63">
        <f t="shared" si="78"/>
        <v>0.12495422091032311</v>
      </c>
      <c r="ET109" s="67">
        <f t="shared" si="79"/>
        <v>0.14279735288857098</v>
      </c>
      <c r="EU109" s="66" t="e">
        <f t="shared" si="80"/>
        <v>#VALUE!</v>
      </c>
      <c r="EV109" s="66">
        <f t="shared" si="81"/>
        <v>33048666.666666668</v>
      </c>
      <c r="EW109" s="66">
        <f t="shared" si="81"/>
        <v>26676666.666666668</v>
      </c>
      <c r="EX109" s="70"/>
      <c r="EY109" s="71" t="str">
        <f t="shared" si="82"/>
        <v>完整</v>
      </c>
      <c r="EZ109" s="71" t="str">
        <f t="shared" si="83"/>
        <v>完整</v>
      </c>
      <c r="FA109" s="71" t="str">
        <f t="shared" si="84"/>
        <v>完整</v>
      </c>
      <c r="FB109" s="71" t="str">
        <f t="shared" si="85"/>
        <v>选择</v>
      </c>
      <c r="FC109" s="71" t="str">
        <f t="shared" si="86"/>
        <v>选择</v>
      </c>
    </row>
    <row r="110" spans="1:218" s="3" customFormat="1" ht="12.75" customHeight="1" x14ac:dyDescent="0.25">
      <c r="A110" s="28" t="s">
        <v>274</v>
      </c>
      <c r="B110" s="134" t="str">
        <f t="shared" si="44"/>
        <v>ANHUI QI JIA DETERGENT PRODUCTS CO.,LTD.</v>
      </c>
      <c r="C110" s="29" t="s">
        <v>328</v>
      </c>
      <c r="D110" s="136" t="s">
        <v>309</v>
      </c>
      <c r="E110" s="35"/>
      <c r="H110" s="31" t="str">
        <f t="shared" si="45"/>
        <v xml:space="preserve"> </v>
      </c>
      <c r="I110" s="29"/>
      <c r="J110" s="29" t="str">
        <f>VLOOKUP(Z:Z,'[1]AP 2022'!FD109:FF181,2,FALSE)</f>
        <v>exclude</v>
      </c>
      <c r="K110" s="47" t="str">
        <f>VLOOKUP(Z:Z,'[1]AP 2022'!FD109:FF181,3,0)</f>
        <v>Independence(A+, A, A-, U)</v>
      </c>
      <c r="L110" s="48"/>
      <c r="M110" s="125" t="s">
        <v>1158</v>
      </c>
      <c r="N110" s="125" t="s">
        <v>1159</v>
      </c>
      <c r="O110" s="125" t="s">
        <v>331</v>
      </c>
      <c r="P110" s="124"/>
      <c r="Q110" s="124"/>
      <c r="R110" s="125" t="s">
        <v>423</v>
      </c>
      <c r="S110" s="125" t="s">
        <v>1160</v>
      </c>
      <c r="T110" s="125" t="s">
        <v>374</v>
      </c>
      <c r="U110" s="125" t="s">
        <v>321</v>
      </c>
      <c r="V110" s="125" t="s">
        <v>1161</v>
      </c>
      <c r="W110" s="125" t="s">
        <v>1162</v>
      </c>
      <c r="X110" s="124"/>
      <c r="Y110" s="124"/>
      <c r="Z110" s="125" t="s">
        <v>1163</v>
      </c>
      <c r="AA110" s="125" t="s">
        <v>340</v>
      </c>
      <c r="AB110" s="128">
        <v>121012000</v>
      </c>
      <c r="AC110" s="128">
        <v>133074000</v>
      </c>
      <c r="AD110" s="128">
        <v>115562000</v>
      </c>
      <c r="AE110" s="125" t="s">
        <v>340</v>
      </c>
      <c r="AF110" s="128">
        <v>121060000</v>
      </c>
      <c r="AG110" s="128">
        <v>132466000</v>
      </c>
      <c r="AH110" s="128">
        <v>115370000</v>
      </c>
      <c r="AI110" s="125" t="s">
        <v>340</v>
      </c>
      <c r="AJ110" s="128">
        <v>-746000</v>
      </c>
      <c r="AK110" s="128">
        <v>-841000</v>
      </c>
      <c r="AL110" s="128">
        <v>-851000</v>
      </c>
      <c r="AM110" s="125" t="s">
        <v>340</v>
      </c>
      <c r="AN110" s="128">
        <v>120314000</v>
      </c>
      <c r="AO110" s="128">
        <v>131625000</v>
      </c>
      <c r="AP110" s="128">
        <v>114519000</v>
      </c>
      <c r="AQ110" s="125" t="s">
        <v>340</v>
      </c>
      <c r="AR110" s="128">
        <v>698000</v>
      </c>
      <c r="AS110" s="128">
        <v>1449000</v>
      </c>
      <c r="AT110" s="128">
        <v>1043000</v>
      </c>
      <c r="AU110" s="125" t="s">
        <v>340</v>
      </c>
      <c r="AV110" s="128">
        <v>-111924000</v>
      </c>
      <c r="AW110" s="128">
        <v>-110045000</v>
      </c>
      <c r="AX110" s="128">
        <v>-100903000</v>
      </c>
      <c r="AY110" s="125" t="s">
        <v>340</v>
      </c>
      <c r="AZ110" s="125" t="s">
        <v>340</v>
      </c>
      <c r="BA110" s="125" t="s">
        <v>340</v>
      </c>
      <c r="BB110" s="125" t="s">
        <v>340</v>
      </c>
      <c r="BC110" s="125" t="s">
        <v>340</v>
      </c>
      <c r="BD110" s="128">
        <v>-10843000</v>
      </c>
      <c r="BE110" s="128">
        <v>-12167000</v>
      </c>
      <c r="BF110" s="128">
        <v>-12111000</v>
      </c>
      <c r="BG110" s="125" t="s">
        <v>340</v>
      </c>
      <c r="BH110" s="128">
        <v>-1755000</v>
      </c>
      <c r="BI110" s="128">
        <v>10862000</v>
      </c>
      <c r="BJ110" s="128">
        <v>2548000</v>
      </c>
      <c r="BK110" s="125" t="s">
        <v>340</v>
      </c>
      <c r="BL110" s="128">
        <v>-5862000</v>
      </c>
      <c r="BM110" s="128">
        <v>-6302000</v>
      </c>
      <c r="BN110" s="128">
        <v>-5806000</v>
      </c>
      <c r="BO110" s="125" t="s">
        <v>340</v>
      </c>
      <c r="BP110" s="128">
        <v>-5230000</v>
      </c>
      <c r="BQ110" s="128">
        <v>-5670000</v>
      </c>
      <c r="BR110" s="128">
        <v>-5174000</v>
      </c>
      <c r="BS110" s="125" t="s">
        <v>340</v>
      </c>
      <c r="BT110" s="128">
        <v>-632000</v>
      </c>
      <c r="BU110" s="128">
        <v>-632000</v>
      </c>
      <c r="BV110" s="128">
        <v>-632000</v>
      </c>
      <c r="BW110" s="125" t="s">
        <v>340</v>
      </c>
      <c r="BX110" s="128">
        <v>-14722000</v>
      </c>
      <c r="BY110" s="128">
        <v>1542000</v>
      </c>
      <c r="BZ110" s="128">
        <v>-16929000</v>
      </c>
      <c r="CA110" s="125" t="s">
        <v>340</v>
      </c>
      <c r="CB110" s="128">
        <v>57483000</v>
      </c>
      <c r="CC110" s="128">
        <v>58114000</v>
      </c>
      <c r="CD110" s="128">
        <v>36851000</v>
      </c>
      <c r="CE110" s="125" t="s">
        <v>340</v>
      </c>
      <c r="CF110" s="128">
        <v>25496000</v>
      </c>
      <c r="CG110" s="128">
        <v>27763000</v>
      </c>
      <c r="CH110" s="128">
        <v>15708000</v>
      </c>
      <c r="CI110" s="125" t="s">
        <v>340</v>
      </c>
      <c r="CJ110" s="128">
        <v>18298000</v>
      </c>
      <c r="CK110" s="128">
        <v>18698000</v>
      </c>
      <c r="CL110" s="128">
        <v>14377000</v>
      </c>
      <c r="CM110" s="125" t="s">
        <v>340</v>
      </c>
      <c r="CN110" s="128">
        <v>584000</v>
      </c>
      <c r="CO110" s="128">
        <v>435000</v>
      </c>
      <c r="CP110" s="128">
        <v>585000</v>
      </c>
      <c r="CQ110" s="125" t="s">
        <v>340</v>
      </c>
      <c r="CR110" s="128">
        <v>10453000</v>
      </c>
      <c r="CS110" s="128">
        <v>4679000</v>
      </c>
      <c r="CT110" s="128">
        <v>374000</v>
      </c>
      <c r="CU110" s="125" t="s">
        <v>340</v>
      </c>
      <c r="CV110" s="128">
        <v>1200000</v>
      </c>
      <c r="CW110" s="125" t="s">
        <v>340</v>
      </c>
      <c r="CX110" s="125" t="s">
        <v>340</v>
      </c>
      <c r="CY110" s="125" t="s">
        <v>340</v>
      </c>
      <c r="CZ110" s="128">
        <v>4600000</v>
      </c>
      <c r="DA110" s="128">
        <v>2995000</v>
      </c>
      <c r="DB110" s="128">
        <v>1992000</v>
      </c>
      <c r="DC110" s="125" t="s">
        <v>340</v>
      </c>
      <c r="DD110" s="128">
        <v>161006000</v>
      </c>
      <c r="DE110" s="128">
        <v>155346000</v>
      </c>
      <c r="DF110" s="128">
        <v>128004000</v>
      </c>
      <c r="DG110" s="16" t="str">
        <f t="shared" si="46"/>
        <v>无数据</v>
      </c>
      <c r="DH110" s="16" t="str">
        <f t="shared" si="47"/>
        <v>n.a.</v>
      </c>
      <c r="DI110" s="16" t="str">
        <f t="shared" si="48"/>
        <v>n.a.</v>
      </c>
      <c r="DJ110" s="16" t="str">
        <f t="shared" si="49"/>
        <v>n.a.</v>
      </c>
      <c r="DK110" s="16" t="str">
        <f t="shared" si="50"/>
        <v>无数据</v>
      </c>
      <c r="DL110" s="57" t="e">
        <f t="shared" si="51"/>
        <v>#VALUE!</v>
      </c>
      <c r="DM110" s="57" t="e">
        <f t="shared" si="52"/>
        <v>#VALUE!</v>
      </c>
      <c r="DN110" s="58" t="str">
        <f t="shared" si="53"/>
        <v>n.a.</v>
      </c>
      <c r="DO110" s="16" t="e">
        <f t="shared" si="54"/>
        <v>#VALUE!</v>
      </c>
      <c r="DP110" s="16" t="e">
        <f t="shared" si="55"/>
        <v>#VALUE!</v>
      </c>
      <c r="DQ110" s="61"/>
      <c r="DR110" s="62">
        <f t="shared" si="56"/>
        <v>120314000</v>
      </c>
      <c r="DS110" s="62">
        <f t="shared" si="57"/>
        <v>-111924000</v>
      </c>
      <c r="DT110" s="62">
        <f t="shared" si="58"/>
        <v>-10843000</v>
      </c>
      <c r="DU110" s="62">
        <f t="shared" si="59"/>
        <v>-5862000</v>
      </c>
      <c r="DV110" s="62">
        <f t="shared" si="60"/>
        <v>-8315000</v>
      </c>
      <c r="DW110" s="63">
        <f t="shared" si="61"/>
        <v>-6.9110826670212941E-2</v>
      </c>
      <c r="DX110" s="63">
        <f t="shared" si="62"/>
        <v>-6.4643276399567753E-2</v>
      </c>
      <c r="DY110" s="64" t="str">
        <f t="shared" si="63"/>
        <v>n.a.</v>
      </c>
      <c r="DZ110" s="64">
        <f t="shared" si="64"/>
        <v>26629500</v>
      </c>
      <c r="EA110" s="64">
        <f t="shared" si="65"/>
        <v>3797500</v>
      </c>
      <c r="EB110" s="61"/>
      <c r="EC110" s="64">
        <f t="shared" si="66"/>
        <v>131625000</v>
      </c>
      <c r="ED110" s="64">
        <f t="shared" si="67"/>
        <v>-110045000</v>
      </c>
      <c r="EE110" s="64">
        <f t="shared" si="68"/>
        <v>-12167000</v>
      </c>
      <c r="EF110" s="64">
        <f t="shared" si="69"/>
        <v>-6302000</v>
      </c>
      <c r="EG110" s="64">
        <f t="shared" si="70"/>
        <v>3111000</v>
      </c>
      <c r="EH110" s="63">
        <f t="shared" si="71"/>
        <v>2.3635327635327635E-2</v>
      </c>
      <c r="EI110" s="57">
        <f t="shared" si="72"/>
        <v>2.4207479340772213E-2</v>
      </c>
      <c r="EJ110" s="64" t="str">
        <f t="shared" si="73"/>
        <v>n.a.</v>
      </c>
      <c r="EK110" s="64">
        <f t="shared" si="74"/>
        <v>21735500</v>
      </c>
      <c r="EL110" s="64">
        <f t="shared" si="75"/>
        <v>2493500</v>
      </c>
      <c r="EM110" s="61"/>
      <c r="EN110" s="66" t="e">
        <f t="shared" si="76"/>
        <v>#VALUE!</v>
      </c>
      <c r="EO110" s="66" t="e">
        <f t="shared" si="76"/>
        <v>#VALUE!</v>
      </c>
      <c r="EP110" s="66" t="e">
        <f t="shared" si="76"/>
        <v>#VALUE!</v>
      </c>
      <c r="EQ110" s="66" t="e">
        <f t="shared" si="43"/>
        <v>#VALUE!</v>
      </c>
      <c r="ER110" s="66" t="e">
        <f t="shared" si="77"/>
        <v>#VALUE!</v>
      </c>
      <c r="ES110" s="63" t="e">
        <f t="shared" si="78"/>
        <v>#VALUE!</v>
      </c>
      <c r="ET110" s="67" t="e">
        <f t="shared" si="79"/>
        <v>#VALUE!</v>
      </c>
      <c r="EU110" s="66" t="e">
        <f t="shared" si="80"/>
        <v>#VALUE!</v>
      </c>
      <c r="EV110" s="66" t="e">
        <f t="shared" si="81"/>
        <v>#VALUE!</v>
      </c>
      <c r="EW110" s="66" t="e">
        <f t="shared" si="81"/>
        <v>#VALUE!</v>
      </c>
      <c r="EX110" s="70"/>
      <c r="EY110" s="71" t="str">
        <f t="shared" si="82"/>
        <v>完整</v>
      </c>
      <c r="EZ110" s="71" t="str">
        <f t="shared" si="83"/>
        <v>完整</v>
      </c>
      <c r="FA110" s="71" t="str">
        <f t="shared" si="84"/>
        <v>无数据</v>
      </c>
      <c r="FB110" s="71" t="str">
        <f t="shared" si="85"/>
        <v>删除</v>
      </c>
      <c r="FC110" s="71" t="str">
        <f t="shared" si="86"/>
        <v>选择</v>
      </c>
    </row>
    <row r="111" spans="1:218" s="3" customFormat="1" ht="12.75" customHeight="1" x14ac:dyDescent="0.25">
      <c r="A111" s="28" t="s">
        <v>275</v>
      </c>
      <c r="B111" s="134" t="str">
        <f t="shared" si="44"/>
        <v>SKIN&amp;SKIN CO.,LTD.</v>
      </c>
      <c r="C111" s="29" t="s">
        <v>328</v>
      </c>
      <c r="D111" s="136" t="s">
        <v>309</v>
      </c>
      <c r="E111" s="35"/>
      <c r="G111" s="9"/>
      <c r="H111" s="31" t="str">
        <f t="shared" si="45"/>
        <v xml:space="preserve"> </v>
      </c>
      <c r="I111" s="29"/>
      <c r="J111" s="29" t="str">
        <f>VLOOKUP(Z:Z,'[1]AP 2022'!FD110:FF181,2,FALSE)</f>
        <v>exclude</v>
      </c>
      <c r="K111" s="47" t="str">
        <f>VLOOKUP(Z:Z,'[1]AP 2022'!FD110:FF181,3,0)</f>
        <v>Independence(A+, A, A-, U)</v>
      </c>
      <c r="L111" s="48"/>
      <c r="M111" s="125" t="s">
        <v>1164</v>
      </c>
      <c r="N111" s="125" t="s">
        <v>1165</v>
      </c>
      <c r="O111" s="125" t="s">
        <v>331</v>
      </c>
      <c r="P111" s="125" t="s">
        <v>1166</v>
      </c>
      <c r="Q111" s="124"/>
      <c r="R111" s="125" t="s">
        <v>363</v>
      </c>
      <c r="S111" s="125" t="s">
        <v>1167</v>
      </c>
      <c r="T111" s="125" t="s">
        <v>899</v>
      </c>
      <c r="U111" s="125" t="s">
        <v>321</v>
      </c>
      <c r="V111" s="125" t="s">
        <v>1168</v>
      </c>
      <c r="W111" s="125" t="s">
        <v>1169</v>
      </c>
      <c r="X111" s="125" t="s">
        <v>1170</v>
      </c>
      <c r="Y111" s="124"/>
      <c r="Z111" s="125" t="s">
        <v>1171</v>
      </c>
      <c r="AA111" s="128">
        <v>21406339000</v>
      </c>
      <c r="AB111" s="128">
        <v>27611573000</v>
      </c>
      <c r="AC111" s="128">
        <v>25282382000</v>
      </c>
      <c r="AD111" s="128">
        <v>20974333000</v>
      </c>
      <c r="AE111" s="128">
        <v>21406339000</v>
      </c>
      <c r="AF111" s="128">
        <v>27622073000</v>
      </c>
      <c r="AG111" s="128">
        <v>26347857000</v>
      </c>
      <c r="AH111" s="128">
        <v>29517442000</v>
      </c>
      <c r="AI111" s="125" t="s">
        <v>340</v>
      </c>
      <c r="AJ111" s="128">
        <v>-10500000</v>
      </c>
      <c r="AK111" s="128">
        <v>-1065475000</v>
      </c>
      <c r="AL111" s="128">
        <v>-8543109000</v>
      </c>
      <c r="AM111" s="128">
        <v>21406339000</v>
      </c>
      <c r="AN111" s="128">
        <v>27611573000</v>
      </c>
      <c r="AO111" s="128">
        <v>25282382000</v>
      </c>
      <c r="AP111" s="128">
        <v>20974333000</v>
      </c>
      <c r="AQ111" s="125" t="s">
        <v>340</v>
      </c>
      <c r="AR111" s="125" t="s">
        <v>340</v>
      </c>
      <c r="AS111" s="125" t="s">
        <v>340</v>
      </c>
      <c r="AT111" s="125" t="s">
        <v>340</v>
      </c>
      <c r="AU111" s="128">
        <v>-18259448000</v>
      </c>
      <c r="AV111" s="128">
        <v>-21041841000</v>
      </c>
      <c r="AW111" s="128">
        <v>-21097644000</v>
      </c>
      <c r="AX111" s="128">
        <v>-18782431000</v>
      </c>
      <c r="AY111" s="128">
        <v>-252567000</v>
      </c>
      <c r="AZ111" s="128">
        <v>-239545000</v>
      </c>
      <c r="BA111" s="128">
        <v>-223076000</v>
      </c>
      <c r="BB111" s="128">
        <v>-828524000</v>
      </c>
      <c r="BC111" s="128">
        <v>-8465324000</v>
      </c>
      <c r="BD111" s="128">
        <v>-4768406000</v>
      </c>
      <c r="BE111" s="128">
        <v>-4630194000</v>
      </c>
      <c r="BF111" s="128">
        <v>-7486350000</v>
      </c>
      <c r="BG111" s="128">
        <v>-5571000000</v>
      </c>
      <c r="BH111" s="128">
        <v>1561781000</v>
      </c>
      <c r="BI111" s="128">
        <v>-668532000</v>
      </c>
      <c r="BJ111" s="128">
        <v>-6122972000</v>
      </c>
      <c r="BK111" s="128">
        <v>-690268000</v>
      </c>
      <c r="BL111" s="128">
        <v>-603174000</v>
      </c>
      <c r="BM111" s="128">
        <v>-1503320000</v>
      </c>
      <c r="BN111" s="128">
        <v>-1203649000</v>
      </c>
      <c r="BO111" s="128">
        <v>-663895000</v>
      </c>
      <c r="BP111" s="128">
        <v>-580807000</v>
      </c>
      <c r="BQ111" s="128">
        <v>-1500113000</v>
      </c>
      <c r="BR111" s="128">
        <v>-1180450000</v>
      </c>
      <c r="BS111" s="128">
        <v>-26373000</v>
      </c>
      <c r="BT111" s="128">
        <v>-22367000</v>
      </c>
      <c r="BU111" s="128">
        <v>-3207000</v>
      </c>
      <c r="BV111" s="128">
        <v>-23199000</v>
      </c>
      <c r="BW111" s="128">
        <v>-10044555000</v>
      </c>
      <c r="BX111" s="128">
        <v>1212594000</v>
      </c>
      <c r="BY111" s="128">
        <v>-27852253000</v>
      </c>
      <c r="BZ111" s="128">
        <v>-6289278000</v>
      </c>
      <c r="CA111" s="128">
        <v>24090131000</v>
      </c>
      <c r="CB111" s="128">
        <v>34717154000</v>
      </c>
      <c r="CC111" s="128">
        <v>9706552000</v>
      </c>
      <c r="CD111" s="128">
        <v>27208490000</v>
      </c>
      <c r="CE111" s="128">
        <v>2657771000</v>
      </c>
      <c r="CF111" s="128">
        <v>1898838000</v>
      </c>
      <c r="CG111" s="128">
        <v>1693082000</v>
      </c>
      <c r="CH111" s="128">
        <v>2212685000</v>
      </c>
      <c r="CI111" s="128">
        <v>6478102000</v>
      </c>
      <c r="CJ111" s="128">
        <v>4778751000</v>
      </c>
      <c r="CK111" s="128">
        <v>1389822000</v>
      </c>
      <c r="CL111" s="128">
        <v>2314672000</v>
      </c>
      <c r="CM111" s="128">
        <v>10288000</v>
      </c>
      <c r="CN111" s="128">
        <v>122265000</v>
      </c>
      <c r="CO111" s="128">
        <v>59265000</v>
      </c>
      <c r="CP111" s="128">
        <v>1564485000</v>
      </c>
      <c r="CQ111" s="128">
        <v>14449998000</v>
      </c>
      <c r="CR111" s="128">
        <v>27697982000</v>
      </c>
      <c r="CS111" s="128">
        <v>6102552000</v>
      </c>
      <c r="CT111" s="128">
        <v>20084310000</v>
      </c>
      <c r="CU111" s="125" t="s">
        <v>340</v>
      </c>
      <c r="CV111" s="125" t="s">
        <v>340</v>
      </c>
      <c r="CW111" s="125" t="s">
        <v>340</v>
      </c>
      <c r="CX111" s="125" t="s">
        <v>340</v>
      </c>
      <c r="CY111" s="125" t="s">
        <v>340</v>
      </c>
      <c r="CZ111" s="125" t="s">
        <v>340</v>
      </c>
      <c r="DA111" s="125" t="s">
        <v>340</v>
      </c>
      <c r="DB111" s="128">
        <v>609794000</v>
      </c>
      <c r="DC111" s="128">
        <v>35329394000</v>
      </c>
      <c r="DD111" s="128">
        <v>44703632000</v>
      </c>
      <c r="DE111" s="128">
        <v>18311389000</v>
      </c>
      <c r="DF111" s="128">
        <v>51689281000</v>
      </c>
      <c r="DG111" s="16">
        <f t="shared" si="46"/>
        <v>21406339000</v>
      </c>
      <c r="DH111" s="16">
        <f t="shared" si="47"/>
        <v>-18259448000</v>
      </c>
      <c r="DI111" s="16">
        <f t="shared" si="48"/>
        <v>-8717891000</v>
      </c>
      <c r="DJ111" s="16">
        <f t="shared" si="49"/>
        <v>-690268000</v>
      </c>
      <c r="DK111" s="16">
        <f t="shared" si="50"/>
        <v>-6261268000</v>
      </c>
      <c r="DL111" s="57">
        <f t="shared" si="51"/>
        <v>-0.2924959751408216</v>
      </c>
      <c r="DM111" s="57">
        <f t="shared" si="52"/>
        <v>-0.22630319998401019</v>
      </c>
      <c r="DN111" s="58">
        <f t="shared" si="53"/>
        <v>-252567000</v>
      </c>
      <c r="DO111" s="16">
        <f t="shared" si="54"/>
        <v>2278304500</v>
      </c>
      <c r="DP111" s="16" t="e">
        <f t="shared" si="55"/>
        <v>#VALUE!</v>
      </c>
      <c r="DQ111" s="61"/>
      <c r="DR111" s="62">
        <f t="shared" si="56"/>
        <v>27611573000</v>
      </c>
      <c r="DS111" s="62">
        <f t="shared" si="57"/>
        <v>-21041841000</v>
      </c>
      <c r="DT111" s="62">
        <f t="shared" si="58"/>
        <v>-5007951000</v>
      </c>
      <c r="DU111" s="62">
        <f t="shared" si="59"/>
        <v>-603174000</v>
      </c>
      <c r="DV111" s="62">
        <f t="shared" si="60"/>
        <v>958607000</v>
      </c>
      <c r="DW111" s="63">
        <f t="shared" si="61"/>
        <v>3.471758019726004E-2</v>
      </c>
      <c r="DX111" s="63">
        <f t="shared" si="62"/>
        <v>3.5966241055498289E-2</v>
      </c>
      <c r="DY111" s="64">
        <f t="shared" si="63"/>
        <v>-239545000</v>
      </c>
      <c r="DZ111" s="64">
        <f t="shared" si="64"/>
        <v>1795960000</v>
      </c>
      <c r="EA111" s="64" t="e">
        <f t="shared" si="65"/>
        <v>#VALUE!</v>
      </c>
      <c r="EB111" s="61"/>
      <c r="EC111" s="64">
        <f t="shared" si="66"/>
        <v>25282382000</v>
      </c>
      <c r="ED111" s="64">
        <f t="shared" si="67"/>
        <v>-21097644000</v>
      </c>
      <c r="EE111" s="64">
        <f t="shared" si="68"/>
        <v>-4853270000</v>
      </c>
      <c r="EF111" s="64">
        <f t="shared" si="69"/>
        <v>-1503320000</v>
      </c>
      <c r="EG111" s="64">
        <f t="shared" si="70"/>
        <v>-2171852000</v>
      </c>
      <c r="EH111" s="63">
        <f t="shared" si="71"/>
        <v>-8.5903772832797168E-2</v>
      </c>
      <c r="EI111" s="57">
        <f t="shared" si="72"/>
        <v>-7.9108089484485347E-2</v>
      </c>
      <c r="EJ111" s="64">
        <f t="shared" si="73"/>
        <v>-223076000</v>
      </c>
      <c r="EK111" s="64">
        <f t="shared" si="74"/>
        <v>1952883500</v>
      </c>
      <c r="EL111" s="64" t="e">
        <f t="shared" si="75"/>
        <v>#VALUE!</v>
      </c>
      <c r="EM111" s="61"/>
      <c r="EN111" s="66">
        <f t="shared" si="76"/>
        <v>24766764666.666668</v>
      </c>
      <c r="EO111" s="66">
        <f t="shared" si="76"/>
        <v>-20132977666.666668</v>
      </c>
      <c r="EP111" s="66">
        <f t="shared" si="76"/>
        <v>-6193037333.333333</v>
      </c>
      <c r="EQ111" s="66">
        <f t="shared" si="43"/>
        <v>-932254000</v>
      </c>
      <c r="ER111" s="66">
        <f t="shared" si="77"/>
        <v>-2491504333.333333</v>
      </c>
      <c r="ES111" s="63">
        <f t="shared" si="78"/>
        <v>-0.10059870018818497</v>
      </c>
      <c r="ET111" s="67">
        <f t="shared" si="79"/>
        <v>-9.1403615296823615E-2</v>
      </c>
      <c r="EU111" s="66">
        <f t="shared" si="80"/>
        <v>238396000</v>
      </c>
      <c r="EV111" s="66">
        <f t="shared" si="81"/>
        <v>2009049333.3333333</v>
      </c>
      <c r="EW111" s="66" t="e">
        <f t="shared" si="81"/>
        <v>#VALUE!</v>
      </c>
      <c r="EX111" s="70"/>
      <c r="EY111" s="71" t="str">
        <f t="shared" si="82"/>
        <v>完整</v>
      </c>
      <c r="EZ111" s="71" t="str">
        <f t="shared" si="83"/>
        <v>完整</v>
      </c>
      <c r="FA111" s="71" t="str">
        <f t="shared" si="84"/>
        <v>完整</v>
      </c>
      <c r="FB111" s="71" t="str">
        <f t="shared" si="85"/>
        <v>选择</v>
      </c>
      <c r="FC111" s="71" t="str">
        <f t="shared" si="86"/>
        <v>选择</v>
      </c>
    </row>
    <row r="112" spans="1:218" s="3" customFormat="1" ht="12.75" customHeight="1" x14ac:dyDescent="0.25">
      <c r="A112" s="28" t="s">
        <v>276</v>
      </c>
      <c r="B112" s="134" t="str">
        <f t="shared" si="44"/>
        <v>ECOCERA OPTRONICS CO., LTD.</v>
      </c>
      <c r="C112" s="29" t="s">
        <v>328</v>
      </c>
      <c r="D112" s="136" t="s">
        <v>309</v>
      </c>
      <c r="E112" s="35"/>
      <c r="F112" s="8"/>
      <c r="G112" s="9"/>
      <c r="H112" s="31" t="str">
        <f t="shared" si="45"/>
        <v xml:space="preserve"> </v>
      </c>
      <c r="I112" s="29"/>
      <c r="J112" s="29" t="str">
        <f>VLOOKUP(Z:Z,'[1]AP 2022'!FD111:FF181,2,FALSE)</f>
        <v>exclude</v>
      </c>
      <c r="K112" s="47" t="str">
        <f>VLOOKUP(Z:Z,'[1]AP 2022'!FD111:FF181,3,0)</f>
        <v>Independence(A+, A, A-, U)</v>
      </c>
      <c r="L112" s="48"/>
      <c r="M112" s="125" t="s">
        <v>1172</v>
      </c>
      <c r="N112" s="125" t="s">
        <v>1173</v>
      </c>
      <c r="O112" s="125" t="s">
        <v>331</v>
      </c>
      <c r="P112" s="125" t="s">
        <v>1174</v>
      </c>
      <c r="Q112" s="124"/>
      <c r="R112" s="125" t="s">
        <v>842</v>
      </c>
      <c r="S112" s="125" t="s">
        <v>1175</v>
      </c>
      <c r="T112" s="125" t="s">
        <v>374</v>
      </c>
      <c r="U112" s="125" t="s">
        <v>317</v>
      </c>
      <c r="V112" s="125" t="s">
        <v>1176</v>
      </c>
      <c r="W112" s="125" t="s">
        <v>1177</v>
      </c>
      <c r="X112" s="124"/>
      <c r="Y112" s="124"/>
      <c r="Z112" s="125" t="s">
        <v>1178</v>
      </c>
      <c r="AA112" s="128">
        <v>473324000</v>
      </c>
      <c r="AB112" s="128">
        <v>520650000</v>
      </c>
      <c r="AC112" s="128">
        <v>444075000</v>
      </c>
      <c r="AD112" s="128">
        <v>407203000</v>
      </c>
      <c r="AE112" s="128">
        <v>483450000</v>
      </c>
      <c r="AF112" s="128">
        <v>529164000</v>
      </c>
      <c r="AG112" s="128">
        <v>438069000</v>
      </c>
      <c r="AH112" s="128">
        <v>418307000</v>
      </c>
      <c r="AI112" s="128">
        <v>-10506000</v>
      </c>
      <c r="AJ112" s="128">
        <v>-10874000</v>
      </c>
      <c r="AK112" s="128">
        <v>-4853000</v>
      </c>
      <c r="AL112" s="128">
        <v>-11730000</v>
      </c>
      <c r="AM112" s="128">
        <v>472944000</v>
      </c>
      <c r="AN112" s="128">
        <v>518290000</v>
      </c>
      <c r="AO112" s="128">
        <v>433216000</v>
      </c>
      <c r="AP112" s="128">
        <v>406577000</v>
      </c>
      <c r="AQ112" s="128">
        <v>380000</v>
      </c>
      <c r="AR112" s="128">
        <v>2360000</v>
      </c>
      <c r="AS112" s="128">
        <v>10859000</v>
      </c>
      <c r="AT112" s="128">
        <v>626000</v>
      </c>
      <c r="AU112" s="128">
        <v>-329792000</v>
      </c>
      <c r="AV112" s="128">
        <v>-355950000</v>
      </c>
      <c r="AW112" s="128">
        <v>-356299000</v>
      </c>
      <c r="AX112" s="128">
        <v>-289827000</v>
      </c>
      <c r="AY112" s="128">
        <v>-13890000</v>
      </c>
      <c r="AZ112" s="128">
        <v>-14457000</v>
      </c>
      <c r="BA112" s="128">
        <v>-14332000</v>
      </c>
      <c r="BB112" s="128">
        <v>-12060000</v>
      </c>
      <c r="BC112" s="128">
        <v>-49725000</v>
      </c>
      <c r="BD112" s="128">
        <v>-47855000</v>
      </c>
      <c r="BE112" s="128">
        <v>-39793000</v>
      </c>
      <c r="BF112" s="128">
        <v>-39944000</v>
      </c>
      <c r="BG112" s="128">
        <v>79917000</v>
      </c>
      <c r="BH112" s="128">
        <v>102388000</v>
      </c>
      <c r="BI112" s="128">
        <v>33651000</v>
      </c>
      <c r="BJ112" s="128">
        <v>65372000</v>
      </c>
      <c r="BK112" s="128">
        <v>-56836000</v>
      </c>
      <c r="BL112" s="128">
        <v>-53998000</v>
      </c>
      <c r="BM112" s="128">
        <v>-51523000</v>
      </c>
      <c r="BN112" s="128">
        <v>-49719000</v>
      </c>
      <c r="BO112" s="128">
        <v>-55924000</v>
      </c>
      <c r="BP112" s="128">
        <v>-52898000</v>
      </c>
      <c r="BQ112" s="128">
        <v>-49846000</v>
      </c>
      <c r="BR112" s="128">
        <v>-48832000</v>
      </c>
      <c r="BS112" s="128">
        <v>-912000</v>
      </c>
      <c r="BT112" s="128">
        <v>-1100000</v>
      </c>
      <c r="BU112" s="128">
        <v>-1677000</v>
      </c>
      <c r="BV112" s="128">
        <v>-887000</v>
      </c>
      <c r="BW112" s="128">
        <v>30070000</v>
      </c>
      <c r="BX112" s="128">
        <v>42309000</v>
      </c>
      <c r="BY112" s="128">
        <v>-31538000</v>
      </c>
      <c r="BZ112" s="128">
        <v>10370000</v>
      </c>
      <c r="CA112" s="128">
        <v>433410000</v>
      </c>
      <c r="CB112" s="128">
        <v>484109000</v>
      </c>
      <c r="CC112" s="128">
        <v>257361000</v>
      </c>
      <c r="CD112" s="128">
        <v>281970000</v>
      </c>
      <c r="CE112" s="128">
        <v>115164000</v>
      </c>
      <c r="CF112" s="128">
        <v>104192000</v>
      </c>
      <c r="CG112" s="128">
        <v>77134000</v>
      </c>
      <c r="CH112" s="128">
        <v>102387000</v>
      </c>
      <c r="CI112" s="128">
        <v>165487000</v>
      </c>
      <c r="CJ112" s="128">
        <v>137151000</v>
      </c>
      <c r="CK112" s="128">
        <v>147233000</v>
      </c>
      <c r="CL112" s="128">
        <v>129710000</v>
      </c>
      <c r="CM112" s="128">
        <v>9529000</v>
      </c>
      <c r="CN112" s="128">
        <v>10880000</v>
      </c>
      <c r="CO112" s="128">
        <v>7830000</v>
      </c>
      <c r="CP112" s="128">
        <v>7473000</v>
      </c>
      <c r="CQ112" s="128">
        <v>143230000</v>
      </c>
      <c r="CR112" s="128">
        <v>231886000</v>
      </c>
      <c r="CS112" s="128">
        <v>25164000</v>
      </c>
      <c r="CT112" s="128">
        <v>42400000</v>
      </c>
      <c r="CU112" s="125" t="s">
        <v>340</v>
      </c>
      <c r="CV112" s="125" t="s">
        <v>340</v>
      </c>
      <c r="CW112" s="125" t="s">
        <v>340</v>
      </c>
      <c r="CX112" s="125" t="s">
        <v>340</v>
      </c>
      <c r="CY112" s="128">
        <v>8484000</v>
      </c>
      <c r="CZ112" s="128">
        <v>6974000</v>
      </c>
      <c r="DA112" s="128">
        <v>6597000</v>
      </c>
      <c r="DB112" s="128">
        <v>5918000</v>
      </c>
      <c r="DC112" s="128">
        <v>770870000</v>
      </c>
      <c r="DD112" s="128">
        <v>847018000</v>
      </c>
      <c r="DE112" s="128">
        <v>531404000</v>
      </c>
      <c r="DF112" s="128">
        <v>587916000</v>
      </c>
      <c r="DG112" s="16">
        <f t="shared" si="46"/>
        <v>472944000</v>
      </c>
      <c r="DH112" s="16">
        <f t="shared" si="47"/>
        <v>-329792000</v>
      </c>
      <c r="DI112" s="16">
        <f t="shared" si="48"/>
        <v>-63615000</v>
      </c>
      <c r="DJ112" s="16">
        <f t="shared" si="49"/>
        <v>-56836000</v>
      </c>
      <c r="DK112" s="16">
        <f t="shared" si="50"/>
        <v>22701000</v>
      </c>
      <c r="DL112" s="57">
        <f t="shared" si="51"/>
        <v>4.7999340302445959E-2</v>
      </c>
      <c r="DM112" s="57">
        <f t="shared" si="52"/>
        <v>5.041944016897542E-2</v>
      </c>
      <c r="DN112" s="58">
        <f t="shared" si="53"/>
        <v>-13890000</v>
      </c>
      <c r="DO112" s="16">
        <f t="shared" si="54"/>
        <v>109678000</v>
      </c>
      <c r="DP112" s="16">
        <f t="shared" si="55"/>
        <v>7729000</v>
      </c>
      <c r="DQ112" s="61"/>
      <c r="DR112" s="62">
        <f t="shared" si="56"/>
        <v>518290000</v>
      </c>
      <c r="DS112" s="62">
        <f t="shared" si="57"/>
        <v>-355950000</v>
      </c>
      <c r="DT112" s="62">
        <f t="shared" si="58"/>
        <v>-62312000</v>
      </c>
      <c r="DU112" s="62">
        <f t="shared" si="59"/>
        <v>-53998000</v>
      </c>
      <c r="DV112" s="62">
        <f t="shared" si="60"/>
        <v>46030000</v>
      </c>
      <c r="DW112" s="63">
        <f t="shared" si="61"/>
        <v>8.8811283258407453E-2</v>
      </c>
      <c r="DX112" s="63">
        <f t="shared" si="62"/>
        <v>9.7467496717909621E-2</v>
      </c>
      <c r="DY112" s="64">
        <f t="shared" si="63"/>
        <v>-14457000</v>
      </c>
      <c r="DZ112" s="64">
        <f t="shared" si="64"/>
        <v>90663000</v>
      </c>
      <c r="EA112" s="64">
        <f t="shared" si="65"/>
        <v>6785500</v>
      </c>
      <c r="EB112" s="61"/>
      <c r="EC112" s="64">
        <f t="shared" si="66"/>
        <v>433216000</v>
      </c>
      <c r="ED112" s="64">
        <f t="shared" si="67"/>
        <v>-356299000</v>
      </c>
      <c r="EE112" s="64">
        <f t="shared" si="68"/>
        <v>-54125000</v>
      </c>
      <c r="EF112" s="64">
        <f t="shared" si="69"/>
        <v>-51523000</v>
      </c>
      <c r="EG112" s="64">
        <f t="shared" si="70"/>
        <v>-28731000</v>
      </c>
      <c r="EH112" s="63">
        <f t="shared" si="71"/>
        <v>-6.6320265179494756E-2</v>
      </c>
      <c r="EI112" s="57">
        <f t="shared" si="72"/>
        <v>-6.2195446663794764E-2</v>
      </c>
      <c r="EJ112" s="64">
        <f t="shared" si="73"/>
        <v>-14332000</v>
      </c>
      <c r="EK112" s="64">
        <f t="shared" si="74"/>
        <v>89760500</v>
      </c>
      <c r="EL112" s="64">
        <f t="shared" si="75"/>
        <v>6257500</v>
      </c>
      <c r="EM112" s="61"/>
      <c r="EN112" s="66">
        <f t="shared" si="76"/>
        <v>474816666.66666669</v>
      </c>
      <c r="EO112" s="66">
        <f t="shared" si="76"/>
        <v>-347347000</v>
      </c>
      <c r="EP112" s="66">
        <f t="shared" si="76"/>
        <v>-60017333.333333336</v>
      </c>
      <c r="EQ112" s="66">
        <f t="shared" si="43"/>
        <v>-54119000</v>
      </c>
      <c r="ER112" s="66">
        <f t="shared" si="77"/>
        <v>13333333.333333343</v>
      </c>
      <c r="ES112" s="63">
        <f t="shared" si="78"/>
        <v>2.8081013724595479E-2</v>
      </c>
      <c r="ET112" s="67">
        <f t="shared" si="79"/>
        <v>2.8892339918379164E-2</v>
      </c>
      <c r="EU112" s="66">
        <f t="shared" si="80"/>
        <v>14226333.333333334</v>
      </c>
      <c r="EV112" s="66">
        <f t="shared" si="81"/>
        <v>96700500</v>
      </c>
      <c r="EW112" s="66">
        <f t="shared" si="81"/>
        <v>6924000</v>
      </c>
      <c r="EX112" s="70"/>
      <c r="EY112" s="71" t="str">
        <f t="shared" si="82"/>
        <v>完整</v>
      </c>
      <c r="EZ112" s="71" t="str">
        <f t="shared" si="83"/>
        <v>完整</v>
      </c>
      <c r="FA112" s="71" t="str">
        <f t="shared" si="84"/>
        <v>完整</v>
      </c>
      <c r="FB112" s="71" t="str">
        <f t="shared" si="85"/>
        <v>选择</v>
      </c>
      <c r="FC112" s="71" t="str">
        <f t="shared" si="86"/>
        <v>选择</v>
      </c>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0"/>
    </row>
    <row r="113" spans="1:218" s="3" customFormat="1" ht="12.75" customHeight="1" x14ac:dyDescent="0.25">
      <c r="A113" s="28" t="s">
        <v>277</v>
      </c>
      <c r="B113" s="134" t="str">
        <f t="shared" si="44"/>
        <v>PEE CEE COSMA SOPE LIMITED</v>
      </c>
      <c r="C113" s="29" t="s">
        <v>328</v>
      </c>
      <c r="D113" s="135" t="s">
        <v>312</v>
      </c>
      <c r="E113" s="29"/>
      <c r="F113" s="135"/>
      <c r="G113" s="29"/>
      <c r="H113" s="31" t="str">
        <f t="shared" si="45"/>
        <v xml:space="preserve"> </v>
      </c>
      <c r="I113" s="29"/>
      <c r="J113" s="29" t="str">
        <f>VLOOKUP(Z:Z,'[1]AP 2022'!FD112:FF181,2,FALSE)</f>
        <v>exclude</v>
      </c>
      <c r="K113" s="47" t="str">
        <f>VLOOKUP(Z:Z,'[1]AP 2022'!FD112:FF181,3,0)</f>
        <v>lev SDA/SDP</v>
      </c>
      <c r="L113" s="48"/>
      <c r="M113" s="125" t="s">
        <v>1179</v>
      </c>
      <c r="N113" s="125" t="s">
        <v>1180</v>
      </c>
      <c r="O113" s="125" t="s">
        <v>331</v>
      </c>
      <c r="P113" s="125" t="s">
        <v>1181</v>
      </c>
      <c r="Q113" s="124"/>
      <c r="R113" s="125" t="s">
        <v>353</v>
      </c>
      <c r="S113" s="125" t="s">
        <v>1182</v>
      </c>
      <c r="T113" s="125" t="s">
        <v>335</v>
      </c>
      <c r="U113" s="125" t="s">
        <v>315</v>
      </c>
      <c r="V113" s="125" t="s">
        <v>1183</v>
      </c>
      <c r="W113" s="125" t="s">
        <v>1184</v>
      </c>
      <c r="X113" s="124"/>
      <c r="Y113" s="124"/>
      <c r="Z113" s="125" t="s">
        <v>1185</v>
      </c>
      <c r="AA113" s="128">
        <v>1245342000</v>
      </c>
      <c r="AB113" s="128">
        <v>927004000</v>
      </c>
      <c r="AC113" s="128">
        <v>822886000</v>
      </c>
      <c r="AD113" s="128">
        <v>739698000</v>
      </c>
      <c r="AE113" s="128">
        <v>1245167000</v>
      </c>
      <c r="AF113" s="128">
        <v>926927000</v>
      </c>
      <c r="AG113" s="128">
        <v>822542000</v>
      </c>
      <c r="AH113" s="128">
        <v>739561000</v>
      </c>
      <c r="AI113" s="125" t="s">
        <v>340</v>
      </c>
      <c r="AJ113" s="125" t="s">
        <v>340</v>
      </c>
      <c r="AK113" s="125" t="s">
        <v>340</v>
      </c>
      <c r="AL113" s="125" t="s">
        <v>340</v>
      </c>
      <c r="AM113" s="128">
        <v>1245167000</v>
      </c>
      <c r="AN113" s="128">
        <v>926927000</v>
      </c>
      <c r="AO113" s="128">
        <v>822542000</v>
      </c>
      <c r="AP113" s="128">
        <v>739561000</v>
      </c>
      <c r="AQ113" s="128">
        <v>175000</v>
      </c>
      <c r="AR113" s="128">
        <v>77000</v>
      </c>
      <c r="AS113" s="128">
        <v>344000</v>
      </c>
      <c r="AT113" s="128">
        <v>137000</v>
      </c>
      <c r="AU113" s="128">
        <v>-948562000</v>
      </c>
      <c r="AV113" s="128">
        <v>-702525000</v>
      </c>
      <c r="AW113" s="128">
        <v>-589935000</v>
      </c>
      <c r="AX113" s="128">
        <v>-524151000</v>
      </c>
      <c r="AY113" s="128">
        <v>0</v>
      </c>
      <c r="AZ113" s="128">
        <v>0</v>
      </c>
      <c r="BA113" s="128">
        <v>0</v>
      </c>
      <c r="BB113" s="128">
        <v>0</v>
      </c>
      <c r="BC113" s="128">
        <v>-244724000</v>
      </c>
      <c r="BD113" s="128">
        <v>-196384000</v>
      </c>
      <c r="BE113" s="128">
        <v>-165780000</v>
      </c>
      <c r="BF113" s="128">
        <v>-180477000</v>
      </c>
      <c r="BG113" s="128">
        <v>52056000</v>
      </c>
      <c r="BH113" s="128">
        <v>28095000</v>
      </c>
      <c r="BI113" s="128">
        <v>67171000</v>
      </c>
      <c r="BJ113" s="128">
        <v>35070000</v>
      </c>
      <c r="BK113" s="128">
        <v>-15104000</v>
      </c>
      <c r="BL113" s="128">
        <v>-6598000</v>
      </c>
      <c r="BM113" s="128">
        <v>-5868000</v>
      </c>
      <c r="BN113" s="128">
        <v>-7483000</v>
      </c>
      <c r="BO113" s="128">
        <v>-15078000</v>
      </c>
      <c r="BP113" s="128">
        <v>-6550000</v>
      </c>
      <c r="BQ113" s="128">
        <v>-5780000</v>
      </c>
      <c r="BR113" s="128">
        <v>-7323000</v>
      </c>
      <c r="BS113" s="128">
        <v>-26000</v>
      </c>
      <c r="BT113" s="128">
        <v>-48000</v>
      </c>
      <c r="BU113" s="128">
        <v>-88000</v>
      </c>
      <c r="BV113" s="128">
        <v>-160000</v>
      </c>
      <c r="BW113" s="128">
        <v>24862000</v>
      </c>
      <c r="BX113" s="128">
        <v>16853000</v>
      </c>
      <c r="BY113" s="128">
        <v>47663000</v>
      </c>
      <c r="BZ113" s="128">
        <v>21054000</v>
      </c>
      <c r="CA113" s="128">
        <v>166632000</v>
      </c>
      <c r="CB113" s="128">
        <v>146851000</v>
      </c>
      <c r="CC113" s="128">
        <v>126360000</v>
      </c>
      <c r="CD113" s="128">
        <v>164539000</v>
      </c>
      <c r="CE113" s="128">
        <v>150879000</v>
      </c>
      <c r="CF113" s="128">
        <v>119163000</v>
      </c>
      <c r="CG113" s="128">
        <v>114250000</v>
      </c>
      <c r="CH113" s="128">
        <v>92742000</v>
      </c>
      <c r="CI113" s="128">
        <v>6778000</v>
      </c>
      <c r="CJ113" s="128">
        <v>4890000</v>
      </c>
      <c r="CK113" s="128">
        <v>4295000</v>
      </c>
      <c r="CL113" s="128">
        <v>2798000</v>
      </c>
      <c r="CM113" s="128">
        <v>1912000</v>
      </c>
      <c r="CN113" s="128">
        <v>1849000</v>
      </c>
      <c r="CO113" s="128">
        <v>1131000</v>
      </c>
      <c r="CP113" s="128">
        <v>45027000</v>
      </c>
      <c r="CQ113" s="128">
        <v>3241000</v>
      </c>
      <c r="CR113" s="128">
        <v>15775000</v>
      </c>
      <c r="CS113" s="128">
        <v>2621000</v>
      </c>
      <c r="CT113" s="128">
        <v>23314000</v>
      </c>
      <c r="CU113" s="125" t="s">
        <v>340</v>
      </c>
      <c r="CV113" s="125" t="s">
        <v>340</v>
      </c>
      <c r="CW113" s="125" t="s">
        <v>340</v>
      </c>
      <c r="CX113" s="125" t="s">
        <v>340</v>
      </c>
      <c r="CY113" s="128">
        <v>15626000</v>
      </c>
      <c r="CZ113" s="128">
        <v>33291000</v>
      </c>
      <c r="DA113" s="128">
        <v>9615000</v>
      </c>
      <c r="DB113" s="128">
        <v>8997000</v>
      </c>
      <c r="DC113" s="128">
        <v>467505000</v>
      </c>
      <c r="DD113" s="128">
        <v>472734000</v>
      </c>
      <c r="DE113" s="128">
        <v>359082000</v>
      </c>
      <c r="DF113" s="128">
        <v>320671000</v>
      </c>
      <c r="DG113" s="16">
        <f t="shared" si="46"/>
        <v>1245167000</v>
      </c>
      <c r="DH113" s="16">
        <f t="shared" si="47"/>
        <v>-948562000</v>
      </c>
      <c r="DI113" s="16">
        <f t="shared" si="48"/>
        <v>-244724000</v>
      </c>
      <c r="DJ113" s="16">
        <f t="shared" si="49"/>
        <v>-15104000</v>
      </c>
      <c r="DK113" s="16">
        <f t="shared" si="50"/>
        <v>36777000</v>
      </c>
      <c r="DL113" s="57">
        <f t="shared" si="51"/>
        <v>2.953579720631851E-2</v>
      </c>
      <c r="DM113" s="57">
        <f t="shared" si="52"/>
        <v>3.0434710648052365E-2</v>
      </c>
      <c r="DN113" s="58">
        <f t="shared" si="53"/>
        <v>0</v>
      </c>
      <c r="DO113" s="16">
        <f t="shared" si="54"/>
        <v>135021000</v>
      </c>
      <c r="DP113" s="16">
        <f t="shared" si="55"/>
        <v>24458500</v>
      </c>
      <c r="DQ113" s="61"/>
      <c r="DR113" s="62">
        <f t="shared" si="56"/>
        <v>926927000</v>
      </c>
      <c r="DS113" s="62">
        <f t="shared" si="57"/>
        <v>-702525000</v>
      </c>
      <c r="DT113" s="62">
        <f t="shared" si="58"/>
        <v>-196384000</v>
      </c>
      <c r="DU113" s="62">
        <f t="shared" si="59"/>
        <v>-6598000</v>
      </c>
      <c r="DV113" s="62">
        <f t="shared" si="60"/>
        <v>21420000</v>
      </c>
      <c r="DW113" s="63">
        <f t="shared" si="61"/>
        <v>2.3108615888845614E-2</v>
      </c>
      <c r="DX113" s="63">
        <f t="shared" si="62"/>
        <v>2.3655256116186844E-2</v>
      </c>
      <c r="DY113" s="64">
        <f t="shared" si="63"/>
        <v>0</v>
      </c>
      <c r="DZ113" s="64">
        <f t="shared" si="64"/>
        <v>116706500</v>
      </c>
      <c r="EA113" s="64">
        <f t="shared" si="65"/>
        <v>21453000</v>
      </c>
      <c r="EB113" s="61"/>
      <c r="EC113" s="64">
        <f t="shared" si="66"/>
        <v>822542000</v>
      </c>
      <c r="ED113" s="64">
        <f t="shared" si="67"/>
        <v>-589935000</v>
      </c>
      <c r="EE113" s="64">
        <f t="shared" si="68"/>
        <v>-165780000</v>
      </c>
      <c r="EF113" s="64">
        <f t="shared" si="69"/>
        <v>-5868000</v>
      </c>
      <c r="EG113" s="64">
        <f t="shared" si="70"/>
        <v>60959000</v>
      </c>
      <c r="EH113" s="63">
        <f t="shared" si="71"/>
        <v>7.4110501348259417E-2</v>
      </c>
      <c r="EI113" s="57">
        <f t="shared" si="72"/>
        <v>8.0042490444245731E-2</v>
      </c>
      <c r="EJ113" s="64">
        <f t="shared" si="73"/>
        <v>0</v>
      </c>
      <c r="EK113" s="64">
        <f t="shared" si="74"/>
        <v>103496000</v>
      </c>
      <c r="EL113" s="64">
        <f t="shared" si="75"/>
        <v>9306000</v>
      </c>
      <c r="EM113" s="61"/>
      <c r="EN113" s="66">
        <f t="shared" si="76"/>
        <v>998212000</v>
      </c>
      <c r="EO113" s="66">
        <f t="shared" si="76"/>
        <v>-747007333.33333337</v>
      </c>
      <c r="EP113" s="66">
        <f t="shared" si="76"/>
        <v>-202296000</v>
      </c>
      <c r="EQ113" s="66">
        <f t="shared" si="43"/>
        <v>-9190000</v>
      </c>
      <c r="ER113" s="66">
        <f t="shared" si="77"/>
        <v>39718666.666666627</v>
      </c>
      <c r="ES113" s="63">
        <f t="shared" si="78"/>
        <v>3.9789810848463683E-2</v>
      </c>
      <c r="ET113" s="67">
        <f t="shared" si="79"/>
        <v>4.1438646765061787E-2</v>
      </c>
      <c r="EU113" s="66">
        <f t="shared" si="80"/>
        <v>0</v>
      </c>
      <c r="EV113" s="66">
        <f t="shared" si="81"/>
        <v>118407833.33333333</v>
      </c>
      <c r="EW113" s="66">
        <f t="shared" si="81"/>
        <v>18405833.333333332</v>
      </c>
      <c r="EX113" s="70"/>
      <c r="EY113" s="71" t="str">
        <f t="shared" si="82"/>
        <v>完整</v>
      </c>
      <c r="EZ113" s="71" t="str">
        <f t="shared" si="83"/>
        <v>完整</v>
      </c>
      <c r="FA113" s="71" t="str">
        <f t="shared" si="84"/>
        <v>完整</v>
      </c>
      <c r="FB113" s="71" t="str">
        <f t="shared" si="85"/>
        <v>选择</v>
      </c>
      <c r="FC113" s="71" t="str">
        <f t="shared" si="86"/>
        <v>选择</v>
      </c>
      <c r="FD113" s="72"/>
      <c r="FE113" s="72"/>
      <c r="FF113" s="72"/>
      <c r="FG113" s="72"/>
      <c r="FH113" s="72"/>
      <c r="FI113" s="72"/>
      <c r="FJ113" s="72"/>
      <c r="FK113" s="72"/>
      <c r="FL113" s="72"/>
      <c r="FM113" s="72"/>
      <c r="FN113" s="72"/>
      <c r="FO113" s="72"/>
      <c r="FP113" s="72"/>
      <c r="FQ113" s="72"/>
      <c r="FR113" s="72"/>
      <c r="FS113" s="72"/>
      <c r="FT113" s="72"/>
      <c r="FU113" s="72"/>
      <c r="FV113" s="72"/>
      <c r="FW113" s="72"/>
      <c r="FX113" s="72"/>
      <c r="FY113" s="72"/>
      <c r="FZ113" s="72"/>
      <c r="GA113" s="72"/>
      <c r="GB113" s="72"/>
      <c r="GC113" s="72"/>
      <c r="GD113" s="72"/>
      <c r="GE113" s="72"/>
      <c r="GF113" s="72"/>
      <c r="GG113" s="72"/>
      <c r="GH113" s="72"/>
      <c r="GI113" s="72"/>
      <c r="GJ113" s="72"/>
      <c r="GK113" s="72"/>
      <c r="GL113" s="72"/>
      <c r="GM113" s="72"/>
      <c r="GN113" s="72"/>
      <c r="GO113" s="72"/>
      <c r="GP113" s="72"/>
      <c r="GQ113" s="72"/>
      <c r="GR113" s="72"/>
      <c r="GS113" s="72"/>
      <c r="GT113" s="72"/>
      <c r="GU113" s="72"/>
      <c r="GV113" s="72"/>
      <c r="GW113" s="72"/>
      <c r="GX113" s="72"/>
      <c r="GY113" s="72"/>
      <c r="GZ113" s="72"/>
      <c r="HA113" s="72"/>
      <c r="HB113" s="72"/>
      <c r="HC113" s="72"/>
      <c r="HD113" s="72"/>
      <c r="HE113" s="72"/>
      <c r="HF113" s="72"/>
      <c r="HG113" s="72"/>
      <c r="HH113" s="72"/>
      <c r="HI113" s="72"/>
    </row>
    <row r="114" spans="1:218" s="3" customFormat="1" ht="12.75" customHeight="1" x14ac:dyDescent="0.25">
      <c r="A114" s="28" t="s">
        <v>278</v>
      </c>
      <c r="B114" s="134" t="str">
        <f t="shared" si="44"/>
        <v>SWADESHI INDUSTRIAL WORKS PLC</v>
      </c>
      <c r="C114" s="29" t="s">
        <v>328</v>
      </c>
      <c r="D114" s="136" t="s">
        <v>309</v>
      </c>
      <c r="E114" s="35"/>
      <c r="H114" s="31" t="str">
        <f t="shared" si="45"/>
        <v xml:space="preserve"> </v>
      </c>
      <c r="I114" s="29"/>
      <c r="J114" s="29" t="str">
        <f>VLOOKUP(Z:Z,'[1]AP 2022'!FD113:FF181,2,FALSE)</f>
        <v>exclude</v>
      </c>
      <c r="K114" s="47" t="str">
        <f>VLOOKUP(Z:Z,'[1]AP 2022'!FD113:FF181,3,0)</f>
        <v>Independence(A+, A, A-, U)</v>
      </c>
      <c r="L114" s="48"/>
      <c r="M114" s="125" t="s">
        <v>1186</v>
      </c>
      <c r="N114" s="125" t="s">
        <v>1187</v>
      </c>
      <c r="O114" s="125" t="s">
        <v>331</v>
      </c>
      <c r="P114" s="125" t="s">
        <v>1188</v>
      </c>
      <c r="Q114" s="124"/>
      <c r="R114" s="125" t="s">
        <v>635</v>
      </c>
      <c r="S114" s="125" t="s">
        <v>1189</v>
      </c>
      <c r="T114" s="125" t="s">
        <v>365</v>
      </c>
      <c r="U114" s="125" t="s">
        <v>315</v>
      </c>
      <c r="V114" s="125" t="s">
        <v>1190</v>
      </c>
      <c r="W114" s="125" t="s">
        <v>1191</v>
      </c>
      <c r="X114" s="124"/>
      <c r="Y114" s="124"/>
      <c r="Z114" s="125" t="s">
        <v>1192</v>
      </c>
      <c r="AA114" s="128">
        <v>4821688000</v>
      </c>
      <c r="AB114" s="128">
        <v>3134868000</v>
      </c>
      <c r="AC114" s="128">
        <v>3078073000</v>
      </c>
      <c r="AD114" s="128">
        <v>2361914000</v>
      </c>
      <c r="AE114" s="128">
        <v>5482912000</v>
      </c>
      <c r="AF114" s="128">
        <v>3385711000</v>
      </c>
      <c r="AG114" s="128">
        <v>3378554000</v>
      </c>
      <c r="AH114" s="128">
        <v>2728302000</v>
      </c>
      <c r="AI114" s="128">
        <v>-663512000</v>
      </c>
      <c r="AJ114" s="128">
        <v>-275895000</v>
      </c>
      <c r="AK114" s="128">
        <v>-315635000</v>
      </c>
      <c r="AL114" s="128">
        <v>-375749000</v>
      </c>
      <c r="AM114" s="128">
        <v>4819400000</v>
      </c>
      <c r="AN114" s="128">
        <v>3109816000</v>
      </c>
      <c r="AO114" s="128">
        <v>3062919000</v>
      </c>
      <c r="AP114" s="128">
        <v>2352553000</v>
      </c>
      <c r="AQ114" s="128">
        <v>2288000</v>
      </c>
      <c r="AR114" s="128">
        <v>25052000</v>
      </c>
      <c r="AS114" s="128">
        <v>15154000</v>
      </c>
      <c r="AT114" s="128">
        <v>9361000</v>
      </c>
      <c r="AU114" s="128">
        <v>-2785460000</v>
      </c>
      <c r="AV114" s="128">
        <v>-1895322000</v>
      </c>
      <c r="AW114" s="128">
        <v>-1677088000</v>
      </c>
      <c r="AX114" s="128">
        <v>-1341153000</v>
      </c>
      <c r="AY114" s="128">
        <v>0</v>
      </c>
      <c r="AZ114" s="128">
        <v>0</v>
      </c>
      <c r="BA114" s="128">
        <v>0</v>
      </c>
      <c r="BB114" s="128">
        <v>0</v>
      </c>
      <c r="BC114" s="128">
        <v>-1636471000</v>
      </c>
      <c r="BD114" s="128">
        <v>-1140970000</v>
      </c>
      <c r="BE114" s="128">
        <v>-1196607000</v>
      </c>
      <c r="BF114" s="128">
        <v>-917513000</v>
      </c>
      <c r="BG114" s="128">
        <v>399757000</v>
      </c>
      <c r="BH114" s="128">
        <v>98576000</v>
      </c>
      <c r="BI114" s="128">
        <v>204378000</v>
      </c>
      <c r="BJ114" s="128">
        <v>103248000</v>
      </c>
      <c r="BK114" s="128">
        <v>-27665000</v>
      </c>
      <c r="BL114" s="128">
        <v>-19751000</v>
      </c>
      <c r="BM114" s="128">
        <v>-24966000</v>
      </c>
      <c r="BN114" s="128">
        <v>-22645000</v>
      </c>
      <c r="BO114" s="128">
        <v>-26945000</v>
      </c>
      <c r="BP114" s="128">
        <v>-19031000</v>
      </c>
      <c r="BQ114" s="128">
        <v>-24386000</v>
      </c>
      <c r="BR114" s="128">
        <v>-22165000</v>
      </c>
      <c r="BS114" s="128">
        <v>-720000</v>
      </c>
      <c r="BT114" s="128">
        <v>-720000</v>
      </c>
      <c r="BU114" s="128">
        <v>-580000</v>
      </c>
      <c r="BV114" s="128">
        <v>-480000</v>
      </c>
      <c r="BW114" s="128">
        <v>199547000</v>
      </c>
      <c r="BX114" s="128">
        <v>4422000</v>
      </c>
      <c r="BY114" s="128">
        <v>128566000</v>
      </c>
      <c r="BZ114" s="128">
        <v>12100000</v>
      </c>
      <c r="CA114" s="128">
        <v>1695065000</v>
      </c>
      <c r="CB114" s="128">
        <v>1173414000</v>
      </c>
      <c r="CC114" s="128">
        <v>1000392000</v>
      </c>
      <c r="CD114" s="128">
        <v>831418000</v>
      </c>
      <c r="CE114" s="128">
        <v>904430000</v>
      </c>
      <c r="CF114" s="128">
        <v>665139000</v>
      </c>
      <c r="CG114" s="128">
        <v>529921000</v>
      </c>
      <c r="CH114" s="128">
        <v>348391000</v>
      </c>
      <c r="CI114" s="128">
        <v>492415000</v>
      </c>
      <c r="CJ114" s="128">
        <v>382103000</v>
      </c>
      <c r="CK114" s="128">
        <v>341218000</v>
      </c>
      <c r="CL114" s="128">
        <v>324537000</v>
      </c>
      <c r="CM114" s="128">
        <v>6874000</v>
      </c>
      <c r="CN114" s="128">
        <v>9228000</v>
      </c>
      <c r="CO114" s="128">
        <v>22041000</v>
      </c>
      <c r="CP114" s="128">
        <v>18222000</v>
      </c>
      <c r="CQ114" s="128">
        <v>31849000</v>
      </c>
      <c r="CR114" s="128">
        <v>20333000</v>
      </c>
      <c r="CS114" s="128">
        <v>5718000</v>
      </c>
      <c r="CT114" s="128">
        <v>17340000</v>
      </c>
      <c r="CU114" s="125" t="s">
        <v>340</v>
      </c>
      <c r="CV114" s="125" t="s">
        <v>340</v>
      </c>
      <c r="CW114" s="125" t="s">
        <v>340</v>
      </c>
      <c r="CX114" s="125" t="s">
        <v>340</v>
      </c>
      <c r="CY114" s="128">
        <v>645000</v>
      </c>
      <c r="CZ114" s="128">
        <v>64000</v>
      </c>
      <c r="DA114" s="125" t="s">
        <v>340</v>
      </c>
      <c r="DB114" s="125" t="s">
        <v>340</v>
      </c>
      <c r="DC114" s="128">
        <v>3405051000</v>
      </c>
      <c r="DD114" s="128">
        <v>2819339000</v>
      </c>
      <c r="DE114" s="128">
        <v>2456236000</v>
      </c>
      <c r="DF114" s="128">
        <v>1669671000</v>
      </c>
      <c r="DG114" s="16">
        <f t="shared" si="46"/>
        <v>4819400000</v>
      </c>
      <c r="DH114" s="16">
        <f t="shared" si="47"/>
        <v>-2785460000</v>
      </c>
      <c r="DI114" s="16">
        <f t="shared" si="48"/>
        <v>-1636471000</v>
      </c>
      <c r="DJ114" s="16">
        <f t="shared" si="49"/>
        <v>-27665000</v>
      </c>
      <c r="DK114" s="16">
        <f t="shared" si="50"/>
        <v>369804000</v>
      </c>
      <c r="DL114" s="57">
        <f t="shared" si="51"/>
        <v>7.6732373324480227E-2</v>
      </c>
      <c r="DM114" s="57">
        <f t="shared" si="52"/>
        <v>8.3109567700078837E-2</v>
      </c>
      <c r="DN114" s="58">
        <f t="shared" si="53"/>
        <v>0</v>
      </c>
      <c r="DO114" s="16">
        <f t="shared" si="54"/>
        <v>784784500</v>
      </c>
      <c r="DP114" s="16">
        <f t="shared" si="55"/>
        <v>354500</v>
      </c>
      <c r="DQ114" s="61"/>
      <c r="DR114" s="62">
        <f t="shared" si="56"/>
        <v>3109816000</v>
      </c>
      <c r="DS114" s="62">
        <f t="shared" si="57"/>
        <v>-1895322000</v>
      </c>
      <c r="DT114" s="62">
        <f t="shared" si="58"/>
        <v>-1140970000</v>
      </c>
      <c r="DU114" s="62">
        <f t="shared" si="59"/>
        <v>-19751000</v>
      </c>
      <c r="DV114" s="62">
        <f t="shared" si="60"/>
        <v>53773000</v>
      </c>
      <c r="DW114" s="63">
        <f t="shared" si="61"/>
        <v>1.7291376724539329E-2</v>
      </c>
      <c r="DX114" s="63">
        <f t="shared" si="62"/>
        <v>1.7595629380869313E-2</v>
      </c>
      <c r="DY114" s="64">
        <f t="shared" si="63"/>
        <v>0</v>
      </c>
      <c r="DZ114" s="64">
        <f t="shared" si="64"/>
        <v>597530000</v>
      </c>
      <c r="EA114" s="64" t="e">
        <f t="shared" si="65"/>
        <v>#VALUE!</v>
      </c>
      <c r="EB114" s="61"/>
      <c r="EC114" s="64">
        <f t="shared" si="66"/>
        <v>3062919000</v>
      </c>
      <c r="ED114" s="64">
        <f t="shared" si="67"/>
        <v>-1677088000</v>
      </c>
      <c r="EE114" s="64">
        <f t="shared" si="68"/>
        <v>-1196607000</v>
      </c>
      <c r="EF114" s="64">
        <f t="shared" si="69"/>
        <v>-24966000</v>
      </c>
      <c r="EG114" s="64">
        <f t="shared" si="70"/>
        <v>164258000</v>
      </c>
      <c r="EH114" s="63">
        <f t="shared" si="71"/>
        <v>5.3627928129996255E-2</v>
      </c>
      <c r="EI114" s="57">
        <f t="shared" si="72"/>
        <v>5.6666854109535404E-2</v>
      </c>
      <c r="EJ114" s="64">
        <f t="shared" si="73"/>
        <v>0</v>
      </c>
      <c r="EK114" s="64">
        <f t="shared" si="74"/>
        <v>439156000</v>
      </c>
      <c r="EL114" s="64" t="e">
        <f t="shared" si="75"/>
        <v>#VALUE!</v>
      </c>
      <c r="EM114" s="61"/>
      <c r="EN114" s="66">
        <f t="shared" si="76"/>
        <v>3664045000</v>
      </c>
      <c r="EO114" s="66">
        <f t="shared" si="76"/>
        <v>-2119290000</v>
      </c>
      <c r="EP114" s="66">
        <f t="shared" si="76"/>
        <v>-1324682666.6666667</v>
      </c>
      <c r="EQ114" s="66">
        <f t="shared" si="43"/>
        <v>-24127333.333333332</v>
      </c>
      <c r="ER114" s="66">
        <f t="shared" si="77"/>
        <v>195944999.99999991</v>
      </c>
      <c r="ES114" s="63">
        <f t="shared" si="78"/>
        <v>5.3477782068724569E-2</v>
      </c>
      <c r="ET114" s="67">
        <f t="shared" si="79"/>
        <v>5.6499235892851961E-2</v>
      </c>
      <c r="EU114" s="66">
        <f t="shared" si="80"/>
        <v>0</v>
      </c>
      <c r="EV114" s="66">
        <f t="shared" si="81"/>
        <v>607156833.33333337</v>
      </c>
      <c r="EW114" s="66" t="e">
        <f t="shared" si="81"/>
        <v>#VALUE!</v>
      </c>
      <c r="EX114" s="70"/>
      <c r="EY114" s="71" t="str">
        <f t="shared" si="82"/>
        <v>完整</v>
      </c>
      <c r="EZ114" s="71" t="str">
        <f t="shared" si="83"/>
        <v>完整</v>
      </c>
      <c r="FA114" s="71" t="str">
        <f t="shared" si="84"/>
        <v>完整</v>
      </c>
      <c r="FB114" s="71" t="str">
        <f t="shared" si="85"/>
        <v>选择</v>
      </c>
      <c r="FC114" s="71" t="str">
        <f t="shared" si="86"/>
        <v>选择</v>
      </c>
    </row>
    <row r="115" spans="1:218" s="3" customFormat="1" ht="12.75" customHeight="1" x14ac:dyDescent="0.25">
      <c r="A115" s="28" t="s">
        <v>279</v>
      </c>
      <c r="B115" s="134" t="str">
        <f t="shared" si="44"/>
        <v>JINCOSTECH CO,.LTD</v>
      </c>
      <c r="C115" s="29" t="s">
        <v>328</v>
      </c>
      <c r="D115" s="136" t="s">
        <v>309</v>
      </c>
      <c r="E115" s="35"/>
      <c r="F115" s="34"/>
      <c r="G115" s="74"/>
      <c r="H115" s="31" t="str">
        <f t="shared" si="45"/>
        <v xml:space="preserve"> </v>
      </c>
      <c r="I115" s="29"/>
      <c r="J115" s="29" t="str">
        <f>VLOOKUP(Z:Z,'[1]AP 2022'!FD114:FF181,2,FALSE)</f>
        <v>exclude</v>
      </c>
      <c r="K115" s="47" t="str">
        <f>VLOOKUP(Z:Z,'[1]AP 2022'!FD114:FF181,3,0)</f>
        <v>Independence(A+, A, A-, U)</v>
      </c>
      <c r="L115" s="48"/>
      <c r="M115" s="125" t="s">
        <v>1193</v>
      </c>
      <c r="N115" s="125" t="s">
        <v>1194</v>
      </c>
      <c r="O115" s="125" t="s">
        <v>331</v>
      </c>
      <c r="P115" s="125" t="s">
        <v>1195</v>
      </c>
      <c r="Q115" s="124"/>
      <c r="R115" s="125" t="s">
        <v>363</v>
      </c>
      <c r="S115" s="125" t="s">
        <v>1196</v>
      </c>
      <c r="T115" s="125" t="s">
        <v>365</v>
      </c>
      <c r="U115" s="125" t="s">
        <v>321</v>
      </c>
      <c r="V115" s="125" t="s">
        <v>812</v>
      </c>
      <c r="W115" s="125" t="s">
        <v>813</v>
      </c>
      <c r="X115" s="125" t="s">
        <v>1197</v>
      </c>
      <c r="Y115" s="124"/>
      <c r="Z115" s="125" t="s">
        <v>1198</v>
      </c>
      <c r="AA115" s="128">
        <v>17600849000</v>
      </c>
      <c r="AB115" s="128">
        <v>14887214000</v>
      </c>
      <c r="AC115" s="128">
        <v>26847558000</v>
      </c>
      <c r="AD115" s="128">
        <v>22564887000</v>
      </c>
      <c r="AE115" s="128">
        <v>17600849000</v>
      </c>
      <c r="AF115" s="128">
        <v>14887214000</v>
      </c>
      <c r="AG115" s="128">
        <v>26847558000</v>
      </c>
      <c r="AH115" s="128">
        <v>22564887000</v>
      </c>
      <c r="AI115" s="125" t="s">
        <v>340</v>
      </c>
      <c r="AJ115" s="125" t="s">
        <v>340</v>
      </c>
      <c r="AK115" s="125" t="s">
        <v>340</v>
      </c>
      <c r="AL115" s="125" t="s">
        <v>340</v>
      </c>
      <c r="AM115" s="128">
        <v>17600849000</v>
      </c>
      <c r="AN115" s="128">
        <v>14887214000</v>
      </c>
      <c r="AO115" s="128">
        <v>26847558000</v>
      </c>
      <c r="AP115" s="128">
        <v>22564887000</v>
      </c>
      <c r="AQ115" s="125" t="s">
        <v>340</v>
      </c>
      <c r="AR115" s="125" t="s">
        <v>340</v>
      </c>
      <c r="AS115" s="125" t="s">
        <v>340</v>
      </c>
      <c r="AT115" s="125" t="s">
        <v>340</v>
      </c>
      <c r="AU115" s="128">
        <v>-15920954000</v>
      </c>
      <c r="AV115" s="128">
        <v>-12674858000</v>
      </c>
      <c r="AW115" s="128">
        <v>-19070041000</v>
      </c>
      <c r="AX115" s="128">
        <v>-15735902000</v>
      </c>
      <c r="AY115" s="128">
        <v>-690328000</v>
      </c>
      <c r="AZ115" s="128">
        <v>-686294000</v>
      </c>
      <c r="BA115" s="128">
        <v>-552537000</v>
      </c>
      <c r="BB115" s="128">
        <v>-453559000</v>
      </c>
      <c r="BC115" s="128">
        <v>-3743749000</v>
      </c>
      <c r="BD115" s="128">
        <v>-3974719000</v>
      </c>
      <c r="BE115" s="128">
        <v>-3067720000</v>
      </c>
      <c r="BF115" s="128">
        <v>-4135737000</v>
      </c>
      <c r="BG115" s="128">
        <v>-2754182000</v>
      </c>
      <c r="BH115" s="128">
        <v>-2448657000</v>
      </c>
      <c r="BI115" s="128">
        <v>4157260000</v>
      </c>
      <c r="BJ115" s="128">
        <v>2239689000</v>
      </c>
      <c r="BK115" s="128">
        <v>-440392000</v>
      </c>
      <c r="BL115" s="128">
        <v>-299304000</v>
      </c>
      <c r="BM115" s="128">
        <v>-256390000</v>
      </c>
      <c r="BN115" s="128">
        <v>-271602000</v>
      </c>
      <c r="BO115" s="128">
        <v>-440392000</v>
      </c>
      <c r="BP115" s="128">
        <v>-299304000</v>
      </c>
      <c r="BQ115" s="128">
        <v>-256390000</v>
      </c>
      <c r="BR115" s="128">
        <v>-271602000</v>
      </c>
      <c r="BS115" s="125" t="s">
        <v>340</v>
      </c>
      <c r="BT115" s="125" t="s">
        <v>340</v>
      </c>
      <c r="BU115" s="125" t="s">
        <v>340</v>
      </c>
      <c r="BV115" s="125" t="s">
        <v>340</v>
      </c>
      <c r="BW115" s="128">
        <v>-4656558000</v>
      </c>
      <c r="BX115" s="128">
        <v>-381801000</v>
      </c>
      <c r="BY115" s="128">
        <v>2057618000</v>
      </c>
      <c r="BZ115" s="128">
        <v>571896000</v>
      </c>
      <c r="CA115" s="128">
        <v>7398013000</v>
      </c>
      <c r="CB115" s="128">
        <v>8163368000</v>
      </c>
      <c r="CC115" s="128">
        <v>10021742000</v>
      </c>
      <c r="CD115" s="128">
        <v>10776954000</v>
      </c>
      <c r="CE115" s="128">
        <v>1624803000</v>
      </c>
      <c r="CF115" s="128">
        <v>1991580000</v>
      </c>
      <c r="CG115" s="128">
        <v>1818322000</v>
      </c>
      <c r="CH115" s="128">
        <v>1761143000</v>
      </c>
      <c r="CI115" s="128">
        <v>3011608000</v>
      </c>
      <c r="CJ115" s="128">
        <v>2110576000</v>
      </c>
      <c r="CK115" s="128">
        <v>2278157000</v>
      </c>
      <c r="CL115" s="128">
        <v>2894724000</v>
      </c>
      <c r="CM115" s="128">
        <v>165395000</v>
      </c>
      <c r="CN115" s="128">
        <v>31762000</v>
      </c>
      <c r="CO115" s="128">
        <v>155462000</v>
      </c>
      <c r="CP115" s="128">
        <v>114818000</v>
      </c>
      <c r="CQ115" s="128">
        <v>2504925000</v>
      </c>
      <c r="CR115" s="128">
        <v>3882869000</v>
      </c>
      <c r="CS115" s="128">
        <v>5705883000</v>
      </c>
      <c r="CT115" s="128">
        <v>5780772000</v>
      </c>
      <c r="CU115" s="125" t="s">
        <v>340</v>
      </c>
      <c r="CV115" s="125" t="s">
        <v>340</v>
      </c>
      <c r="CW115" s="125" t="s">
        <v>340</v>
      </c>
      <c r="CX115" s="125" t="s">
        <v>340</v>
      </c>
      <c r="CY115" s="128">
        <v>1441555000</v>
      </c>
      <c r="CZ115" s="128">
        <v>1290302000</v>
      </c>
      <c r="DA115" s="128">
        <v>7155300000</v>
      </c>
      <c r="DB115" s="128">
        <v>3808759000</v>
      </c>
      <c r="DC115" s="128">
        <v>32922957000</v>
      </c>
      <c r="DD115" s="128">
        <v>35397235000</v>
      </c>
      <c r="DE115" s="128">
        <v>33129425000</v>
      </c>
      <c r="DF115" s="128">
        <v>31347066000</v>
      </c>
      <c r="DG115" s="16">
        <f t="shared" si="46"/>
        <v>17600849000</v>
      </c>
      <c r="DH115" s="16">
        <f t="shared" si="47"/>
        <v>-15920954000</v>
      </c>
      <c r="DI115" s="16">
        <f t="shared" si="48"/>
        <v>-4434077000</v>
      </c>
      <c r="DJ115" s="16">
        <f t="shared" si="49"/>
        <v>-440392000</v>
      </c>
      <c r="DK115" s="16">
        <f t="shared" si="50"/>
        <v>-3194574000</v>
      </c>
      <c r="DL115" s="57">
        <f t="shared" si="51"/>
        <v>-0.18150113099657864</v>
      </c>
      <c r="DM115" s="57">
        <f t="shared" si="52"/>
        <v>-0.15361909204732213</v>
      </c>
      <c r="DN115" s="58">
        <f t="shared" si="53"/>
        <v>-690328000</v>
      </c>
      <c r="DO115" s="16">
        <f t="shared" si="54"/>
        <v>1808191500</v>
      </c>
      <c r="DP115" s="16">
        <f t="shared" si="55"/>
        <v>1365928500</v>
      </c>
      <c r="DQ115" s="61"/>
      <c r="DR115" s="62">
        <f t="shared" si="56"/>
        <v>14887214000</v>
      </c>
      <c r="DS115" s="62">
        <f t="shared" si="57"/>
        <v>-12674858000</v>
      </c>
      <c r="DT115" s="62">
        <f t="shared" si="58"/>
        <v>-4661013000</v>
      </c>
      <c r="DU115" s="62">
        <f t="shared" si="59"/>
        <v>-299304000</v>
      </c>
      <c r="DV115" s="62">
        <f t="shared" si="60"/>
        <v>-2747961000</v>
      </c>
      <c r="DW115" s="63">
        <f t="shared" si="61"/>
        <v>-0.18458530924590727</v>
      </c>
      <c r="DX115" s="63">
        <f t="shared" si="62"/>
        <v>-0.15582272361913052</v>
      </c>
      <c r="DY115" s="64">
        <f t="shared" si="63"/>
        <v>-686294000</v>
      </c>
      <c r="DZ115" s="64">
        <f t="shared" si="64"/>
        <v>1904951000</v>
      </c>
      <c r="EA115" s="64">
        <f t="shared" si="65"/>
        <v>4222801000</v>
      </c>
      <c r="EB115" s="61"/>
      <c r="EC115" s="64">
        <f t="shared" si="66"/>
        <v>26847558000</v>
      </c>
      <c r="ED115" s="64">
        <f t="shared" si="67"/>
        <v>-19070041000</v>
      </c>
      <c r="EE115" s="64">
        <f t="shared" si="68"/>
        <v>-3620257000</v>
      </c>
      <c r="EF115" s="64">
        <f t="shared" si="69"/>
        <v>-256390000</v>
      </c>
      <c r="EG115" s="64">
        <f t="shared" si="70"/>
        <v>3900870000</v>
      </c>
      <c r="EH115" s="63">
        <f t="shared" si="71"/>
        <v>0.14529701360548322</v>
      </c>
      <c r="EI115" s="57">
        <f t="shared" si="72"/>
        <v>0.16999708193182389</v>
      </c>
      <c r="EJ115" s="64">
        <f t="shared" si="73"/>
        <v>-552537000</v>
      </c>
      <c r="EK115" s="64">
        <f t="shared" si="74"/>
        <v>1789732500</v>
      </c>
      <c r="EL115" s="64">
        <f t="shared" si="75"/>
        <v>5482029500</v>
      </c>
      <c r="EM115" s="61"/>
      <c r="EN115" s="66">
        <f t="shared" si="76"/>
        <v>19778540333.333332</v>
      </c>
      <c r="EO115" s="66">
        <f t="shared" si="76"/>
        <v>-15888617666.666666</v>
      </c>
      <c r="EP115" s="66">
        <f t="shared" si="76"/>
        <v>-4238449000</v>
      </c>
      <c r="EQ115" s="66">
        <f t="shared" si="43"/>
        <v>-332028666.66666669</v>
      </c>
      <c r="ER115" s="66">
        <f t="shared" si="77"/>
        <v>-680555000.00000072</v>
      </c>
      <c r="ES115" s="63">
        <f t="shared" si="78"/>
        <v>-3.440875759941911E-2</v>
      </c>
      <c r="ET115" s="67">
        <f t="shared" si="79"/>
        <v>-3.3264178543182935E-2</v>
      </c>
      <c r="EU115" s="66">
        <f t="shared" si="80"/>
        <v>643053000</v>
      </c>
      <c r="EV115" s="66">
        <f t="shared" si="81"/>
        <v>1834291666.6666667</v>
      </c>
      <c r="EW115" s="66">
        <f t="shared" si="81"/>
        <v>3690253000</v>
      </c>
      <c r="EX115" s="70"/>
      <c r="EY115" s="71" t="str">
        <f t="shared" si="82"/>
        <v>完整</v>
      </c>
      <c r="EZ115" s="71" t="str">
        <f t="shared" si="83"/>
        <v>完整</v>
      </c>
      <c r="FA115" s="71" t="str">
        <f t="shared" si="84"/>
        <v>完整</v>
      </c>
      <c r="FB115" s="71" t="str">
        <f t="shared" si="85"/>
        <v>选择</v>
      </c>
      <c r="FC115" s="71" t="str">
        <f t="shared" si="86"/>
        <v>选择</v>
      </c>
    </row>
    <row r="116" spans="1:218" s="3" customFormat="1" ht="12.75" customHeight="1" x14ac:dyDescent="0.25">
      <c r="A116" s="28" t="s">
        <v>280</v>
      </c>
      <c r="B116" s="134" t="str">
        <f t="shared" si="44"/>
        <v>NORDMASON CO.,LTD.</v>
      </c>
      <c r="C116" s="29" t="s">
        <v>328</v>
      </c>
      <c r="D116" s="137" t="s">
        <v>310</v>
      </c>
      <c r="E116" s="35"/>
      <c r="F116" s="34"/>
      <c r="H116" s="31" t="str">
        <f t="shared" si="45"/>
        <v xml:space="preserve"> </v>
      </c>
      <c r="I116" s="29"/>
      <c r="J116" s="29" t="str">
        <f>VLOOKUP(Z:Z,'[1]AP 2022'!FD115:FF181,2,FALSE)</f>
        <v>include before</v>
      </c>
      <c r="K116" s="47">
        <f>VLOOKUP(Z:Z,'[1]AP 2022'!FD115:FF181,3,0)</f>
        <v>0</v>
      </c>
      <c r="L116" s="48"/>
      <c r="M116" s="125" t="s">
        <v>1199</v>
      </c>
      <c r="N116" s="125" t="s">
        <v>1200</v>
      </c>
      <c r="O116" s="125" t="s">
        <v>331</v>
      </c>
      <c r="P116" s="125" t="s">
        <v>1201</v>
      </c>
      <c r="Q116" s="124"/>
      <c r="R116" s="125" t="s">
        <v>363</v>
      </c>
      <c r="S116" s="125" t="s">
        <v>1202</v>
      </c>
      <c r="T116" s="125" t="s">
        <v>866</v>
      </c>
      <c r="U116" s="125" t="s">
        <v>321</v>
      </c>
      <c r="V116" s="125" t="s">
        <v>1203</v>
      </c>
      <c r="W116" s="125" t="s">
        <v>1204</v>
      </c>
      <c r="X116" s="125" t="s">
        <v>1205</v>
      </c>
      <c r="Y116" s="124"/>
      <c r="Z116" s="125" t="s">
        <v>1206</v>
      </c>
      <c r="AA116" s="128">
        <v>16324672000</v>
      </c>
      <c r="AB116" s="125" t="s">
        <v>340</v>
      </c>
      <c r="AC116" s="125" t="s">
        <v>340</v>
      </c>
      <c r="AD116" s="125" t="s">
        <v>340</v>
      </c>
      <c r="AE116" s="128">
        <v>16324672000</v>
      </c>
      <c r="AF116" s="125" t="s">
        <v>340</v>
      </c>
      <c r="AG116" s="125" t="s">
        <v>340</v>
      </c>
      <c r="AH116" s="125" t="s">
        <v>340</v>
      </c>
      <c r="AI116" s="125" t="s">
        <v>340</v>
      </c>
      <c r="AJ116" s="125" t="s">
        <v>340</v>
      </c>
      <c r="AK116" s="125" t="s">
        <v>340</v>
      </c>
      <c r="AL116" s="125" t="s">
        <v>340</v>
      </c>
      <c r="AM116" s="128">
        <v>16324672000</v>
      </c>
      <c r="AN116" s="125" t="s">
        <v>340</v>
      </c>
      <c r="AO116" s="125" t="s">
        <v>340</v>
      </c>
      <c r="AP116" s="125" t="s">
        <v>340</v>
      </c>
      <c r="AQ116" s="125" t="s">
        <v>340</v>
      </c>
      <c r="AR116" s="125" t="s">
        <v>340</v>
      </c>
      <c r="AS116" s="125" t="s">
        <v>340</v>
      </c>
      <c r="AT116" s="125" t="s">
        <v>340</v>
      </c>
      <c r="AU116" s="128">
        <v>-7920986000</v>
      </c>
      <c r="AV116" s="125" t="s">
        <v>340</v>
      </c>
      <c r="AW116" s="125" t="s">
        <v>340</v>
      </c>
      <c r="AX116" s="125" t="s">
        <v>340</v>
      </c>
      <c r="AY116" s="125" t="s">
        <v>340</v>
      </c>
      <c r="AZ116" s="125" t="s">
        <v>340</v>
      </c>
      <c r="BA116" s="125" t="s">
        <v>340</v>
      </c>
      <c r="BB116" s="125" t="s">
        <v>340</v>
      </c>
      <c r="BC116" s="128">
        <v>-10843739000</v>
      </c>
      <c r="BD116" s="125" t="s">
        <v>340</v>
      </c>
      <c r="BE116" s="125" t="s">
        <v>340</v>
      </c>
      <c r="BF116" s="125" t="s">
        <v>340</v>
      </c>
      <c r="BG116" s="128">
        <v>-2440053000</v>
      </c>
      <c r="BH116" s="125" t="s">
        <v>340</v>
      </c>
      <c r="BI116" s="125" t="s">
        <v>340</v>
      </c>
      <c r="BJ116" s="125" t="s">
        <v>340</v>
      </c>
      <c r="BK116" s="128">
        <v>-859453000</v>
      </c>
      <c r="BL116" s="125" t="s">
        <v>340</v>
      </c>
      <c r="BM116" s="125" t="s">
        <v>340</v>
      </c>
      <c r="BN116" s="125" t="s">
        <v>340</v>
      </c>
      <c r="BO116" s="128">
        <v>-818480000</v>
      </c>
      <c r="BP116" s="125" t="s">
        <v>340</v>
      </c>
      <c r="BQ116" s="125" t="s">
        <v>340</v>
      </c>
      <c r="BR116" s="125" t="s">
        <v>340</v>
      </c>
      <c r="BS116" s="128">
        <v>-40973000</v>
      </c>
      <c r="BT116" s="125" t="s">
        <v>340</v>
      </c>
      <c r="BU116" s="125" t="s">
        <v>340</v>
      </c>
      <c r="BV116" s="125" t="s">
        <v>340</v>
      </c>
      <c r="BW116" s="128">
        <v>-2556354000</v>
      </c>
      <c r="BX116" s="125" t="s">
        <v>340</v>
      </c>
      <c r="BY116" s="125" t="s">
        <v>340</v>
      </c>
      <c r="BZ116" s="125" t="s">
        <v>340</v>
      </c>
      <c r="CA116" s="128">
        <v>9785856000</v>
      </c>
      <c r="CB116" s="125" t="s">
        <v>340</v>
      </c>
      <c r="CC116" s="125" t="s">
        <v>340</v>
      </c>
      <c r="CD116" s="125" t="s">
        <v>340</v>
      </c>
      <c r="CE116" s="128">
        <v>4469070000</v>
      </c>
      <c r="CF116" s="125" t="s">
        <v>340</v>
      </c>
      <c r="CG116" s="125" t="s">
        <v>340</v>
      </c>
      <c r="CH116" s="125" t="s">
        <v>340</v>
      </c>
      <c r="CI116" s="128">
        <v>4360240000</v>
      </c>
      <c r="CJ116" s="125" t="s">
        <v>340</v>
      </c>
      <c r="CK116" s="125" t="s">
        <v>340</v>
      </c>
      <c r="CL116" s="125" t="s">
        <v>340</v>
      </c>
      <c r="CM116" s="128">
        <v>210353000</v>
      </c>
      <c r="CN116" s="125" t="s">
        <v>340</v>
      </c>
      <c r="CO116" s="125" t="s">
        <v>340</v>
      </c>
      <c r="CP116" s="125" t="s">
        <v>340</v>
      </c>
      <c r="CQ116" s="128">
        <v>67400000</v>
      </c>
      <c r="CR116" s="125" t="s">
        <v>340</v>
      </c>
      <c r="CS116" s="125" t="s">
        <v>340</v>
      </c>
      <c r="CT116" s="125" t="s">
        <v>340</v>
      </c>
      <c r="CU116" s="125" t="s">
        <v>340</v>
      </c>
      <c r="CV116" s="125" t="s">
        <v>340</v>
      </c>
      <c r="CW116" s="125" t="s">
        <v>340</v>
      </c>
      <c r="CX116" s="125" t="s">
        <v>340</v>
      </c>
      <c r="CY116" s="128">
        <v>151026000</v>
      </c>
      <c r="CZ116" s="125" t="s">
        <v>340</v>
      </c>
      <c r="DA116" s="125" t="s">
        <v>340</v>
      </c>
      <c r="DB116" s="125" t="s">
        <v>340</v>
      </c>
      <c r="DC116" s="128">
        <v>26277495000</v>
      </c>
      <c r="DD116" s="125" t="s">
        <v>340</v>
      </c>
      <c r="DE116" s="125" t="s">
        <v>340</v>
      </c>
      <c r="DF116" s="125" t="s">
        <v>340</v>
      </c>
      <c r="DG116" s="16">
        <f t="shared" si="46"/>
        <v>16324672000</v>
      </c>
      <c r="DH116" s="16">
        <f t="shared" si="47"/>
        <v>-7920986000</v>
      </c>
      <c r="DI116" s="16">
        <f t="shared" si="48"/>
        <v>-10843739000</v>
      </c>
      <c r="DJ116" s="16">
        <f t="shared" si="49"/>
        <v>-859453000</v>
      </c>
      <c r="DK116" s="16">
        <f t="shared" si="50"/>
        <v>-3299506000</v>
      </c>
      <c r="DL116" s="57">
        <f t="shared" si="51"/>
        <v>-0.20211775158484041</v>
      </c>
      <c r="DM116" s="57">
        <f t="shared" si="52"/>
        <v>-0.1681347366498612</v>
      </c>
      <c r="DN116" s="58" t="str">
        <f t="shared" si="53"/>
        <v>n.a.</v>
      </c>
      <c r="DO116" s="16" t="e">
        <f t="shared" si="54"/>
        <v>#VALUE!</v>
      </c>
      <c r="DP116" s="16" t="e">
        <f t="shared" si="55"/>
        <v>#VALUE!</v>
      </c>
      <c r="DQ116" s="61"/>
      <c r="DR116" s="62">
        <f>'[1]AP 2022'!DG124*1000</f>
        <v>18631230000</v>
      </c>
      <c r="DS116" s="62">
        <f>'[1]AP 2022'!DH124*1000</f>
        <v>-9138970000</v>
      </c>
      <c r="DT116" s="62">
        <f>'[1]AP 2022'!DI124*1000</f>
        <v>-7781691000</v>
      </c>
      <c r="DU116" s="62">
        <f>'[1]AP 2022'!DJ124*1000</f>
        <v>-753803000</v>
      </c>
      <c r="DV116" s="62">
        <f>'[1]AP 2022'!DK124*1000</f>
        <v>956766000</v>
      </c>
      <c r="DW116" s="153">
        <f>'[1]AP 2022'!DL124</f>
        <v>5.1352809234816998E-2</v>
      </c>
      <c r="DX116" s="153">
        <f>'[1]AP 2022'!DM124</f>
        <v>5.4132674122394898E-2</v>
      </c>
      <c r="DY116" s="62" t="str">
        <f>'[1]AP 2022'!DN124</f>
        <v>n.a.</v>
      </c>
      <c r="DZ116" s="62">
        <f>'[1]AP 2022'!DO124</f>
        <v>3485734</v>
      </c>
      <c r="EA116" s="62">
        <f>'[1]AP 2022'!DP124</f>
        <v>108803.5</v>
      </c>
      <c r="EB116" s="61"/>
      <c r="EC116" s="64">
        <f>'[1]AP 2022'!DR124*1000</f>
        <v>19470825000</v>
      </c>
      <c r="ED116" s="64">
        <f>'[1]AP 2022'!DS124*1000</f>
        <v>-8192906000</v>
      </c>
      <c r="EE116" s="64">
        <f>'[1]AP 2022'!DT124*1000</f>
        <v>-8898918000</v>
      </c>
      <c r="EF116" s="64">
        <f>'[1]AP 2022'!DU124*1000</f>
        <v>-731001000</v>
      </c>
      <c r="EG116" s="64">
        <f>'[1]AP 2022'!DV124*1000</f>
        <v>1648000000</v>
      </c>
      <c r="EH116" s="154">
        <f>'[1]AP 2022'!DW124</f>
        <v>8.4639454157694902E-2</v>
      </c>
      <c r="EI116" s="154">
        <f>'[1]AP 2022'!DX124</f>
        <v>9.2465700583381105E-2</v>
      </c>
      <c r="EJ116" s="64" t="str">
        <f>'[1]AP 2022'!DY124</f>
        <v>n.a.</v>
      </c>
      <c r="EK116" s="64">
        <f>'[1]AP 2022'!DZ124</f>
        <v>3659570</v>
      </c>
      <c r="EL116" s="64">
        <f>'[1]AP 2022'!EA124</f>
        <v>65858.5</v>
      </c>
      <c r="EM116" s="61"/>
      <c r="EN116" s="66">
        <f t="shared" si="76"/>
        <v>18142242333.333332</v>
      </c>
      <c r="EO116" s="66">
        <f t="shared" si="76"/>
        <v>-8417620666.666667</v>
      </c>
      <c r="EP116" s="66">
        <f t="shared" si="76"/>
        <v>-9174782666.666666</v>
      </c>
      <c r="EQ116" s="66">
        <f t="shared" si="43"/>
        <v>-781419000</v>
      </c>
      <c r="ER116" s="66">
        <f t="shared" si="77"/>
        <v>-231580000.00000191</v>
      </c>
      <c r="ES116" s="63">
        <f t="shared" si="78"/>
        <v>-1.276468452714428E-2</v>
      </c>
      <c r="ET116" s="67">
        <f t="shared" si="79"/>
        <v>-1.260380098374388E-2</v>
      </c>
      <c r="EU116" s="66" t="e">
        <f t="shared" si="80"/>
        <v>#VALUE!</v>
      </c>
      <c r="EV116" s="66" t="e">
        <f t="shared" si="81"/>
        <v>#VALUE!</v>
      </c>
      <c r="EW116" s="66" t="e">
        <f t="shared" si="81"/>
        <v>#VALUE!</v>
      </c>
      <c r="EX116" s="70"/>
      <c r="EY116" s="71" t="str">
        <f t="shared" si="82"/>
        <v>完整</v>
      </c>
      <c r="EZ116" s="71" t="str">
        <f t="shared" si="83"/>
        <v>完整</v>
      </c>
      <c r="FA116" s="71" t="str">
        <f t="shared" si="84"/>
        <v>完整</v>
      </c>
      <c r="FB116" s="71" t="str">
        <f t="shared" si="85"/>
        <v>选择</v>
      </c>
      <c r="FC116" s="71" t="str">
        <f t="shared" si="86"/>
        <v>选择</v>
      </c>
    </row>
    <row r="117" spans="1:218" s="3" customFormat="1" ht="12.75" customHeight="1" x14ac:dyDescent="0.25">
      <c r="A117" s="28" t="s">
        <v>281</v>
      </c>
      <c r="B117" s="134" t="str">
        <f t="shared" si="44"/>
        <v>MCLEAN TECHNOLOGIES BERHAD</v>
      </c>
      <c r="C117" s="29" t="s">
        <v>328</v>
      </c>
      <c r="D117" s="136" t="s">
        <v>309</v>
      </c>
      <c r="E117" s="35"/>
      <c r="F117" s="8"/>
      <c r="G117" s="9"/>
      <c r="H117" s="31" t="str">
        <f t="shared" si="45"/>
        <v xml:space="preserve"> </v>
      </c>
      <c r="I117" s="29"/>
      <c r="J117" s="29" t="str">
        <f>VLOOKUP(Z:Z,'[1]AP 2022'!FD116:FF181,2,FALSE)</f>
        <v>exclude</v>
      </c>
      <c r="K117" s="47" t="str">
        <f>VLOOKUP(Z:Z,'[1]AP 2022'!FD116:FF181,3,0)</f>
        <v>Independence(A+, A, A-, U)</v>
      </c>
      <c r="L117" s="48"/>
      <c r="M117" s="125" t="s">
        <v>1207</v>
      </c>
      <c r="N117" s="125" t="s">
        <v>1208</v>
      </c>
      <c r="O117" s="125" t="s">
        <v>413</v>
      </c>
      <c r="P117" s="125" t="s">
        <v>1209</v>
      </c>
      <c r="Q117" s="124"/>
      <c r="R117" s="125" t="s">
        <v>736</v>
      </c>
      <c r="S117" s="125" t="s">
        <v>1210</v>
      </c>
      <c r="T117" s="125" t="s">
        <v>365</v>
      </c>
      <c r="U117" s="125" t="s">
        <v>317</v>
      </c>
      <c r="V117" s="125" t="s">
        <v>1211</v>
      </c>
      <c r="W117" s="125" t="s">
        <v>1212</v>
      </c>
      <c r="X117" s="124"/>
      <c r="Y117" s="124"/>
      <c r="Z117" s="125" t="s">
        <v>1213</v>
      </c>
      <c r="AA117" s="128">
        <v>54639000</v>
      </c>
      <c r="AB117" s="128">
        <v>59818000</v>
      </c>
      <c r="AC117" s="128">
        <v>61268000</v>
      </c>
      <c r="AD117" s="128">
        <v>59270000</v>
      </c>
      <c r="AE117" s="128">
        <v>52373000</v>
      </c>
      <c r="AF117" s="128">
        <v>59318000</v>
      </c>
      <c r="AG117" s="128">
        <v>56134000</v>
      </c>
      <c r="AH117" s="128">
        <v>58668000</v>
      </c>
      <c r="AI117" s="125" t="s">
        <v>340</v>
      </c>
      <c r="AJ117" s="125" t="s">
        <v>340</v>
      </c>
      <c r="AK117" s="125" t="s">
        <v>340</v>
      </c>
      <c r="AL117" s="125" t="s">
        <v>340</v>
      </c>
      <c r="AM117" s="128">
        <v>52373000</v>
      </c>
      <c r="AN117" s="128">
        <v>59318000</v>
      </c>
      <c r="AO117" s="128">
        <v>56134000</v>
      </c>
      <c r="AP117" s="128">
        <v>58668000</v>
      </c>
      <c r="AQ117" s="128">
        <v>2266000</v>
      </c>
      <c r="AR117" s="128">
        <v>500000</v>
      </c>
      <c r="AS117" s="128">
        <v>5134000</v>
      </c>
      <c r="AT117" s="128">
        <v>602000</v>
      </c>
      <c r="AU117" s="128">
        <v>-43005000</v>
      </c>
      <c r="AV117" s="128">
        <v>-35292000</v>
      </c>
      <c r="AW117" s="128">
        <v>-35632000</v>
      </c>
      <c r="AX117" s="128">
        <v>-38138000</v>
      </c>
      <c r="AY117" s="128">
        <v>0</v>
      </c>
      <c r="AZ117" s="128">
        <v>0</v>
      </c>
      <c r="BA117" s="128">
        <v>0</v>
      </c>
      <c r="BB117" s="128">
        <v>0</v>
      </c>
      <c r="BC117" s="128">
        <v>-13969000</v>
      </c>
      <c r="BD117" s="128">
        <v>-19227000</v>
      </c>
      <c r="BE117" s="128">
        <v>-14200000</v>
      </c>
      <c r="BF117" s="128">
        <v>-17908000</v>
      </c>
      <c r="BG117" s="128">
        <v>-2335000</v>
      </c>
      <c r="BH117" s="128">
        <v>5299000</v>
      </c>
      <c r="BI117" s="128">
        <v>11436000</v>
      </c>
      <c r="BJ117" s="128">
        <v>3224000</v>
      </c>
      <c r="BK117" s="128">
        <v>-56000</v>
      </c>
      <c r="BL117" s="128">
        <v>-12381000</v>
      </c>
      <c r="BM117" s="128">
        <v>-7053000</v>
      </c>
      <c r="BN117" s="128">
        <v>-8195000</v>
      </c>
      <c r="BO117" s="128">
        <v>-56000</v>
      </c>
      <c r="BP117" s="128">
        <v>-12381000</v>
      </c>
      <c r="BQ117" s="128">
        <v>-7053000</v>
      </c>
      <c r="BR117" s="128">
        <v>-8195000</v>
      </c>
      <c r="BS117" s="128">
        <v>0</v>
      </c>
      <c r="BT117" s="128">
        <v>0</v>
      </c>
      <c r="BU117" s="128">
        <v>0</v>
      </c>
      <c r="BV117" s="128">
        <v>0</v>
      </c>
      <c r="BW117" s="128">
        <v>-2984000</v>
      </c>
      <c r="BX117" s="128">
        <v>-8223000</v>
      </c>
      <c r="BY117" s="128">
        <v>1927000</v>
      </c>
      <c r="BZ117" s="128">
        <v>-2438000</v>
      </c>
      <c r="CA117" s="128">
        <v>21182000</v>
      </c>
      <c r="CB117" s="128">
        <v>26821000</v>
      </c>
      <c r="CC117" s="128">
        <v>25398000</v>
      </c>
      <c r="CD117" s="128">
        <v>27476000</v>
      </c>
      <c r="CE117" s="128">
        <v>987000</v>
      </c>
      <c r="CF117" s="128">
        <v>1300000</v>
      </c>
      <c r="CG117" s="128">
        <v>814000</v>
      </c>
      <c r="CH117" s="128">
        <v>698000</v>
      </c>
      <c r="CI117" s="128">
        <v>11087000</v>
      </c>
      <c r="CJ117" s="128">
        <v>15422000</v>
      </c>
      <c r="CK117" s="128">
        <v>15422000</v>
      </c>
      <c r="CL117" s="128">
        <v>16854000</v>
      </c>
      <c r="CM117" s="128">
        <v>2225000</v>
      </c>
      <c r="CN117" s="128">
        <v>3820000</v>
      </c>
      <c r="CO117" s="128">
        <v>3810000</v>
      </c>
      <c r="CP117" s="128">
        <v>2157000</v>
      </c>
      <c r="CQ117" s="128">
        <v>3575000</v>
      </c>
      <c r="CR117" s="128">
        <v>4441000</v>
      </c>
      <c r="CS117" s="128">
        <v>4426000</v>
      </c>
      <c r="CT117" s="128">
        <v>6553000</v>
      </c>
      <c r="CU117" s="125" t="s">
        <v>340</v>
      </c>
      <c r="CV117" s="125" t="s">
        <v>340</v>
      </c>
      <c r="CW117" s="125" t="s">
        <v>340</v>
      </c>
      <c r="CX117" s="125" t="s">
        <v>340</v>
      </c>
      <c r="CY117" s="128">
        <v>13386000</v>
      </c>
      <c r="CZ117" s="128">
        <v>21128000</v>
      </c>
      <c r="DA117" s="128">
        <v>22635000</v>
      </c>
      <c r="DB117" s="128">
        <v>24971000</v>
      </c>
      <c r="DC117" s="128">
        <v>44942000</v>
      </c>
      <c r="DD117" s="128">
        <v>55387000</v>
      </c>
      <c r="DE117" s="128">
        <v>57677000</v>
      </c>
      <c r="DF117" s="128">
        <v>62202000</v>
      </c>
      <c r="DG117" s="16">
        <f t="shared" si="46"/>
        <v>52373000</v>
      </c>
      <c r="DH117" s="16">
        <f t="shared" si="47"/>
        <v>-43005000</v>
      </c>
      <c r="DI117" s="16">
        <f t="shared" si="48"/>
        <v>-13969000</v>
      </c>
      <c r="DJ117" s="16">
        <f t="shared" si="49"/>
        <v>-56000</v>
      </c>
      <c r="DK117" s="16">
        <f t="shared" si="50"/>
        <v>-4657000</v>
      </c>
      <c r="DL117" s="57">
        <f t="shared" si="51"/>
        <v>-8.8919863288335593E-2</v>
      </c>
      <c r="DM117" s="57">
        <f t="shared" si="52"/>
        <v>-8.1658776082763451E-2</v>
      </c>
      <c r="DN117" s="58">
        <f t="shared" si="53"/>
        <v>0</v>
      </c>
      <c r="DO117" s="16">
        <f t="shared" si="54"/>
        <v>1143500</v>
      </c>
      <c r="DP117" s="16">
        <f t="shared" si="55"/>
        <v>17257000</v>
      </c>
      <c r="DQ117" s="61"/>
      <c r="DR117" s="62">
        <f t="shared" si="56"/>
        <v>59318000</v>
      </c>
      <c r="DS117" s="62">
        <f t="shared" si="57"/>
        <v>-35292000</v>
      </c>
      <c r="DT117" s="62">
        <f t="shared" si="58"/>
        <v>-19227000</v>
      </c>
      <c r="DU117" s="62">
        <f t="shared" si="59"/>
        <v>-12381000</v>
      </c>
      <c r="DV117" s="62">
        <f t="shared" si="60"/>
        <v>-7582000</v>
      </c>
      <c r="DW117" s="63">
        <f t="shared" si="61"/>
        <v>-0.12781954887218044</v>
      </c>
      <c r="DX117" s="63">
        <f t="shared" si="62"/>
        <v>-0.11333333333333333</v>
      </c>
      <c r="DY117" s="64">
        <f t="shared" si="63"/>
        <v>0</v>
      </c>
      <c r="DZ117" s="64">
        <f t="shared" si="64"/>
        <v>1057000</v>
      </c>
      <c r="EA117" s="64">
        <f t="shared" si="65"/>
        <v>21881500</v>
      </c>
      <c r="EB117" s="61"/>
      <c r="EC117" s="64">
        <f t="shared" si="66"/>
        <v>56134000</v>
      </c>
      <c r="ED117" s="64">
        <f t="shared" si="67"/>
        <v>-35632000</v>
      </c>
      <c r="EE117" s="64">
        <f t="shared" si="68"/>
        <v>-14200000</v>
      </c>
      <c r="EF117" s="64">
        <f t="shared" si="69"/>
        <v>-7053000</v>
      </c>
      <c r="EG117" s="64">
        <f t="shared" si="70"/>
        <v>-751000</v>
      </c>
      <c r="EH117" s="63">
        <f t="shared" si="71"/>
        <v>-1.3378700965546728E-2</v>
      </c>
      <c r="EI117" s="57">
        <f t="shared" si="72"/>
        <v>-1.320207436055199E-2</v>
      </c>
      <c r="EJ117" s="64">
        <f t="shared" si="73"/>
        <v>0</v>
      </c>
      <c r="EK117" s="64">
        <f t="shared" si="74"/>
        <v>756000</v>
      </c>
      <c r="EL117" s="64">
        <f t="shared" si="75"/>
        <v>23803000</v>
      </c>
      <c r="EM117" s="61"/>
      <c r="EN117" s="66">
        <f t="shared" si="76"/>
        <v>55941666.666666664</v>
      </c>
      <c r="EO117" s="66">
        <f t="shared" si="76"/>
        <v>-37976333.333333336</v>
      </c>
      <c r="EP117" s="66">
        <f t="shared" si="76"/>
        <v>-15798666.666666666</v>
      </c>
      <c r="EQ117" s="66">
        <f t="shared" si="43"/>
        <v>-6496666.666666667</v>
      </c>
      <c r="ER117" s="66">
        <f t="shared" si="77"/>
        <v>-4330000.0000000047</v>
      </c>
      <c r="ES117" s="63">
        <f t="shared" si="78"/>
        <v>-7.7402055712796153E-2</v>
      </c>
      <c r="ET117" s="67">
        <f t="shared" si="79"/>
        <v>-7.1841384840859529E-2</v>
      </c>
      <c r="EU117" s="66">
        <f t="shared" si="80"/>
        <v>0</v>
      </c>
      <c r="EV117" s="66">
        <f t="shared" si="81"/>
        <v>985500</v>
      </c>
      <c r="EW117" s="66">
        <f t="shared" si="81"/>
        <v>20980500</v>
      </c>
      <c r="EX117" s="70"/>
      <c r="EY117" s="151" t="str">
        <f t="shared" si="82"/>
        <v>完整</v>
      </c>
      <c r="EZ117" s="151" t="str">
        <f t="shared" si="83"/>
        <v>完整</v>
      </c>
      <c r="FA117" s="151" t="str">
        <f t="shared" si="84"/>
        <v>完整</v>
      </c>
      <c r="FB117" s="151" t="str">
        <f t="shared" si="85"/>
        <v>选择</v>
      </c>
      <c r="FC117" s="151" t="str">
        <f t="shared" si="86"/>
        <v>删除</v>
      </c>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0"/>
    </row>
    <row r="118" spans="1:218" s="3" customFormat="1" ht="12.75" customHeight="1" x14ac:dyDescent="0.25">
      <c r="A118" s="28" t="s">
        <v>282</v>
      </c>
      <c r="B118" s="134" t="str">
        <f t="shared" si="44"/>
        <v>KM PHARMACEUTICAL CO.,LTD.</v>
      </c>
      <c r="C118" s="29" t="s">
        <v>328</v>
      </c>
      <c r="D118" s="136" t="s">
        <v>309</v>
      </c>
      <c r="E118" s="35"/>
      <c r="H118" s="31" t="str">
        <f t="shared" si="45"/>
        <v xml:space="preserve"> </v>
      </c>
      <c r="I118" s="29"/>
      <c r="J118" s="29" t="e">
        <f>VLOOKUP(Z:Z,'[1]AP 2022'!FD117:FF181,2,FALSE)</f>
        <v>#N/A</v>
      </c>
      <c r="K118" s="47" t="e">
        <f>VLOOKUP(Z:Z,'[1]AP 2022'!FD117:FF181,3,0)</f>
        <v>#N/A</v>
      </c>
      <c r="L118" s="48"/>
      <c r="M118" s="125" t="s">
        <v>1214</v>
      </c>
      <c r="N118" s="125" t="s">
        <v>1215</v>
      </c>
      <c r="O118" s="125" t="s">
        <v>331</v>
      </c>
      <c r="P118" s="125" t="s">
        <v>1216</v>
      </c>
      <c r="Q118" s="124"/>
      <c r="R118" s="125" t="s">
        <v>363</v>
      </c>
      <c r="S118" s="125" t="s">
        <v>1217</v>
      </c>
      <c r="T118" s="125" t="s">
        <v>899</v>
      </c>
      <c r="U118" s="125" t="s">
        <v>315</v>
      </c>
      <c r="V118" s="125" t="s">
        <v>1218</v>
      </c>
      <c r="W118" s="125" t="s">
        <v>1219</v>
      </c>
      <c r="X118" s="125" t="s">
        <v>1220</v>
      </c>
      <c r="Y118" s="124"/>
      <c r="Z118" s="125" t="s">
        <v>1221</v>
      </c>
      <c r="AA118" s="128">
        <v>15631452000</v>
      </c>
      <c r="AB118" s="128">
        <v>22705128000</v>
      </c>
      <c r="AC118" s="128">
        <v>22928127000</v>
      </c>
      <c r="AD118" s="128">
        <v>20338373000</v>
      </c>
      <c r="AE118" s="128">
        <v>15631452000</v>
      </c>
      <c r="AF118" s="128">
        <v>22705128000</v>
      </c>
      <c r="AG118" s="128">
        <v>22928127000</v>
      </c>
      <c r="AH118" s="128">
        <v>20338373000</v>
      </c>
      <c r="AI118" s="125" t="s">
        <v>340</v>
      </c>
      <c r="AJ118" s="125" t="s">
        <v>340</v>
      </c>
      <c r="AK118" s="125" t="s">
        <v>340</v>
      </c>
      <c r="AL118" s="125" t="s">
        <v>340</v>
      </c>
      <c r="AM118" s="128">
        <v>15631452000</v>
      </c>
      <c r="AN118" s="128">
        <v>22705128000</v>
      </c>
      <c r="AO118" s="128">
        <v>22928127000</v>
      </c>
      <c r="AP118" s="128">
        <v>20338373000</v>
      </c>
      <c r="AQ118" s="125" t="s">
        <v>340</v>
      </c>
      <c r="AR118" s="125" t="s">
        <v>340</v>
      </c>
      <c r="AS118" s="125" t="s">
        <v>340</v>
      </c>
      <c r="AT118" s="125" t="s">
        <v>340</v>
      </c>
      <c r="AU118" s="128">
        <v>-12406915000</v>
      </c>
      <c r="AV118" s="128">
        <v>-17041688000</v>
      </c>
      <c r="AW118" s="128">
        <v>-16987549000</v>
      </c>
      <c r="AX118" s="128">
        <v>-14552074000</v>
      </c>
      <c r="AY118" s="128">
        <v>-450382000</v>
      </c>
      <c r="AZ118" s="128">
        <v>-404561000</v>
      </c>
      <c r="BA118" s="128">
        <v>-306702000</v>
      </c>
      <c r="BB118" s="128">
        <v>-367520000</v>
      </c>
      <c r="BC118" s="128">
        <v>-3579781000</v>
      </c>
      <c r="BD118" s="128">
        <v>-4073249000</v>
      </c>
      <c r="BE118" s="128">
        <v>-4509479000</v>
      </c>
      <c r="BF118" s="128">
        <v>-6621054000</v>
      </c>
      <c r="BG118" s="128">
        <v>-805626000</v>
      </c>
      <c r="BH118" s="128">
        <v>1185630000</v>
      </c>
      <c r="BI118" s="128">
        <v>1124397000</v>
      </c>
      <c r="BJ118" s="128">
        <v>-1202275000</v>
      </c>
      <c r="BK118" s="128">
        <v>-440912000</v>
      </c>
      <c r="BL118" s="128">
        <v>-319492000</v>
      </c>
      <c r="BM118" s="128">
        <v>-412077000</v>
      </c>
      <c r="BN118" s="128">
        <v>-323755000</v>
      </c>
      <c r="BO118" s="128">
        <v>-401473000</v>
      </c>
      <c r="BP118" s="128">
        <v>-280205000</v>
      </c>
      <c r="BQ118" s="128">
        <v>-373104000</v>
      </c>
      <c r="BR118" s="128">
        <v>-311343000</v>
      </c>
      <c r="BS118" s="128">
        <v>-39439000</v>
      </c>
      <c r="BT118" s="128">
        <v>-39287000</v>
      </c>
      <c r="BU118" s="128">
        <v>-38973000</v>
      </c>
      <c r="BV118" s="128">
        <v>-12412000</v>
      </c>
      <c r="BW118" s="128">
        <v>-3924971000</v>
      </c>
      <c r="BX118" s="128">
        <v>-611186000</v>
      </c>
      <c r="BY118" s="128">
        <v>470877000</v>
      </c>
      <c r="BZ118" s="128">
        <v>-902231000</v>
      </c>
      <c r="CA118" s="128">
        <v>6345458000</v>
      </c>
      <c r="CB118" s="128">
        <v>9845996000</v>
      </c>
      <c r="CC118" s="128">
        <v>12107060000</v>
      </c>
      <c r="CD118" s="128">
        <v>7429866000</v>
      </c>
      <c r="CE118" s="128">
        <v>2453082000</v>
      </c>
      <c r="CF118" s="128">
        <v>2758903000</v>
      </c>
      <c r="CG118" s="128">
        <v>3122702000</v>
      </c>
      <c r="CH118" s="128">
        <v>3205173000</v>
      </c>
      <c r="CI118" s="128">
        <v>2272628000</v>
      </c>
      <c r="CJ118" s="128">
        <v>3749387000</v>
      </c>
      <c r="CK118" s="128">
        <v>2834487000</v>
      </c>
      <c r="CL118" s="128">
        <v>2353285000</v>
      </c>
      <c r="CM118" s="128">
        <v>150000000</v>
      </c>
      <c r="CN118" s="128">
        <v>565097000</v>
      </c>
      <c r="CO118" s="128">
        <v>151674000</v>
      </c>
      <c r="CP118" s="128">
        <v>793431000</v>
      </c>
      <c r="CQ118" s="128">
        <v>447749000</v>
      </c>
      <c r="CR118" s="128">
        <v>2131448000</v>
      </c>
      <c r="CS118" s="128">
        <v>5727019000</v>
      </c>
      <c r="CT118" s="128">
        <v>700007000</v>
      </c>
      <c r="CU118" s="125" t="s">
        <v>340</v>
      </c>
      <c r="CV118" s="125" t="s">
        <v>340</v>
      </c>
      <c r="CW118" s="125" t="s">
        <v>340</v>
      </c>
      <c r="CX118" s="125" t="s">
        <v>340</v>
      </c>
      <c r="CY118" s="128">
        <v>166524000</v>
      </c>
      <c r="CZ118" s="128">
        <v>167519000</v>
      </c>
      <c r="DA118" s="128">
        <v>477334000</v>
      </c>
      <c r="DB118" s="128">
        <v>1522564000</v>
      </c>
      <c r="DC118" s="128">
        <v>51281136000</v>
      </c>
      <c r="DD118" s="128">
        <v>52675924000</v>
      </c>
      <c r="DE118" s="128">
        <v>50240205000</v>
      </c>
      <c r="DF118" s="128">
        <v>43142804000</v>
      </c>
      <c r="DG118" s="16">
        <f t="shared" si="46"/>
        <v>15631452000</v>
      </c>
      <c r="DH118" s="16">
        <f t="shared" si="47"/>
        <v>-12406915000</v>
      </c>
      <c r="DI118" s="16">
        <f t="shared" si="48"/>
        <v>-4030163000</v>
      </c>
      <c r="DJ118" s="16">
        <f t="shared" si="49"/>
        <v>-440912000</v>
      </c>
      <c r="DK118" s="16">
        <f t="shared" si="50"/>
        <v>-1246538000</v>
      </c>
      <c r="DL118" s="57">
        <f t="shared" si="51"/>
        <v>-7.9745502848999575E-2</v>
      </c>
      <c r="DM118" s="57">
        <f t="shared" si="52"/>
        <v>-7.3855832359184956E-2</v>
      </c>
      <c r="DN118" s="58">
        <f t="shared" si="53"/>
        <v>-450382000</v>
      </c>
      <c r="DO118" s="16">
        <f t="shared" si="54"/>
        <v>2605992500</v>
      </c>
      <c r="DP118" s="16">
        <f t="shared" si="55"/>
        <v>167021500</v>
      </c>
      <c r="DQ118" s="61"/>
      <c r="DR118" s="62">
        <f t="shared" si="56"/>
        <v>22705128000</v>
      </c>
      <c r="DS118" s="62">
        <f t="shared" si="57"/>
        <v>-17041688000</v>
      </c>
      <c r="DT118" s="62">
        <f t="shared" si="58"/>
        <v>-4477810000</v>
      </c>
      <c r="DU118" s="62">
        <f t="shared" si="59"/>
        <v>-319492000</v>
      </c>
      <c r="DV118" s="62">
        <f t="shared" si="60"/>
        <v>866138000</v>
      </c>
      <c r="DW118" s="63">
        <f t="shared" si="61"/>
        <v>3.8147241451358477E-2</v>
      </c>
      <c r="DX118" s="63">
        <f t="shared" si="62"/>
        <v>3.9660167434483008E-2</v>
      </c>
      <c r="DY118" s="64">
        <f t="shared" si="63"/>
        <v>-404561000</v>
      </c>
      <c r="DZ118" s="64">
        <f t="shared" si="64"/>
        <v>2940802500</v>
      </c>
      <c r="EA118" s="64">
        <f t="shared" si="65"/>
        <v>322426500</v>
      </c>
      <c r="EB118" s="61"/>
      <c r="EC118" s="64">
        <f t="shared" si="66"/>
        <v>22928127000</v>
      </c>
      <c r="ED118" s="64">
        <f t="shared" si="67"/>
        <v>-16987549000</v>
      </c>
      <c r="EE118" s="64">
        <f t="shared" si="68"/>
        <v>-4816181000</v>
      </c>
      <c r="EF118" s="64">
        <f t="shared" si="69"/>
        <v>-412077000</v>
      </c>
      <c r="EG118" s="64">
        <f t="shared" si="70"/>
        <v>712320000</v>
      </c>
      <c r="EH118" s="63">
        <f t="shared" si="71"/>
        <v>3.1067518075069977E-2</v>
      </c>
      <c r="EI118" s="57">
        <f t="shared" si="72"/>
        <v>3.206365629661799E-2</v>
      </c>
      <c r="EJ118" s="64">
        <f t="shared" si="73"/>
        <v>-306702000</v>
      </c>
      <c r="EK118" s="64">
        <f t="shared" si="74"/>
        <v>3163937500</v>
      </c>
      <c r="EL118" s="64">
        <f t="shared" si="75"/>
        <v>999949000</v>
      </c>
      <c r="EM118" s="61"/>
      <c r="EN118" s="66">
        <f t="shared" si="76"/>
        <v>20421569000</v>
      </c>
      <c r="EO118" s="66">
        <f t="shared" si="76"/>
        <v>-15478717333.333334</v>
      </c>
      <c r="EP118" s="66">
        <f t="shared" si="76"/>
        <v>-4441384666.666667</v>
      </c>
      <c r="EQ118" s="66">
        <f t="shared" si="43"/>
        <v>-390827000</v>
      </c>
      <c r="ER118" s="66">
        <f t="shared" si="77"/>
        <v>110639999.99999905</v>
      </c>
      <c r="ES118" s="63">
        <f t="shared" si="78"/>
        <v>5.4178011493631589E-3</v>
      </c>
      <c r="ET118" s="67">
        <f t="shared" si="79"/>
        <v>5.4473136113074418E-3</v>
      </c>
      <c r="EU118" s="66">
        <f t="shared" si="80"/>
        <v>387215000</v>
      </c>
      <c r="EV118" s="66">
        <f t="shared" si="81"/>
        <v>2903577500</v>
      </c>
      <c r="EW118" s="66">
        <f t="shared" si="81"/>
        <v>496465666.66666669</v>
      </c>
      <c r="EX118" s="70"/>
      <c r="EY118" s="71" t="str">
        <f t="shared" si="82"/>
        <v>完整</v>
      </c>
      <c r="EZ118" s="71" t="str">
        <f t="shared" si="83"/>
        <v>完整</v>
      </c>
      <c r="FA118" s="71" t="str">
        <f t="shared" si="84"/>
        <v>完整</v>
      </c>
      <c r="FB118" s="71" t="str">
        <f t="shared" si="85"/>
        <v>选择</v>
      </c>
      <c r="FC118" s="71" t="str">
        <f t="shared" si="86"/>
        <v>选择</v>
      </c>
    </row>
    <row r="119" spans="1:218" s="3" customFormat="1" ht="12.75" customHeight="1" x14ac:dyDescent="0.25">
      <c r="A119" s="28" t="s">
        <v>283</v>
      </c>
      <c r="B119" s="134" t="str">
        <f t="shared" si="44"/>
        <v>ENG KAH CORPORATION BERHAD</v>
      </c>
      <c r="C119" s="29" t="s">
        <v>328</v>
      </c>
      <c r="D119" s="136" t="s">
        <v>309</v>
      </c>
      <c r="E119" s="35"/>
      <c r="F119" s="34"/>
      <c r="H119" s="31" t="str">
        <f t="shared" si="45"/>
        <v xml:space="preserve"> </v>
      </c>
      <c r="I119" s="29"/>
      <c r="J119" s="29" t="str">
        <f>VLOOKUP(Z:Z,'[1]AP 2022'!FD118:FF181,2,FALSE)</f>
        <v>newly include</v>
      </c>
      <c r="K119" s="47">
        <f>VLOOKUP(Z:Z,'[1]AP 2022'!FD118:FF181,3,0)</f>
        <v>0</v>
      </c>
      <c r="L119" s="48"/>
      <c r="M119" s="125" t="s">
        <v>1222</v>
      </c>
      <c r="N119" s="125" t="s">
        <v>1223</v>
      </c>
      <c r="O119" s="125" t="s">
        <v>413</v>
      </c>
      <c r="P119" s="125" t="s">
        <v>1224</v>
      </c>
      <c r="Q119" s="124"/>
      <c r="R119" s="125" t="s">
        <v>736</v>
      </c>
      <c r="S119" s="125" t="s">
        <v>1225</v>
      </c>
      <c r="T119" s="125" t="s">
        <v>365</v>
      </c>
      <c r="U119" s="125" t="s">
        <v>321</v>
      </c>
      <c r="V119" s="125" t="s">
        <v>1226</v>
      </c>
      <c r="W119" s="125" t="s">
        <v>1227</v>
      </c>
      <c r="X119" s="124"/>
      <c r="Y119" s="124"/>
      <c r="Z119" s="125" t="s">
        <v>1228</v>
      </c>
      <c r="AA119" s="128">
        <v>50788000</v>
      </c>
      <c r="AB119" s="128">
        <v>53333000</v>
      </c>
      <c r="AC119" s="128">
        <v>52811000</v>
      </c>
      <c r="AD119" s="128">
        <v>51148000</v>
      </c>
      <c r="AE119" s="128">
        <v>50153000</v>
      </c>
      <c r="AF119" s="128">
        <v>48477000</v>
      </c>
      <c r="AG119" s="128">
        <v>51306000</v>
      </c>
      <c r="AH119" s="128">
        <v>49079000</v>
      </c>
      <c r="AI119" s="125" t="s">
        <v>340</v>
      </c>
      <c r="AJ119" s="125" t="s">
        <v>340</v>
      </c>
      <c r="AK119" s="125" t="s">
        <v>340</v>
      </c>
      <c r="AL119" s="125" t="s">
        <v>340</v>
      </c>
      <c r="AM119" s="128">
        <v>50153000</v>
      </c>
      <c r="AN119" s="128">
        <v>48477000</v>
      </c>
      <c r="AO119" s="128">
        <v>51306000</v>
      </c>
      <c r="AP119" s="128">
        <v>49079000</v>
      </c>
      <c r="AQ119" s="128">
        <v>635000</v>
      </c>
      <c r="AR119" s="128">
        <v>4856000</v>
      </c>
      <c r="AS119" s="128">
        <v>1505000</v>
      </c>
      <c r="AT119" s="128">
        <v>2069000</v>
      </c>
      <c r="AU119" s="128">
        <v>-38466000</v>
      </c>
      <c r="AV119" s="128">
        <v>-37048000</v>
      </c>
      <c r="AW119" s="128">
        <v>-34235000</v>
      </c>
      <c r="AX119" s="128">
        <v>-32227000</v>
      </c>
      <c r="AY119" s="128">
        <v>-1526000</v>
      </c>
      <c r="AZ119" s="128">
        <v>-1643000</v>
      </c>
      <c r="BA119" s="128">
        <v>-2022000</v>
      </c>
      <c r="BB119" s="128">
        <v>-3189000</v>
      </c>
      <c r="BC119" s="128">
        <v>-13144000</v>
      </c>
      <c r="BD119" s="128">
        <v>-13590000</v>
      </c>
      <c r="BE119" s="128">
        <v>-12313000</v>
      </c>
      <c r="BF119" s="128">
        <v>-13823000</v>
      </c>
      <c r="BG119" s="128">
        <v>-2348000</v>
      </c>
      <c r="BH119" s="128">
        <v>1052000</v>
      </c>
      <c r="BI119" s="128">
        <v>4241000</v>
      </c>
      <c r="BJ119" s="128">
        <v>1909000</v>
      </c>
      <c r="BK119" s="128">
        <v>-1170000</v>
      </c>
      <c r="BL119" s="128">
        <v>-1130000</v>
      </c>
      <c r="BM119" s="128">
        <v>-1160000</v>
      </c>
      <c r="BN119" s="128">
        <v>-1214000</v>
      </c>
      <c r="BO119" s="128">
        <v>-1170000</v>
      </c>
      <c r="BP119" s="128">
        <v>-1130000</v>
      </c>
      <c r="BQ119" s="128">
        <v>-1160000</v>
      </c>
      <c r="BR119" s="128">
        <v>-1214000</v>
      </c>
      <c r="BS119" s="128">
        <v>0</v>
      </c>
      <c r="BT119" s="128">
        <v>0</v>
      </c>
      <c r="BU119" s="128">
        <v>0</v>
      </c>
      <c r="BV119" s="128">
        <v>0</v>
      </c>
      <c r="BW119" s="128">
        <v>-3728000</v>
      </c>
      <c r="BX119" s="128">
        <v>-5705000</v>
      </c>
      <c r="BY119" s="128">
        <v>2647000</v>
      </c>
      <c r="BZ119" s="128">
        <v>778000</v>
      </c>
      <c r="CA119" s="128">
        <v>56333000</v>
      </c>
      <c r="CB119" s="128">
        <v>57977000</v>
      </c>
      <c r="CC119" s="128">
        <v>66491000</v>
      </c>
      <c r="CD119" s="128">
        <v>59008000</v>
      </c>
      <c r="CE119" s="128">
        <v>28523000</v>
      </c>
      <c r="CF119" s="128">
        <v>22583000</v>
      </c>
      <c r="CG119" s="128">
        <v>19721000</v>
      </c>
      <c r="CH119" s="128">
        <v>15326000</v>
      </c>
      <c r="CI119" s="128">
        <v>11623000</v>
      </c>
      <c r="CJ119" s="128">
        <v>14522000</v>
      </c>
      <c r="CK119" s="128">
        <v>14582000</v>
      </c>
      <c r="CL119" s="128">
        <v>10811000</v>
      </c>
      <c r="CM119" s="128">
        <v>1760000</v>
      </c>
      <c r="CN119" s="128">
        <v>2689000</v>
      </c>
      <c r="CO119" s="128">
        <v>2447000</v>
      </c>
      <c r="CP119" s="128">
        <v>2042000</v>
      </c>
      <c r="CQ119" s="128">
        <v>13041000</v>
      </c>
      <c r="CR119" s="128">
        <v>17086000</v>
      </c>
      <c r="CS119" s="128">
        <v>23935000</v>
      </c>
      <c r="CT119" s="128">
        <v>25531000</v>
      </c>
      <c r="CU119" s="128">
        <v>2326000</v>
      </c>
      <c r="CV119" s="125" t="s">
        <v>340</v>
      </c>
      <c r="CW119" s="125" t="s">
        <v>340</v>
      </c>
      <c r="CX119" s="125" t="s">
        <v>340</v>
      </c>
      <c r="CY119" s="128">
        <v>4957000</v>
      </c>
      <c r="CZ119" s="128">
        <v>4874000</v>
      </c>
      <c r="DA119" s="128">
        <v>4684000</v>
      </c>
      <c r="DB119" s="128">
        <v>4541000</v>
      </c>
      <c r="DC119" s="128">
        <v>76875000</v>
      </c>
      <c r="DD119" s="128">
        <v>77995000</v>
      </c>
      <c r="DE119" s="128">
        <v>86779000</v>
      </c>
      <c r="DF119" s="128">
        <v>80292000</v>
      </c>
      <c r="DG119" s="16">
        <f t="shared" si="46"/>
        <v>50153000</v>
      </c>
      <c r="DH119" s="16">
        <f t="shared" si="47"/>
        <v>-38466000</v>
      </c>
      <c r="DI119" s="16">
        <f t="shared" si="48"/>
        <v>-14670000</v>
      </c>
      <c r="DJ119" s="16">
        <f t="shared" si="49"/>
        <v>-1170000</v>
      </c>
      <c r="DK119" s="16">
        <f t="shared" si="50"/>
        <v>-4153000</v>
      </c>
      <c r="DL119" s="57">
        <f t="shared" si="51"/>
        <v>-8.2806611767989952E-2</v>
      </c>
      <c r="DM119" s="57">
        <f t="shared" si="52"/>
        <v>-7.6474054432291091E-2</v>
      </c>
      <c r="DN119" s="58">
        <f t="shared" si="53"/>
        <v>-1526000</v>
      </c>
      <c r="DO119" s="16">
        <f t="shared" si="54"/>
        <v>25553000</v>
      </c>
      <c r="DP119" s="16">
        <f t="shared" si="55"/>
        <v>4915500</v>
      </c>
      <c r="DQ119" s="61"/>
      <c r="DR119" s="62">
        <f t="shared" si="56"/>
        <v>48477000</v>
      </c>
      <c r="DS119" s="62">
        <f t="shared" si="57"/>
        <v>-37048000</v>
      </c>
      <c r="DT119" s="62">
        <f t="shared" si="58"/>
        <v>-15233000</v>
      </c>
      <c r="DU119" s="62">
        <f t="shared" si="59"/>
        <v>-1130000</v>
      </c>
      <c r="DV119" s="62">
        <f t="shared" si="60"/>
        <v>-4934000</v>
      </c>
      <c r="DW119" s="63">
        <f t="shared" si="61"/>
        <v>-0.10178022567403099</v>
      </c>
      <c r="DX119" s="63">
        <f t="shared" si="62"/>
        <v>-9.2377974574525845E-2</v>
      </c>
      <c r="DY119" s="64">
        <f t="shared" si="63"/>
        <v>-1643000</v>
      </c>
      <c r="DZ119" s="64">
        <f t="shared" si="64"/>
        <v>21152000</v>
      </c>
      <c r="EA119" s="64">
        <f t="shared" si="65"/>
        <v>4779000</v>
      </c>
      <c r="EB119" s="61"/>
      <c r="EC119" s="64">
        <f t="shared" si="66"/>
        <v>51306000</v>
      </c>
      <c r="ED119" s="64">
        <f t="shared" si="67"/>
        <v>-34235000</v>
      </c>
      <c r="EE119" s="64">
        <f t="shared" si="68"/>
        <v>-14335000</v>
      </c>
      <c r="EF119" s="64">
        <f t="shared" si="69"/>
        <v>-1160000</v>
      </c>
      <c r="EG119" s="64">
        <f t="shared" si="70"/>
        <v>1576000</v>
      </c>
      <c r="EH119" s="63">
        <f t="shared" si="71"/>
        <v>3.071765485518263E-2</v>
      </c>
      <c r="EI119" s="57">
        <f t="shared" si="72"/>
        <v>3.1691132113412429E-2</v>
      </c>
      <c r="EJ119" s="64">
        <f t="shared" si="73"/>
        <v>-2022000</v>
      </c>
      <c r="EK119" s="64">
        <f t="shared" si="74"/>
        <v>17523500</v>
      </c>
      <c r="EL119" s="64">
        <f t="shared" si="75"/>
        <v>4612500</v>
      </c>
      <c r="EM119" s="61"/>
      <c r="EN119" s="66">
        <f t="shared" si="76"/>
        <v>49978666.666666664</v>
      </c>
      <c r="EO119" s="66">
        <f t="shared" si="76"/>
        <v>-36583000</v>
      </c>
      <c r="EP119" s="66">
        <f t="shared" si="76"/>
        <v>-14746000</v>
      </c>
      <c r="EQ119" s="66">
        <f t="shared" si="43"/>
        <v>-1153333.3333333333</v>
      </c>
      <c r="ER119" s="66">
        <f t="shared" si="77"/>
        <v>-2503666.6666666688</v>
      </c>
      <c r="ES119" s="63">
        <f t="shared" si="78"/>
        <v>-5.0094707075018723E-2</v>
      </c>
      <c r="ET119" s="67">
        <f t="shared" si="79"/>
        <v>-4.7704941980476007E-2</v>
      </c>
      <c r="EU119" s="66">
        <f t="shared" si="80"/>
        <v>1730333.3333333333</v>
      </c>
      <c r="EV119" s="66">
        <f t="shared" si="81"/>
        <v>21409500</v>
      </c>
      <c r="EW119" s="66">
        <f t="shared" si="81"/>
        <v>4769000</v>
      </c>
      <c r="EX119" s="70"/>
      <c r="EY119" s="71" t="str">
        <f t="shared" si="82"/>
        <v>完整</v>
      </c>
      <c r="EZ119" s="71" t="str">
        <f t="shared" si="83"/>
        <v>完整</v>
      </c>
      <c r="FA119" s="71" t="str">
        <f t="shared" si="84"/>
        <v>完整</v>
      </c>
      <c r="FB119" s="71" t="str">
        <f t="shared" si="85"/>
        <v>选择</v>
      </c>
      <c r="FC119" s="71" t="str">
        <f t="shared" si="86"/>
        <v>选择</v>
      </c>
    </row>
    <row r="120" spans="1:218" s="3" customFormat="1" ht="12.75" customHeight="1" x14ac:dyDescent="0.25">
      <c r="A120" s="28" t="s">
        <v>284</v>
      </c>
      <c r="B120" s="134" t="str">
        <f t="shared" si="44"/>
        <v>GFC LIFE SCIENCE CO.,LTD.</v>
      </c>
      <c r="C120" s="29" t="s">
        <v>328</v>
      </c>
      <c r="D120" s="136" t="s">
        <v>309</v>
      </c>
      <c r="E120" s="35"/>
      <c r="H120" s="31" t="str">
        <f t="shared" si="45"/>
        <v xml:space="preserve"> </v>
      </c>
      <c r="I120" s="29"/>
      <c r="J120" s="29" t="str">
        <f>VLOOKUP(Z:Z,'[1]AP 2022'!FD119:FF181,2,FALSE)</f>
        <v>exclude</v>
      </c>
      <c r="K120" s="47" t="str">
        <f>VLOOKUP(Z:Z,'[1]AP 2022'!FD119:FF181,3,0)</f>
        <v>Independence(A+, A, A-, U)</v>
      </c>
      <c r="L120" s="48"/>
      <c r="M120" s="125" t="s">
        <v>1229</v>
      </c>
      <c r="N120" s="125" t="s">
        <v>1230</v>
      </c>
      <c r="O120" s="125" t="s">
        <v>331</v>
      </c>
      <c r="P120" s="125" t="s">
        <v>1231</v>
      </c>
      <c r="Q120" s="124"/>
      <c r="R120" s="125" t="s">
        <v>363</v>
      </c>
      <c r="S120" s="125" t="s">
        <v>1232</v>
      </c>
      <c r="T120" s="125" t="s">
        <v>374</v>
      </c>
      <c r="U120" s="125" t="s">
        <v>321</v>
      </c>
      <c r="V120" s="125" t="s">
        <v>1233</v>
      </c>
      <c r="W120" s="125" t="s">
        <v>1234</v>
      </c>
      <c r="X120" s="125" t="s">
        <v>1235</v>
      </c>
      <c r="Y120" s="124"/>
      <c r="Z120" s="125" t="s">
        <v>1236</v>
      </c>
      <c r="AA120" s="128">
        <v>14158238000</v>
      </c>
      <c r="AB120" s="128">
        <v>13736571000</v>
      </c>
      <c r="AC120" s="128">
        <v>13324201000</v>
      </c>
      <c r="AD120" s="128">
        <v>11350449000</v>
      </c>
      <c r="AE120" s="128">
        <v>14158238000</v>
      </c>
      <c r="AF120" s="128">
        <v>13736571000</v>
      </c>
      <c r="AG120" s="128">
        <v>13324201000</v>
      </c>
      <c r="AH120" s="128">
        <v>11350449000</v>
      </c>
      <c r="AI120" s="125" t="s">
        <v>340</v>
      </c>
      <c r="AJ120" s="125" t="s">
        <v>340</v>
      </c>
      <c r="AK120" s="125" t="s">
        <v>340</v>
      </c>
      <c r="AL120" s="125" t="s">
        <v>340</v>
      </c>
      <c r="AM120" s="128">
        <v>14158238000</v>
      </c>
      <c r="AN120" s="128">
        <v>13736571000</v>
      </c>
      <c r="AO120" s="128">
        <v>13324201000</v>
      </c>
      <c r="AP120" s="128">
        <v>11350449000</v>
      </c>
      <c r="AQ120" s="125" t="s">
        <v>340</v>
      </c>
      <c r="AR120" s="125" t="s">
        <v>340</v>
      </c>
      <c r="AS120" s="125" t="s">
        <v>340</v>
      </c>
      <c r="AT120" s="125" t="s">
        <v>340</v>
      </c>
      <c r="AU120" s="128">
        <v>-7954090000</v>
      </c>
      <c r="AV120" s="128">
        <v>-7250803000</v>
      </c>
      <c r="AW120" s="128">
        <v>-7339301000</v>
      </c>
      <c r="AX120" s="128">
        <v>-6705902000</v>
      </c>
      <c r="AY120" s="128">
        <v>-1076822000</v>
      </c>
      <c r="AZ120" s="128">
        <v>-840999000</v>
      </c>
      <c r="BA120" s="128">
        <v>-967779000</v>
      </c>
      <c r="BB120" s="128">
        <v>-433985000</v>
      </c>
      <c r="BC120" s="128">
        <v>-4043822000</v>
      </c>
      <c r="BD120" s="128">
        <v>-3815072000</v>
      </c>
      <c r="BE120" s="128">
        <v>-4190077000</v>
      </c>
      <c r="BF120" s="128">
        <v>-2902164000</v>
      </c>
      <c r="BG120" s="128">
        <v>1083504000</v>
      </c>
      <c r="BH120" s="128">
        <v>1829697000</v>
      </c>
      <c r="BI120" s="128">
        <v>827044000</v>
      </c>
      <c r="BJ120" s="128">
        <v>1308398000</v>
      </c>
      <c r="BK120" s="128">
        <v>-480953000</v>
      </c>
      <c r="BL120" s="128">
        <v>-450912000</v>
      </c>
      <c r="BM120" s="128">
        <v>-418369000</v>
      </c>
      <c r="BN120" s="128">
        <v>-450780000</v>
      </c>
      <c r="BO120" s="128">
        <v>-414163000</v>
      </c>
      <c r="BP120" s="128">
        <v>-375355000</v>
      </c>
      <c r="BQ120" s="128">
        <v>-345978000</v>
      </c>
      <c r="BR120" s="128">
        <v>-387904000</v>
      </c>
      <c r="BS120" s="128">
        <v>-66790000</v>
      </c>
      <c r="BT120" s="128">
        <v>-75557000</v>
      </c>
      <c r="BU120" s="128">
        <v>-72391000</v>
      </c>
      <c r="BV120" s="128">
        <v>-62876000</v>
      </c>
      <c r="BW120" s="128">
        <v>327303000</v>
      </c>
      <c r="BX120" s="128">
        <v>1617045000</v>
      </c>
      <c r="BY120" s="128">
        <v>-2862569000</v>
      </c>
      <c r="BZ120" s="128">
        <v>448696000</v>
      </c>
      <c r="CA120" s="128">
        <v>3393427000</v>
      </c>
      <c r="CB120" s="128">
        <v>3698947000</v>
      </c>
      <c r="CC120" s="128">
        <v>3462894000</v>
      </c>
      <c r="CD120" s="128">
        <v>4136728000</v>
      </c>
      <c r="CE120" s="128">
        <v>454892000</v>
      </c>
      <c r="CF120" s="128">
        <v>632122000</v>
      </c>
      <c r="CG120" s="128">
        <v>671001000</v>
      </c>
      <c r="CH120" s="128">
        <v>481397000</v>
      </c>
      <c r="CI120" s="128">
        <v>2208473000</v>
      </c>
      <c r="CJ120" s="128">
        <v>1716610000</v>
      </c>
      <c r="CK120" s="128">
        <v>1838685000</v>
      </c>
      <c r="CL120" s="128">
        <v>2022900000</v>
      </c>
      <c r="CM120" s="125" t="s">
        <v>340</v>
      </c>
      <c r="CN120" s="128">
        <v>24000000</v>
      </c>
      <c r="CO120" s="128">
        <v>493542000</v>
      </c>
      <c r="CP120" s="128">
        <v>528856000</v>
      </c>
      <c r="CQ120" s="128">
        <v>625338000</v>
      </c>
      <c r="CR120" s="128">
        <v>1185996000</v>
      </c>
      <c r="CS120" s="128">
        <v>141887000</v>
      </c>
      <c r="CT120" s="128">
        <v>977201000</v>
      </c>
      <c r="CU120" s="125" t="s">
        <v>340</v>
      </c>
      <c r="CV120" s="125" t="s">
        <v>340</v>
      </c>
      <c r="CW120" s="125" t="s">
        <v>340</v>
      </c>
      <c r="CX120" s="125" t="s">
        <v>340</v>
      </c>
      <c r="CY120" s="125" t="s">
        <v>340</v>
      </c>
      <c r="CZ120" s="128">
        <v>18930000</v>
      </c>
      <c r="DA120" s="128">
        <v>44610000</v>
      </c>
      <c r="DB120" s="128">
        <v>2534180000</v>
      </c>
      <c r="DC120" s="128">
        <v>18487197000</v>
      </c>
      <c r="DD120" s="128">
        <v>18022934000</v>
      </c>
      <c r="DE120" s="128">
        <v>20967262000</v>
      </c>
      <c r="DF120" s="128">
        <v>20141195000</v>
      </c>
      <c r="DG120" s="16">
        <f t="shared" si="46"/>
        <v>14158238000</v>
      </c>
      <c r="DH120" s="16">
        <f t="shared" si="47"/>
        <v>-7954090000</v>
      </c>
      <c r="DI120" s="16">
        <f t="shared" si="48"/>
        <v>-5120644000</v>
      </c>
      <c r="DJ120" s="16">
        <f t="shared" si="49"/>
        <v>-480953000</v>
      </c>
      <c r="DK120" s="16">
        <f t="shared" si="50"/>
        <v>602551000</v>
      </c>
      <c r="DL120" s="57">
        <f t="shared" si="51"/>
        <v>4.2558332470467017E-2</v>
      </c>
      <c r="DM120" s="57">
        <f t="shared" si="52"/>
        <v>4.4450052586785166E-2</v>
      </c>
      <c r="DN120" s="58">
        <f t="shared" si="53"/>
        <v>-1076822000</v>
      </c>
      <c r="DO120" s="16">
        <f t="shared" si="54"/>
        <v>543507000</v>
      </c>
      <c r="DP120" s="16" t="e">
        <f t="shared" si="55"/>
        <v>#VALUE!</v>
      </c>
      <c r="DQ120" s="61"/>
      <c r="DR120" s="62">
        <f t="shared" si="56"/>
        <v>13736571000</v>
      </c>
      <c r="DS120" s="62">
        <f t="shared" si="57"/>
        <v>-7250803000</v>
      </c>
      <c r="DT120" s="62">
        <f t="shared" si="58"/>
        <v>-4656071000</v>
      </c>
      <c r="DU120" s="62">
        <f t="shared" si="59"/>
        <v>-450912000</v>
      </c>
      <c r="DV120" s="62">
        <f t="shared" si="60"/>
        <v>1378785000</v>
      </c>
      <c r="DW120" s="63">
        <f t="shared" si="61"/>
        <v>0.10037330276966501</v>
      </c>
      <c r="DX120" s="63">
        <f t="shared" si="62"/>
        <v>0.11157216996636776</v>
      </c>
      <c r="DY120" s="64">
        <f t="shared" si="63"/>
        <v>-840999000</v>
      </c>
      <c r="DZ120" s="64">
        <f t="shared" si="64"/>
        <v>651561500</v>
      </c>
      <c r="EA120" s="64">
        <f t="shared" si="65"/>
        <v>31770000</v>
      </c>
      <c r="EB120" s="61"/>
      <c r="EC120" s="64">
        <f t="shared" si="66"/>
        <v>13324201000</v>
      </c>
      <c r="ED120" s="64">
        <f t="shared" si="67"/>
        <v>-7339301000</v>
      </c>
      <c r="EE120" s="64">
        <f t="shared" si="68"/>
        <v>-5157856000</v>
      </c>
      <c r="EF120" s="64">
        <f t="shared" si="69"/>
        <v>-418369000</v>
      </c>
      <c r="EG120" s="64">
        <f t="shared" si="70"/>
        <v>408675000</v>
      </c>
      <c r="EH120" s="63">
        <f t="shared" si="71"/>
        <v>3.0671632768073671E-2</v>
      </c>
      <c r="EI120" s="57">
        <f t="shared" si="72"/>
        <v>3.1642149146693679E-2</v>
      </c>
      <c r="EJ120" s="64">
        <f t="shared" si="73"/>
        <v>-967779000</v>
      </c>
      <c r="EK120" s="64">
        <f t="shared" si="74"/>
        <v>576199000</v>
      </c>
      <c r="EL120" s="64">
        <f t="shared" si="75"/>
        <v>1289395000</v>
      </c>
      <c r="EM120" s="61"/>
      <c r="EN120" s="66">
        <f t="shared" si="76"/>
        <v>13739670000</v>
      </c>
      <c r="EO120" s="66">
        <f t="shared" si="76"/>
        <v>-7514731333.333333</v>
      </c>
      <c r="EP120" s="66">
        <f t="shared" si="76"/>
        <v>-4978190333.333333</v>
      </c>
      <c r="EQ120" s="66">
        <f t="shared" si="43"/>
        <v>-450078000</v>
      </c>
      <c r="ER120" s="66">
        <f t="shared" si="77"/>
        <v>796670333.33333397</v>
      </c>
      <c r="ES120" s="63">
        <f t="shared" si="78"/>
        <v>5.7983221819252861E-2</v>
      </c>
      <c r="ET120" s="67">
        <f t="shared" si="79"/>
        <v>6.1552217712334073E-2</v>
      </c>
      <c r="EU120" s="66">
        <f t="shared" si="80"/>
        <v>961866666.66666663</v>
      </c>
      <c r="EV120" s="66">
        <f t="shared" si="81"/>
        <v>590422500</v>
      </c>
      <c r="EW120" s="66" t="e">
        <f t="shared" si="81"/>
        <v>#VALUE!</v>
      </c>
      <c r="EX120" s="70"/>
      <c r="EY120" s="71" t="str">
        <f t="shared" si="82"/>
        <v>完整</v>
      </c>
      <c r="EZ120" s="71" t="str">
        <f t="shared" si="83"/>
        <v>完整</v>
      </c>
      <c r="FA120" s="71" t="str">
        <f t="shared" si="84"/>
        <v>完整</v>
      </c>
      <c r="FB120" s="71" t="str">
        <f t="shared" si="85"/>
        <v>选择</v>
      </c>
      <c r="FC120" s="71" t="str">
        <f t="shared" si="86"/>
        <v>选择</v>
      </c>
      <c r="FD120" s="72"/>
      <c r="FE120" s="72"/>
      <c r="FF120" s="72"/>
      <c r="FG120" s="72"/>
      <c r="FH120" s="72"/>
      <c r="FI120" s="72"/>
      <c r="FJ120" s="72"/>
      <c r="FK120" s="72"/>
      <c r="FL120" s="72"/>
      <c r="FM120" s="72"/>
      <c r="FN120" s="72"/>
      <c r="FO120" s="72"/>
      <c r="FP120" s="72"/>
      <c r="FQ120" s="72"/>
      <c r="FR120" s="72"/>
      <c r="FS120" s="72"/>
      <c r="FT120" s="72"/>
      <c r="FU120" s="72"/>
      <c r="FV120" s="72"/>
      <c r="FW120" s="72"/>
      <c r="FX120" s="72"/>
      <c r="FY120" s="72"/>
      <c r="FZ120" s="72"/>
      <c r="GA120" s="72"/>
      <c r="GB120" s="72"/>
      <c r="GC120" s="72"/>
      <c r="GD120" s="72"/>
      <c r="GE120" s="72"/>
      <c r="GF120" s="72"/>
      <c r="GG120" s="72"/>
      <c r="GH120" s="72"/>
      <c r="GI120" s="72"/>
      <c r="GJ120" s="72"/>
      <c r="GK120" s="72"/>
      <c r="GL120" s="72"/>
      <c r="GM120" s="72"/>
      <c r="GN120" s="72"/>
      <c r="GO120" s="72"/>
      <c r="GP120" s="72"/>
      <c r="GQ120" s="72"/>
      <c r="GR120" s="72"/>
      <c r="GS120" s="72"/>
      <c r="GT120" s="72"/>
      <c r="GU120" s="72"/>
      <c r="GV120" s="72"/>
      <c r="GW120" s="72"/>
      <c r="GX120" s="72"/>
      <c r="GY120" s="72"/>
      <c r="GZ120" s="72"/>
      <c r="HA120" s="72"/>
      <c r="HB120" s="72"/>
      <c r="HC120" s="72"/>
      <c r="HD120" s="72"/>
      <c r="HE120" s="72"/>
      <c r="HF120" s="72"/>
      <c r="HG120" s="72"/>
      <c r="HH120" s="72"/>
      <c r="HI120" s="72"/>
    </row>
    <row r="121" spans="1:218" s="3" customFormat="1" ht="12.75" customHeight="1" x14ac:dyDescent="0.25">
      <c r="A121" s="28" t="s">
        <v>285</v>
      </c>
      <c r="B121" s="134" t="str">
        <f t="shared" si="44"/>
        <v>BEAUTY COMMUNITY PCL</v>
      </c>
      <c r="C121" s="29" t="s">
        <v>328</v>
      </c>
      <c r="D121" s="135" t="s">
        <v>311</v>
      </c>
      <c r="E121" s="29"/>
      <c r="F121" s="135"/>
      <c r="H121" s="31" t="str">
        <f t="shared" si="45"/>
        <v xml:space="preserve"> </v>
      </c>
      <c r="I121" s="29"/>
      <c r="J121" s="29" t="str">
        <f>VLOOKUP(Z:Z,'[1]AP 2022'!FD120:FF181,2,FALSE)</f>
        <v>exclude</v>
      </c>
      <c r="K121" s="47" t="str">
        <f>VLOOKUP(Z:Z,'[1]AP 2022'!FD120:FF181,3,0)</f>
        <v>lev SDA/SDP</v>
      </c>
      <c r="L121" s="48"/>
      <c r="M121" s="125" t="s">
        <v>1237</v>
      </c>
      <c r="N121" s="125" t="s">
        <v>1238</v>
      </c>
      <c r="O121" s="125" t="s">
        <v>496</v>
      </c>
      <c r="P121" s="125" t="s">
        <v>1239</v>
      </c>
      <c r="Q121" s="124"/>
      <c r="R121" s="125" t="s">
        <v>498</v>
      </c>
      <c r="S121" s="125" t="s">
        <v>1240</v>
      </c>
      <c r="T121" s="125" t="s">
        <v>335</v>
      </c>
      <c r="U121" s="125" t="s">
        <v>321</v>
      </c>
      <c r="V121" s="125" t="s">
        <v>1241</v>
      </c>
      <c r="W121" s="125" t="s">
        <v>1242</v>
      </c>
      <c r="X121" s="124"/>
      <c r="Y121" s="124"/>
      <c r="Z121" s="125" t="s">
        <v>1243</v>
      </c>
      <c r="AA121" s="128">
        <v>362861000</v>
      </c>
      <c r="AB121" s="128">
        <v>408862000</v>
      </c>
      <c r="AC121" s="128">
        <v>782246000</v>
      </c>
      <c r="AD121" s="128">
        <v>2013637000</v>
      </c>
      <c r="AE121" s="128">
        <v>352379000</v>
      </c>
      <c r="AF121" s="128">
        <v>387632000</v>
      </c>
      <c r="AG121" s="128">
        <v>769297000</v>
      </c>
      <c r="AH121" s="128">
        <v>2007208000</v>
      </c>
      <c r="AI121" s="125" t="s">
        <v>340</v>
      </c>
      <c r="AJ121" s="125" t="s">
        <v>340</v>
      </c>
      <c r="AK121" s="125" t="s">
        <v>340</v>
      </c>
      <c r="AL121" s="125" t="s">
        <v>340</v>
      </c>
      <c r="AM121" s="128">
        <v>352379000</v>
      </c>
      <c r="AN121" s="128">
        <v>387632000</v>
      </c>
      <c r="AO121" s="128">
        <v>769297000</v>
      </c>
      <c r="AP121" s="128">
        <v>2007208000</v>
      </c>
      <c r="AQ121" s="128">
        <v>10482000</v>
      </c>
      <c r="AR121" s="128">
        <v>21230000</v>
      </c>
      <c r="AS121" s="128">
        <v>12949000</v>
      </c>
      <c r="AT121" s="128">
        <v>6429000</v>
      </c>
      <c r="AU121" s="128">
        <v>-117028000</v>
      </c>
      <c r="AV121" s="128">
        <v>-145866000</v>
      </c>
      <c r="AW121" s="128">
        <v>-232698000</v>
      </c>
      <c r="AX121" s="128">
        <v>-740458000</v>
      </c>
      <c r="AY121" s="128">
        <v>0</v>
      </c>
      <c r="AZ121" s="128">
        <v>0</v>
      </c>
      <c r="BA121" s="128">
        <v>0</v>
      </c>
      <c r="BB121" s="128">
        <v>0</v>
      </c>
      <c r="BC121" s="128">
        <v>-265806000</v>
      </c>
      <c r="BD121" s="128">
        <v>-280733000</v>
      </c>
      <c r="BE121" s="128">
        <v>-511711000</v>
      </c>
      <c r="BF121" s="128">
        <v>-935858000</v>
      </c>
      <c r="BG121" s="128">
        <v>-19973000</v>
      </c>
      <c r="BH121" s="128">
        <v>-17737000</v>
      </c>
      <c r="BI121" s="128">
        <v>37837000</v>
      </c>
      <c r="BJ121" s="128">
        <v>337321000</v>
      </c>
      <c r="BK121" s="128">
        <v>-60819000</v>
      </c>
      <c r="BL121" s="128">
        <v>-77149000</v>
      </c>
      <c r="BM121" s="128">
        <v>-120578000</v>
      </c>
      <c r="BN121" s="128">
        <v>-53681000</v>
      </c>
      <c r="BO121" s="128">
        <v>-56845000</v>
      </c>
      <c r="BP121" s="128">
        <v>-73569000</v>
      </c>
      <c r="BQ121" s="128">
        <v>-117180000</v>
      </c>
      <c r="BR121" s="128">
        <v>-49343000</v>
      </c>
      <c r="BS121" s="128">
        <v>-3974000</v>
      </c>
      <c r="BT121" s="128">
        <v>-3580000</v>
      </c>
      <c r="BU121" s="128">
        <v>-3398000</v>
      </c>
      <c r="BV121" s="128">
        <v>-4338000</v>
      </c>
      <c r="BW121" s="128">
        <v>-67679000</v>
      </c>
      <c r="BX121" s="128">
        <v>-80768000</v>
      </c>
      <c r="BY121" s="128">
        <v>-104882000</v>
      </c>
      <c r="BZ121" s="128">
        <v>232576000</v>
      </c>
      <c r="CA121" s="128">
        <v>306603000</v>
      </c>
      <c r="CB121" s="128">
        <v>601733000</v>
      </c>
      <c r="CC121" s="128">
        <v>694029000</v>
      </c>
      <c r="CD121" s="128">
        <v>901120000</v>
      </c>
      <c r="CE121" s="128">
        <v>115581000</v>
      </c>
      <c r="CF121" s="128">
        <v>138246000</v>
      </c>
      <c r="CG121" s="128">
        <v>209016000</v>
      </c>
      <c r="CH121" s="128">
        <v>354875000</v>
      </c>
      <c r="CI121" s="128">
        <v>19120000</v>
      </c>
      <c r="CJ121" s="128">
        <v>24987000</v>
      </c>
      <c r="CK121" s="128">
        <v>42007000</v>
      </c>
      <c r="CL121" s="128">
        <v>73899000</v>
      </c>
      <c r="CM121" s="128">
        <v>1039000</v>
      </c>
      <c r="CN121" s="128">
        <v>254000</v>
      </c>
      <c r="CO121" s="128">
        <v>870000</v>
      </c>
      <c r="CP121" s="128">
        <v>1700000</v>
      </c>
      <c r="CQ121" s="128">
        <v>163505000</v>
      </c>
      <c r="CR121" s="128">
        <v>428094000</v>
      </c>
      <c r="CS121" s="128">
        <v>426375000</v>
      </c>
      <c r="CT121" s="128">
        <v>454656000</v>
      </c>
      <c r="CU121" s="128">
        <v>100000000</v>
      </c>
      <c r="CV121" s="128">
        <v>370117000</v>
      </c>
      <c r="CW121" s="128">
        <v>250432000</v>
      </c>
      <c r="CX121" s="128">
        <v>300000000</v>
      </c>
      <c r="CY121" s="128">
        <v>62633000</v>
      </c>
      <c r="CZ121" s="128">
        <v>62871000</v>
      </c>
      <c r="DA121" s="128">
        <v>195409000</v>
      </c>
      <c r="DB121" s="128">
        <v>339021000</v>
      </c>
      <c r="DC121" s="128">
        <v>897370000</v>
      </c>
      <c r="DD121" s="128">
        <v>974102000</v>
      </c>
      <c r="DE121" s="128">
        <v>1082255000</v>
      </c>
      <c r="DF121" s="128">
        <v>1315918000</v>
      </c>
      <c r="DG121" s="16">
        <f t="shared" si="46"/>
        <v>352379000</v>
      </c>
      <c r="DH121" s="16">
        <f t="shared" si="47"/>
        <v>-117028000</v>
      </c>
      <c r="DI121" s="16">
        <f t="shared" si="48"/>
        <v>-265806000</v>
      </c>
      <c r="DJ121" s="16">
        <f t="shared" si="49"/>
        <v>-60819000</v>
      </c>
      <c r="DK121" s="16">
        <f t="shared" si="50"/>
        <v>-91274000</v>
      </c>
      <c r="DL121" s="57">
        <f t="shared" si="51"/>
        <v>-0.25902224593406531</v>
      </c>
      <c r="DM121" s="57">
        <f t="shared" si="52"/>
        <v>-0.20573285878828723</v>
      </c>
      <c r="DN121" s="58">
        <f t="shared" si="53"/>
        <v>0</v>
      </c>
      <c r="DO121" s="16">
        <f t="shared" si="54"/>
        <v>126913500</v>
      </c>
      <c r="DP121" s="16">
        <f t="shared" si="55"/>
        <v>62752000</v>
      </c>
      <c r="DQ121" s="61"/>
      <c r="DR121" s="62">
        <f t="shared" si="56"/>
        <v>387632000</v>
      </c>
      <c r="DS121" s="62">
        <f t="shared" si="57"/>
        <v>-145866000</v>
      </c>
      <c r="DT121" s="62">
        <f t="shared" si="58"/>
        <v>-280733000</v>
      </c>
      <c r="DU121" s="62">
        <f t="shared" si="59"/>
        <v>-77149000</v>
      </c>
      <c r="DV121" s="62">
        <f t="shared" si="60"/>
        <v>-116116000</v>
      </c>
      <c r="DW121" s="63">
        <f t="shared" si="61"/>
        <v>-0.29955215255706441</v>
      </c>
      <c r="DX121" s="63">
        <f t="shared" si="62"/>
        <v>-0.23050414095936858</v>
      </c>
      <c r="DY121" s="64">
        <f t="shared" si="63"/>
        <v>0</v>
      </c>
      <c r="DZ121" s="64">
        <f t="shared" si="64"/>
        <v>173631000</v>
      </c>
      <c r="EA121" s="64">
        <f t="shared" si="65"/>
        <v>129140000</v>
      </c>
      <c r="EB121" s="61"/>
      <c r="EC121" s="64">
        <f t="shared" si="66"/>
        <v>769297000</v>
      </c>
      <c r="ED121" s="64">
        <f t="shared" si="67"/>
        <v>-232698000</v>
      </c>
      <c r="EE121" s="64">
        <f t="shared" si="68"/>
        <v>-511711000</v>
      </c>
      <c r="EF121" s="64">
        <f t="shared" si="69"/>
        <v>-120578000</v>
      </c>
      <c r="EG121" s="64">
        <f t="shared" si="70"/>
        <v>-95690000</v>
      </c>
      <c r="EH121" s="63">
        <f t="shared" si="71"/>
        <v>-0.12438629034040169</v>
      </c>
      <c r="EI121" s="57">
        <f t="shared" si="72"/>
        <v>-0.11062594004302954</v>
      </c>
      <c r="EJ121" s="64">
        <f t="shared" si="73"/>
        <v>0</v>
      </c>
      <c r="EK121" s="64">
        <f t="shared" si="74"/>
        <v>281945500</v>
      </c>
      <c r="EL121" s="64">
        <f t="shared" si="75"/>
        <v>267215000</v>
      </c>
      <c r="EM121" s="61"/>
      <c r="EN121" s="66">
        <f t="shared" si="76"/>
        <v>503102666.66666669</v>
      </c>
      <c r="EO121" s="66">
        <f t="shared" si="76"/>
        <v>-165197333.33333334</v>
      </c>
      <c r="EP121" s="66">
        <f t="shared" si="76"/>
        <v>-352750000</v>
      </c>
      <c r="EQ121" s="66">
        <f t="shared" si="43"/>
        <v>-86182000</v>
      </c>
      <c r="ER121" s="66">
        <f t="shared" si="77"/>
        <v>-101026666.66666663</v>
      </c>
      <c r="ES121" s="63">
        <f t="shared" si="78"/>
        <v>-0.20080725736562707</v>
      </c>
      <c r="ET121" s="67">
        <f t="shared" si="79"/>
        <v>-0.16722688519235387</v>
      </c>
      <c r="EU121" s="66">
        <f t="shared" si="80"/>
        <v>0</v>
      </c>
      <c r="EV121" s="66">
        <f t="shared" si="81"/>
        <v>194163333.33333334</v>
      </c>
      <c r="EW121" s="66">
        <f t="shared" si="81"/>
        <v>153035666.66666666</v>
      </c>
      <c r="EX121" s="70"/>
      <c r="EY121" s="151" t="str">
        <f t="shared" si="82"/>
        <v>完整</v>
      </c>
      <c r="EZ121" s="151" t="str">
        <f t="shared" si="83"/>
        <v>完整</v>
      </c>
      <c r="FA121" s="151" t="str">
        <f t="shared" si="84"/>
        <v>完整</v>
      </c>
      <c r="FB121" s="151" t="str">
        <f t="shared" si="85"/>
        <v>选择</v>
      </c>
      <c r="FC121" s="151" t="str">
        <f t="shared" si="86"/>
        <v>删除</v>
      </c>
    </row>
    <row r="122" spans="1:218" s="3" customFormat="1" ht="12.75" customHeight="1" x14ac:dyDescent="0.25">
      <c r="A122" s="28" t="s">
        <v>286</v>
      </c>
      <c r="B122" s="134" t="str">
        <f t="shared" si="44"/>
        <v>POWER FULX CO.,LTD.</v>
      </c>
      <c r="C122" s="29" t="s">
        <v>328</v>
      </c>
      <c r="D122" s="136" t="s">
        <v>309</v>
      </c>
      <c r="E122" s="35"/>
      <c r="F122" s="34"/>
      <c r="H122" s="31" t="str">
        <f t="shared" si="45"/>
        <v xml:space="preserve"> </v>
      </c>
      <c r="I122" s="29"/>
      <c r="J122" s="29" t="e">
        <f>VLOOKUP(Z:Z,'[1]AP 2022'!FD121:FF181,2,FALSE)</f>
        <v>#N/A</v>
      </c>
      <c r="K122" s="47" t="e">
        <f>VLOOKUP(Z:Z,'[1]AP 2022'!FD121:FF181,3,0)</f>
        <v>#N/A</v>
      </c>
      <c r="L122" s="48"/>
      <c r="M122" s="125" t="s">
        <v>1244</v>
      </c>
      <c r="N122" s="125" t="s">
        <v>1245</v>
      </c>
      <c r="O122" s="125" t="s">
        <v>496</v>
      </c>
      <c r="P122" s="125" t="s">
        <v>1246</v>
      </c>
      <c r="Q122" s="124"/>
      <c r="R122" s="125" t="s">
        <v>363</v>
      </c>
      <c r="S122" s="125" t="s">
        <v>1247</v>
      </c>
      <c r="T122" s="125" t="s">
        <v>365</v>
      </c>
      <c r="U122" s="125" t="s">
        <v>321</v>
      </c>
      <c r="V122" s="125" t="s">
        <v>1248</v>
      </c>
      <c r="W122" s="125" t="s">
        <v>1249</v>
      </c>
      <c r="X122" s="125" t="s">
        <v>1250</v>
      </c>
      <c r="Y122" s="124"/>
      <c r="Z122" s="125" t="s">
        <v>1251</v>
      </c>
      <c r="AA122" s="128">
        <v>13276519000</v>
      </c>
      <c r="AB122" s="128">
        <v>14447887000</v>
      </c>
      <c r="AC122" s="128">
        <v>20393899000</v>
      </c>
      <c r="AD122" s="128">
        <v>15506225000</v>
      </c>
      <c r="AE122" s="128">
        <v>13276519000</v>
      </c>
      <c r="AF122" s="128">
        <v>14447887000</v>
      </c>
      <c r="AG122" s="128">
        <v>20393899000</v>
      </c>
      <c r="AH122" s="128">
        <v>15506225000</v>
      </c>
      <c r="AI122" s="125" t="s">
        <v>340</v>
      </c>
      <c r="AJ122" s="125" t="s">
        <v>340</v>
      </c>
      <c r="AK122" s="125" t="s">
        <v>340</v>
      </c>
      <c r="AL122" s="125" t="s">
        <v>340</v>
      </c>
      <c r="AM122" s="128">
        <v>13276519000</v>
      </c>
      <c r="AN122" s="128">
        <v>14447887000</v>
      </c>
      <c r="AO122" s="128">
        <v>20393899000</v>
      </c>
      <c r="AP122" s="128">
        <v>15506225000</v>
      </c>
      <c r="AQ122" s="125" t="s">
        <v>340</v>
      </c>
      <c r="AR122" s="125" t="s">
        <v>340</v>
      </c>
      <c r="AS122" s="125" t="s">
        <v>340</v>
      </c>
      <c r="AT122" s="125" t="s">
        <v>340</v>
      </c>
      <c r="AU122" s="128">
        <v>-3167607000</v>
      </c>
      <c r="AV122" s="128">
        <v>-3002538000</v>
      </c>
      <c r="AW122" s="128">
        <v>-6564517000</v>
      </c>
      <c r="AX122" s="128">
        <v>-4083096000</v>
      </c>
      <c r="AY122" s="125" t="s">
        <v>340</v>
      </c>
      <c r="AZ122" s="128">
        <v>-2383930000</v>
      </c>
      <c r="BA122" s="128">
        <v>-2323606000</v>
      </c>
      <c r="BB122" s="125" t="s">
        <v>340</v>
      </c>
      <c r="BC122" s="128">
        <v>-10177595000</v>
      </c>
      <c r="BD122" s="128">
        <v>-7659018000</v>
      </c>
      <c r="BE122" s="128">
        <v>-10305853000</v>
      </c>
      <c r="BF122" s="128">
        <v>-11316327000</v>
      </c>
      <c r="BG122" s="128">
        <v>-68683000</v>
      </c>
      <c r="BH122" s="128">
        <v>1402401000</v>
      </c>
      <c r="BI122" s="128">
        <v>1199923000</v>
      </c>
      <c r="BJ122" s="128">
        <v>106802000</v>
      </c>
      <c r="BK122" s="128">
        <v>-838731000</v>
      </c>
      <c r="BL122" s="128">
        <v>-839807000</v>
      </c>
      <c r="BM122" s="128">
        <v>-776904000</v>
      </c>
      <c r="BN122" s="128">
        <v>-860404000</v>
      </c>
      <c r="BO122" s="128">
        <v>-811367000</v>
      </c>
      <c r="BP122" s="128">
        <v>-811850000</v>
      </c>
      <c r="BQ122" s="128">
        <v>-754339000</v>
      </c>
      <c r="BR122" s="128">
        <v>-779450000</v>
      </c>
      <c r="BS122" s="128">
        <v>-27364000</v>
      </c>
      <c r="BT122" s="128">
        <v>-27957000</v>
      </c>
      <c r="BU122" s="128">
        <v>-22565000</v>
      </c>
      <c r="BV122" s="128">
        <v>-80954000</v>
      </c>
      <c r="BW122" s="128">
        <v>2700912000</v>
      </c>
      <c r="BX122" s="128">
        <v>-190180000</v>
      </c>
      <c r="BY122" s="128">
        <v>307472000</v>
      </c>
      <c r="BZ122" s="128">
        <v>-692234000</v>
      </c>
      <c r="CA122" s="128">
        <v>13220975000</v>
      </c>
      <c r="CB122" s="128">
        <v>17941254000</v>
      </c>
      <c r="CC122" s="128">
        <v>10305877000</v>
      </c>
      <c r="CD122" s="128">
        <v>8767963000</v>
      </c>
      <c r="CE122" s="128">
        <v>2701711000</v>
      </c>
      <c r="CF122" s="128">
        <v>2727008000</v>
      </c>
      <c r="CG122" s="128">
        <v>2548537000</v>
      </c>
      <c r="CH122" s="128">
        <v>1197182000</v>
      </c>
      <c r="CI122" s="128">
        <v>1280003000</v>
      </c>
      <c r="CJ122" s="128">
        <v>1149669000</v>
      </c>
      <c r="CK122" s="128">
        <v>1155260000</v>
      </c>
      <c r="CL122" s="128">
        <v>838915000</v>
      </c>
      <c r="CM122" s="128">
        <v>72212000</v>
      </c>
      <c r="CN122" s="128">
        <v>7297489000</v>
      </c>
      <c r="CO122" s="128">
        <v>814170000</v>
      </c>
      <c r="CP122" s="128">
        <v>20450000</v>
      </c>
      <c r="CQ122" s="128">
        <v>8814361000</v>
      </c>
      <c r="CR122" s="128">
        <v>5278133000</v>
      </c>
      <c r="CS122" s="128">
        <v>4926714000</v>
      </c>
      <c r="CT122" s="128">
        <v>6610554000</v>
      </c>
      <c r="CU122" s="128">
        <v>7044782000</v>
      </c>
      <c r="CV122" s="128">
        <v>795115000</v>
      </c>
      <c r="CW122" s="125" t="s">
        <v>340</v>
      </c>
      <c r="CX122" s="128">
        <v>1994381000</v>
      </c>
      <c r="CY122" s="128">
        <v>2809064000</v>
      </c>
      <c r="CZ122" s="128">
        <v>1798732000</v>
      </c>
      <c r="DA122" s="128">
        <v>1846794000</v>
      </c>
      <c r="DB122" s="128">
        <v>973572000</v>
      </c>
      <c r="DC122" s="128">
        <v>17426159000</v>
      </c>
      <c r="DD122" s="128">
        <v>20111877000</v>
      </c>
      <c r="DE122" s="128">
        <v>19889864000</v>
      </c>
      <c r="DF122" s="128">
        <v>18612056000</v>
      </c>
      <c r="DG122" s="16">
        <f t="shared" si="46"/>
        <v>13276519000</v>
      </c>
      <c r="DH122" s="16">
        <f t="shared" si="47"/>
        <v>-3167607000</v>
      </c>
      <c r="DI122" s="16">
        <f t="shared" si="48"/>
        <v>-10177595000</v>
      </c>
      <c r="DJ122" s="16">
        <f t="shared" si="49"/>
        <v>-838731000</v>
      </c>
      <c r="DK122" s="16">
        <f t="shared" si="50"/>
        <v>-907414000</v>
      </c>
      <c r="DL122" s="57">
        <f t="shared" si="51"/>
        <v>-6.8347282898476622E-2</v>
      </c>
      <c r="DM122" s="57">
        <f t="shared" si="52"/>
        <v>-6.3974780478728996E-2</v>
      </c>
      <c r="DN122" s="58" t="str">
        <f t="shared" si="53"/>
        <v>n.a.</v>
      </c>
      <c r="DO122" s="16">
        <f t="shared" si="54"/>
        <v>2714359500</v>
      </c>
      <c r="DP122" s="16">
        <f t="shared" si="55"/>
        <v>2303898000</v>
      </c>
      <c r="DQ122" s="61"/>
      <c r="DR122" s="62">
        <f t="shared" si="56"/>
        <v>14447887000</v>
      </c>
      <c r="DS122" s="62">
        <f t="shared" si="57"/>
        <v>-3002538000</v>
      </c>
      <c r="DT122" s="62">
        <f t="shared" si="58"/>
        <v>-10042948000</v>
      </c>
      <c r="DU122" s="62">
        <f t="shared" si="59"/>
        <v>-839807000</v>
      </c>
      <c r="DV122" s="62">
        <f t="shared" si="60"/>
        <v>562594000</v>
      </c>
      <c r="DW122" s="63">
        <f t="shared" si="61"/>
        <v>3.8939534895310296E-2</v>
      </c>
      <c r="DX122" s="63">
        <f t="shared" si="62"/>
        <v>4.051725808018599E-2</v>
      </c>
      <c r="DY122" s="64">
        <f t="shared" si="63"/>
        <v>-2383930000</v>
      </c>
      <c r="DZ122" s="64">
        <f t="shared" si="64"/>
        <v>2637772500</v>
      </c>
      <c r="EA122" s="64">
        <f t="shared" si="65"/>
        <v>1822763000</v>
      </c>
      <c r="EB122" s="61"/>
      <c r="EC122" s="64">
        <f t="shared" si="66"/>
        <v>20393899000</v>
      </c>
      <c r="ED122" s="64">
        <f t="shared" si="67"/>
        <v>-6564517000</v>
      </c>
      <c r="EE122" s="64">
        <f t="shared" si="68"/>
        <v>-12629459000</v>
      </c>
      <c r="EF122" s="64">
        <f t="shared" si="69"/>
        <v>-776904000</v>
      </c>
      <c r="EG122" s="64">
        <f t="shared" si="70"/>
        <v>423019000</v>
      </c>
      <c r="EH122" s="63">
        <f t="shared" si="71"/>
        <v>2.0742428899937181E-2</v>
      </c>
      <c r="EI122" s="57">
        <f t="shared" si="72"/>
        <v>2.1181790687240621E-2</v>
      </c>
      <c r="EJ122" s="64">
        <f t="shared" si="73"/>
        <v>-2323606000</v>
      </c>
      <c r="EK122" s="64">
        <f t="shared" si="74"/>
        <v>1872859500</v>
      </c>
      <c r="EL122" s="64">
        <f t="shared" si="75"/>
        <v>1410183000</v>
      </c>
      <c r="EM122" s="61"/>
      <c r="EN122" s="66">
        <f t="shared" si="76"/>
        <v>16039435000</v>
      </c>
      <c r="EO122" s="66">
        <f t="shared" si="76"/>
        <v>-4244887333.3333335</v>
      </c>
      <c r="EP122" s="66">
        <f t="shared" si="76"/>
        <v>-10950000666.666666</v>
      </c>
      <c r="EQ122" s="66">
        <f t="shared" si="43"/>
        <v>-818480666.66666663</v>
      </c>
      <c r="ER122" s="66">
        <f t="shared" si="77"/>
        <v>26066333.333333373</v>
      </c>
      <c r="ES122" s="63">
        <f t="shared" si="78"/>
        <v>1.6251403701772146E-3</v>
      </c>
      <c r="ET122" s="67">
        <f t="shared" si="79"/>
        <v>1.6277857505143749E-3</v>
      </c>
      <c r="EU122" s="66" t="e">
        <f t="shared" si="80"/>
        <v>#VALUE!</v>
      </c>
      <c r="EV122" s="66">
        <f t="shared" si="81"/>
        <v>2408330500</v>
      </c>
      <c r="EW122" s="66">
        <f t="shared" si="81"/>
        <v>1845614666.6666667</v>
      </c>
      <c r="EX122" s="70"/>
      <c r="EY122" s="71" t="str">
        <f t="shared" si="82"/>
        <v>完整</v>
      </c>
      <c r="EZ122" s="71" t="str">
        <f t="shared" si="83"/>
        <v>完整</v>
      </c>
      <c r="FA122" s="71" t="str">
        <f t="shared" si="84"/>
        <v>完整</v>
      </c>
      <c r="FB122" s="71" t="str">
        <f t="shared" si="85"/>
        <v>选择</v>
      </c>
      <c r="FC122" s="71" t="str">
        <f t="shared" si="86"/>
        <v>选择</v>
      </c>
      <c r="FD122" s="72"/>
      <c r="FE122" s="72"/>
      <c r="FF122" s="72"/>
      <c r="FG122" s="72"/>
      <c r="FH122" s="72"/>
      <c r="FI122" s="72"/>
      <c r="FJ122" s="72"/>
      <c r="FK122" s="72"/>
      <c r="FL122" s="72"/>
      <c r="FM122" s="72"/>
      <c r="FN122" s="72"/>
      <c r="FO122" s="72"/>
      <c r="FP122" s="72"/>
      <c r="FQ122" s="72"/>
      <c r="FR122" s="72"/>
      <c r="FS122" s="72"/>
      <c r="FT122" s="72"/>
      <c r="FU122" s="72"/>
      <c r="FV122" s="72"/>
      <c r="FW122" s="72"/>
      <c r="FX122" s="72"/>
      <c r="FY122" s="72"/>
      <c r="FZ122" s="72"/>
      <c r="GA122" s="72"/>
      <c r="GB122" s="72"/>
      <c r="GC122" s="72"/>
      <c r="GD122" s="72"/>
      <c r="GE122" s="72"/>
      <c r="GF122" s="72"/>
      <c r="GG122" s="72"/>
      <c r="GH122" s="72"/>
      <c r="GI122" s="72"/>
      <c r="GJ122" s="72"/>
      <c r="GK122" s="72"/>
      <c r="GL122" s="72"/>
      <c r="GM122" s="72"/>
      <c r="GN122" s="72"/>
      <c r="GO122" s="72"/>
      <c r="GP122" s="72"/>
      <c r="GQ122" s="72"/>
      <c r="GR122" s="72"/>
      <c r="GS122" s="72"/>
      <c r="GT122" s="72"/>
      <c r="GU122" s="72"/>
      <c r="GV122" s="72"/>
      <c r="GW122" s="72"/>
      <c r="GX122" s="72"/>
      <c r="GY122" s="72"/>
      <c r="GZ122" s="72"/>
      <c r="HA122" s="72"/>
      <c r="HB122" s="72"/>
      <c r="HC122" s="72"/>
      <c r="HD122" s="72"/>
      <c r="HE122" s="72"/>
      <c r="HF122" s="72"/>
      <c r="HG122" s="72"/>
      <c r="HH122" s="72"/>
      <c r="HI122" s="72"/>
    </row>
    <row r="123" spans="1:218" s="3" customFormat="1" ht="12" customHeight="1" x14ac:dyDescent="0.25">
      <c r="A123" s="28" t="s">
        <v>287</v>
      </c>
      <c r="B123" s="134" t="str">
        <f t="shared" si="44"/>
        <v>CNT DREAM CO.,LTD.</v>
      </c>
      <c r="C123" s="29" t="s">
        <v>328</v>
      </c>
      <c r="D123" s="136" t="s">
        <v>309</v>
      </c>
      <c r="E123" s="35"/>
      <c r="F123" s="34"/>
      <c r="H123" s="31" t="str">
        <f t="shared" si="45"/>
        <v xml:space="preserve"> </v>
      </c>
      <c r="I123" s="29"/>
      <c r="J123" s="29" t="str">
        <f>VLOOKUP(Z:Z,'[1]AP 2022'!FD122:FF181,2,FALSE)</f>
        <v>exclude</v>
      </c>
      <c r="K123" s="47" t="str">
        <f>VLOOKUP(Z:Z,'[1]AP 2022'!FD122:FF181,3,0)</f>
        <v>Independence(A+, A, A-, U)</v>
      </c>
      <c r="L123" s="48"/>
      <c r="M123" s="125" t="s">
        <v>1252</v>
      </c>
      <c r="N123" s="125" t="s">
        <v>1253</v>
      </c>
      <c r="O123" s="125" t="s">
        <v>331</v>
      </c>
      <c r="P123" s="125" t="s">
        <v>1254</v>
      </c>
      <c r="Q123" s="124"/>
      <c r="R123" s="125" t="s">
        <v>363</v>
      </c>
      <c r="S123" s="125" t="s">
        <v>1255</v>
      </c>
      <c r="T123" s="125" t="s">
        <v>365</v>
      </c>
      <c r="U123" s="125" t="s">
        <v>321</v>
      </c>
      <c r="V123" s="125" t="s">
        <v>1256</v>
      </c>
      <c r="W123" s="125" t="s">
        <v>1257</v>
      </c>
      <c r="X123" s="125" t="s">
        <v>1258</v>
      </c>
      <c r="Y123" s="124"/>
      <c r="Z123" s="125" t="s">
        <v>1259</v>
      </c>
      <c r="AA123" s="128">
        <v>12298337000</v>
      </c>
      <c r="AB123" s="128">
        <v>12385022000</v>
      </c>
      <c r="AC123" s="128">
        <v>20913215000</v>
      </c>
      <c r="AD123" s="128">
        <v>17847009000</v>
      </c>
      <c r="AE123" s="128">
        <v>12298337000</v>
      </c>
      <c r="AF123" s="128">
        <v>12385022000</v>
      </c>
      <c r="AG123" s="128">
        <v>20913215000</v>
      </c>
      <c r="AH123" s="128">
        <v>17847009000</v>
      </c>
      <c r="AI123" s="125" t="s">
        <v>340</v>
      </c>
      <c r="AJ123" s="125" t="s">
        <v>340</v>
      </c>
      <c r="AK123" s="125" t="s">
        <v>340</v>
      </c>
      <c r="AL123" s="125" t="s">
        <v>340</v>
      </c>
      <c r="AM123" s="128">
        <v>12298337000</v>
      </c>
      <c r="AN123" s="128">
        <v>12385022000</v>
      </c>
      <c r="AO123" s="128">
        <v>20913215000</v>
      </c>
      <c r="AP123" s="128">
        <v>17847009000</v>
      </c>
      <c r="AQ123" s="125" t="s">
        <v>340</v>
      </c>
      <c r="AR123" s="125" t="s">
        <v>340</v>
      </c>
      <c r="AS123" s="125" t="s">
        <v>340</v>
      </c>
      <c r="AT123" s="125" t="s">
        <v>340</v>
      </c>
      <c r="AU123" s="128">
        <v>-12752856000</v>
      </c>
      <c r="AV123" s="128">
        <v>-10394408000</v>
      </c>
      <c r="AW123" s="128">
        <v>-19332699000</v>
      </c>
      <c r="AX123" s="128">
        <v>-14515099000</v>
      </c>
      <c r="AY123" s="128">
        <v>-309032000</v>
      </c>
      <c r="AZ123" s="128">
        <v>-375237000</v>
      </c>
      <c r="BA123" s="128">
        <v>-302746000</v>
      </c>
      <c r="BB123" s="128">
        <v>-321892000</v>
      </c>
      <c r="BC123" s="128">
        <v>-2617778000</v>
      </c>
      <c r="BD123" s="128">
        <v>-5898874000</v>
      </c>
      <c r="BE123" s="128">
        <v>-6117377000</v>
      </c>
      <c r="BF123" s="128">
        <v>-5401258000</v>
      </c>
      <c r="BG123" s="128">
        <v>-3381329000</v>
      </c>
      <c r="BH123" s="128">
        <v>-4283497000</v>
      </c>
      <c r="BI123" s="128">
        <v>-4839607000</v>
      </c>
      <c r="BJ123" s="128">
        <v>-2391240000</v>
      </c>
      <c r="BK123" s="128">
        <v>-54261000</v>
      </c>
      <c r="BL123" s="128">
        <v>-66102000</v>
      </c>
      <c r="BM123" s="128">
        <v>-269005000</v>
      </c>
      <c r="BN123" s="128">
        <v>-304145000</v>
      </c>
      <c r="BO123" s="128">
        <v>-15798000</v>
      </c>
      <c r="BP123" s="128">
        <v>-66102000</v>
      </c>
      <c r="BQ123" s="128">
        <v>-86053000</v>
      </c>
      <c r="BR123" s="128">
        <v>-136528000</v>
      </c>
      <c r="BS123" s="128">
        <v>-38463000</v>
      </c>
      <c r="BT123" s="125" t="s">
        <v>340</v>
      </c>
      <c r="BU123" s="128">
        <v>-182952000</v>
      </c>
      <c r="BV123" s="128">
        <v>-167617000</v>
      </c>
      <c r="BW123" s="128">
        <v>-7867363000</v>
      </c>
      <c r="BX123" s="128">
        <v>-4505561000</v>
      </c>
      <c r="BY123" s="128">
        <v>-6057116000</v>
      </c>
      <c r="BZ123" s="128">
        <v>-2960927000</v>
      </c>
      <c r="CA123" s="128">
        <v>2362742000</v>
      </c>
      <c r="CB123" s="128">
        <v>6876194000</v>
      </c>
      <c r="CC123" s="128">
        <v>10951998000</v>
      </c>
      <c r="CD123" s="128">
        <v>15372303000</v>
      </c>
      <c r="CE123" s="128">
        <v>1149597000</v>
      </c>
      <c r="CF123" s="128">
        <v>5096362000</v>
      </c>
      <c r="CG123" s="128">
        <v>5146985000</v>
      </c>
      <c r="CH123" s="128">
        <v>4998894000</v>
      </c>
      <c r="CI123" s="128">
        <v>984479000</v>
      </c>
      <c r="CJ123" s="128">
        <v>1417916000</v>
      </c>
      <c r="CK123" s="128">
        <v>5505591000</v>
      </c>
      <c r="CL123" s="128">
        <v>8032832000</v>
      </c>
      <c r="CM123" s="128">
        <v>151500000</v>
      </c>
      <c r="CN123" s="128">
        <v>156000000</v>
      </c>
      <c r="CO123" s="128">
        <v>138000000</v>
      </c>
      <c r="CP123" s="128">
        <v>846546000</v>
      </c>
      <c r="CQ123" s="128">
        <v>11571000</v>
      </c>
      <c r="CR123" s="128">
        <v>73660000</v>
      </c>
      <c r="CS123" s="128">
        <v>106075000</v>
      </c>
      <c r="CT123" s="128">
        <v>173740000</v>
      </c>
      <c r="CU123" s="125" t="s">
        <v>340</v>
      </c>
      <c r="CV123" s="125" t="s">
        <v>340</v>
      </c>
      <c r="CW123" s="125" t="s">
        <v>340</v>
      </c>
      <c r="CX123" s="125" t="s">
        <v>340</v>
      </c>
      <c r="CY123" s="128">
        <v>437687000</v>
      </c>
      <c r="CZ123" s="128">
        <v>437688000</v>
      </c>
      <c r="DA123" s="128">
        <v>437687000</v>
      </c>
      <c r="DB123" s="128">
        <v>437687000</v>
      </c>
      <c r="DC123" s="128">
        <v>9799017000</v>
      </c>
      <c r="DD123" s="128">
        <v>13797333000</v>
      </c>
      <c r="DE123" s="128">
        <v>16797816000</v>
      </c>
      <c r="DF123" s="128">
        <v>22258311000</v>
      </c>
      <c r="DG123" s="16">
        <f t="shared" si="46"/>
        <v>12298337000</v>
      </c>
      <c r="DH123" s="16">
        <f t="shared" si="47"/>
        <v>-12752856000</v>
      </c>
      <c r="DI123" s="16">
        <f t="shared" si="48"/>
        <v>-2926810000</v>
      </c>
      <c r="DJ123" s="16">
        <f t="shared" si="49"/>
        <v>-54261000</v>
      </c>
      <c r="DK123" s="16">
        <f t="shared" si="50"/>
        <v>-3435590000</v>
      </c>
      <c r="DL123" s="57">
        <f t="shared" si="51"/>
        <v>-0.2793540297358903</v>
      </c>
      <c r="DM123" s="57">
        <f t="shared" si="52"/>
        <v>-0.21835553196605018</v>
      </c>
      <c r="DN123" s="58">
        <f t="shared" si="53"/>
        <v>-309032000</v>
      </c>
      <c r="DO123" s="16">
        <f t="shared" si="54"/>
        <v>3122979500</v>
      </c>
      <c r="DP123" s="16">
        <f t="shared" si="55"/>
        <v>437687500</v>
      </c>
      <c r="DQ123" s="61"/>
      <c r="DR123" s="62">
        <f t="shared" si="56"/>
        <v>12385022000</v>
      </c>
      <c r="DS123" s="62">
        <f t="shared" si="57"/>
        <v>-10394408000</v>
      </c>
      <c r="DT123" s="62">
        <f t="shared" si="58"/>
        <v>-6274111000</v>
      </c>
      <c r="DU123" s="62">
        <f t="shared" si="59"/>
        <v>-66102000</v>
      </c>
      <c r="DV123" s="62">
        <f t="shared" si="60"/>
        <v>-4349599000</v>
      </c>
      <c r="DW123" s="63">
        <f t="shared" si="61"/>
        <v>-0.35119832649469657</v>
      </c>
      <c r="DX123" s="63">
        <f t="shared" si="62"/>
        <v>-0.25991619409845013</v>
      </c>
      <c r="DY123" s="64">
        <f t="shared" si="63"/>
        <v>-375237000</v>
      </c>
      <c r="DZ123" s="64">
        <f t="shared" si="64"/>
        <v>5121673500</v>
      </c>
      <c r="EA123" s="64">
        <f t="shared" si="65"/>
        <v>437687500</v>
      </c>
      <c r="EB123" s="61"/>
      <c r="EC123" s="64">
        <f t="shared" si="66"/>
        <v>20913215000</v>
      </c>
      <c r="ED123" s="64">
        <f t="shared" si="67"/>
        <v>-19332699000</v>
      </c>
      <c r="EE123" s="64">
        <f t="shared" si="68"/>
        <v>-6420123000</v>
      </c>
      <c r="EF123" s="64">
        <f t="shared" si="69"/>
        <v>-269005000</v>
      </c>
      <c r="EG123" s="64">
        <f t="shared" si="70"/>
        <v>-5108612000</v>
      </c>
      <c r="EH123" s="63">
        <f t="shared" si="71"/>
        <v>-0.24427674080718817</v>
      </c>
      <c r="EI123" s="57">
        <f t="shared" si="72"/>
        <v>-0.19632026605971978</v>
      </c>
      <c r="EJ123" s="64">
        <f t="shared" si="73"/>
        <v>-302746000</v>
      </c>
      <c r="EK123" s="64">
        <f t="shared" si="74"/>
        <v>5072939500</v>
      </c>
      <c r="EL123" s="64">
        <f t="shared" si="75"/>
        <v>437687000</v>
      </c>
      <c r="EM123" s="61"/>
      <c r="EN123" s="66">
        <f t="shared" si="76"/>
        <v>15198858000</v>
      </c>
      <c r="EO123" s="66">
        <f t="shared" si="76"/>
        <v>-14159987666.666666</v>
      </c>
      <c r="EP123" s="66">
        <f t="shared" si="76"/>
        <v>-5207014666.666667</v>
      </c>
      <c r="EQ123" s="66">
        <f t="shared" si="43"/>
        <v>-129789333.33333333</v>
      </c>
      <c r="ER123" s="66">
        <f t="shared" si="77"/>
        <v>-4297933666.666666</v>
      </c>
      <c r="ES123" s="63">
        <f t="shared" si="78"/>
        <v>-0.28278003957051684</v>
      </c>
      <c r="ET123" s="67">
        <f t="shared" si="79"/>
        <v>-0.22044312418923626</v>
      </c>
      <c r="EU123" s="66">
        <f t="shared" si="80"/>
        <v>329005000</v>
      </c>
      <c r="EV123" s="66">
        <f t="shared" si="81"/>
        <v>4439197500</v>
      </c>
      <c r="EW123" s="66">
        <f t="shared" si="81"/>
        <v>437687333.33333331</v>
      </c>
      <c r="EX123" s="70"/>
      <c r="EY123" s="151" t="str">
        <f t="shared" si="82"/>
        <v>完整</v>
      </c>
      <c r="EZ123" s="151" t="str">
        <f t="shared" si="83"/>
        <v>完整</v>
      </c>
      <c r="FA123" s="151" t="str">
        <f t="shared" si="84"/>
        <v>完整</v>
      </c>
      <c r="FB123" s="151" t="str">
        <f t="shared" si="85"/>
        <v>选择</v>
      </c>
      <c r="FC123" s="151" t="str">
        <f t="shared" si="86"/>
        <v>删除</v>
      </c>
    </row>
    <row r="124" spans="1:218" s="3" customFormat="1" ht="12.75" customHeight="1" x14ac:dyDescent="0.25">
      <c r="A124" s="28" t="s">
        <v>288</v>
      </c>
      <c r="B124" s="134" t="str">
        <f t="shared" si="44"/>
        <v>INNOGENE CO.,LTD.</v>
      </c>
      <c r="C124" s="29" t="s">
        <v>328</v>
      </c>
      <c r="D124" s="136" t="s">
        <v>309</v>
      </c>
      <c r="E124" s="35"/>
      <c r="F124" s="34"/>
      <c r="H124" s="31" t="str">
        <f t="shared" si="45"/>
        <v xml:space="preserve"> </v>
      </c>
      <c r="I124" s="29"/>
      <c r="J124" s="29" t="str">
        <f>VLOOKUP(Z:Z,'[1]AP 2022'!FD123:FF181,2,FALSE)</f>
        <v>exclude</v>
      </c>
      <c r="K124" s="47" t="str">
        <f>VLOOKUP(Z:Z,'[1]AP 2022'!FD123:FF181,3,0)</f>
        <v>Independence(A+, A, A-, U)</v>
      </c>
      <c r="L124" s="48"/>
      <c r="M124" s="125" t="s">
        <v>1260</v>
      </c>
      <c r="N124" s="125" t="s">
        <v>1261</v>
      </c>
      <c r="O124" s="125" t="s">
        <v>413</v>
      </c>
      <c r="P124" s="125" t="s">
        <v>1262</v>
      </c>
      <c r="Q124" s="124"/>
      <c r="R124" s="125" t="s">
        <v>363</v>
      </c>
      <c r="S124" s="125" t="s">
        <v>1263</v>
      </c>
      <c r="T124" s="125" t="s">
        <v>365</v>
      </c>
      <c r="U124" s="125" t="s">
        <v>321</v>
      </c>
      <c r="V124" s="125" t="s">
        <v>1264</v>
      </c>
      <c r="W124" s="125" t="s">
        <v>1265</v>
      </c>
      <c r="X124" s="124"/>
      <c r="Y124" s="124"/>
      <c r="Z124" s="125" t="s">
        <v>1266</v>
      </c>
      <c r="AA124" s="128">
        <v>9139387000</v>
      </c>
      <c r="AB124" s="128">
        <v>9385018000</v>
      </c>
      <c r="AC124" s="128">
        <v>7181411000</v>
      </c>
      <c r="AD124" s="128">
        <v>5643670000</v>
      </c>
      <c r="AE124" s="128">
        <v>9139387000</v>
      </c>
      <c r="AF124" s="128">
        <v>9385018000</v>
      </c>
      <c r="AG124" s="128">
        <v>7181411000</v>
      </c>
      <c r="AH124" s="128">
        <v>5643670000</v>
      </c>
      <c r="AI124" s="125" t="s">
        <v>340</v>
      </c>
      <c r="AJ124" s="125" t="s">
        <v>340</v>
      </c>
      <c r="AK124" s="125" t="s">
        <v>340</v>
      </c>
      <c r="AL124" s="125" t="s">
        <v>340</v>
      </c>
      <c r="AM124" s="128">
        <v>9139387000</v>
      </c>
      <c r="AN124" s="128">
        <v>9385018000</v>
      </c>
      <c r="AO124" s="128">
        <v>7181411000</v>
      </c>
      <c r="AP124" s="128">
        <v>5643670000</v>
      </c>
      <c r="AQ124" s="125" t="s">
        <v>340</v>
      </c>
      <c r="AR124" s="125" t="s">
        <v>340</v>
      </c>
      <c r="AS124" s="125" t="s">
        <v>340</v>
      </c>
      <c r="AT124" s="125" t="s">
        <v>340</v>
      </c>
      <c r="AU124" s="128">
        <v>-2352364000</v>
      </c>
      <c r="AV124" s="128">
        <v>-2060885000</v>
      </c>
      <c r="AW124" s="128">
        <v>-1814434000</v>
      </c>
      <c r="AX124" s="128">
        <v>-1518767000</v>
      </c>
      <c r="AY124" s="128">
        <v>-326762000</v>
      </c>
      <c r="AZ124" s="128">
        <v>-308724000</v>
      </c>
      <c r="BA124" s="128">
        <v>-204328000</v>
      </c>
      <c r="BB124" s="128">
        <v>-420704000</v>
      </c>
      <c r="BC124" s="128">
        <v>-4833536000</v>
      </c>
      <c r="BD124" s="128">
        <v>-4483061000</v>
      </c>
      <c r="BE124" s="128">
        <v>-3898612000</v>
      </c>
      <c r="BF124" s="128">
        <v>-3815278000</v>
      </c>
      <c r="BG124" s="128">
        <v>1626725000</v>
      </c>
      <c r="BH124" s="128">
        <v>2532348000</v>
      </c>
      <c r="BI124" s="128">
        <v>1264037000</v>
      </c>
      <c r="BJ124" s="128">
        <v>-111079000</v>
      </c>
      <c r="BK124" s="128">
        <v>-139141000</v>
      </c>
      <c r="BL124" s="128">
        <v>-133806000</v>
      </c>
      <c r="BM124" s="128">
        <v>-138934000</v>
      </c>
      <c r="BN124" s="128">
        <v>-142761000</v>
      </c>
      <c r="BO124" s="128">
        <v>-124411000</v>
      </c>
      <c r="BP124" s="128">
        <v>-109050000</v>
      </c>
      <c r="BQ124" s="128">
        <v>-113251000</v>
      </c>
      <c r="BR124" s="128">
        <v>-110725000</v>
      </c>
      <c r="BS124" s="128">
        <v>-14730000</v>
      </c>
      <c r="BT124" s="128">
        <v>-24756000</v>
      </c>
      <c r="BU124" s="128">
        <v>-25683000</v>
      </c>
      <c r="BV124" s="128">
        <v>-32036000</v>
      </c>
      <c r="BW124" s="128">
        <v>1339325000</v>
      </c>
      <c r="BX124" s="128">
        <v>2257733000</v>
      </c>
      <c r="BY124" s="128">
        <v>790102000</v>
      </c>
      <c r="BZ124" s="128">
        <v>-412342000</v>
      </c>
      <c r="CA124" s="128">
        <v>6215982000</v>
      </c>
      <c r="CB124" s="128">
        <v>5065272000</v>
      </c>
      <c r="CC124" s="128">
        <v>2648202000</v>
      </c>
      <c r="CD124" s="128">
        <v>2429407000</v>
      </c>
      <c r="CE124" s="128">
        <v>1845453000</v>
      </c>
      <c r="CF124" s="128">
        <v>1184880000</v>
      </c>
      <c r="CG124" s="128">
        <v>831323000</v>
      </c>
      <c r="CH124" s="128">
        <v>925301000</v>
      </c>
      <c r="CI124" s="128">
        <v>1054219000</v>
      </c>
      <c r="CJ124" s="128">
        <v>1028649000</v>
      </c>
      <c r="CK124" s="128">
        <v>823903000</v>
      </c>
      <c r="CL124" s="128">
        <v>789019000</v>
      </c>
      <c r="CM124" s="128">
        <v>1837324000</v>
      </c>
      <c r="CN124" s="128">
        <v>1500000000</v>
      </c>
      <c r="CO124" s="125" t="s">
        <v>340</v>
      </c>
      <c r="CP124" s="125" t="s">
        <v>340</v>
      </c>
      <c r="CQ124" s="128">
        <v>1398136000</v>
      </c>
      <c r="CR124" s="128">
        <v>1313488000</v>
      </c>
      <c r="CS124" s="128">
        <v>716918000</v>
      </c>
      <c r="CT124" s="128">
        <v>467734000</v>
      </c>
      <c r="CU124" s="125" t="s">
        <v>340</v>
      </c>
      <c r="CV124" s="125" t="s">
        <v>340</v>
      </c>
      <c r="CW124" s="125" t="s">
        <v>340</v>
      </c>
      <c r="CX124" s="125" t="s">
        <v>340</v>
      </c>
      <c r="CY124" s="128">
        <v>188991000</v>
      </c>
      <c r="CZ124" s="128">
        <v>181577000</v>
      </c>
      <c r="DA124" s="128">
        <v>176765000</v>
      </c>
      <c r="DB124" s="128">
        <v>175319000</v>
      </c>
      <c r="DC124" s="128">
        <v>7949480000</v>
      </c>
      <c r="DD124" s="128">
        <v>6667787000</v>
      </c>
      <c r="DE124" s="128">
        <v>4390289000</v>
      </c>
      <c r="DF124" s="128">
        <v>4410687000</v>
      </c>
      <c r="DG124" s="16">
        <f t="shared" si="46"/>
        <v>9139387000</v>
      </c>
      <c r="DH124" s="16">
        <f t="shared" si="47"/>
        <v>-2352364000</v>
      </c>
      <c r="DI124" s="16">
        <f t="shared" si="48"/>
        <v>-5160298000</v>
      </c>
      <c r="DJ124" s="16">
        <f t="shared" si="49"/>
        <v>-139141000</v>
      </c>
      <c r="DK124" s="16">
        <f t="shared" si="50"/>
        <v>1487584000</v>
      </c>
      <c r="DL124" s="57">
        <f t="shared" si="51"/>
        <v>0.16276627743195468</v>
      </c>
      <c r="DM124" s="57">
        <f t="shared" si="52"/>
        <v>0.19440960516103198</v>
      </c>
      <c r="DN124" s="58">
        <f t="shared" si="53"/>
        <v>-326762000</v>
      </c>
      <c r="DO124" s="16">
        <f t="shared" si="54"/>
        <v>1515166500</v>
      </c>
      <c r="DP124" s="16">
        <f t="shared" si="55"/>
        <v>185284000</v>
      </c>
      <c r="DQ124" s="61"/>
      <c r="DR124" s="62">
        <f t="shared" si="56"/>
        <v>9385018000</v>
      </c>
      <c r="DS124" s="62">
        <f t="shared" si="57"/>
        <v>-2060885000</v>
      </c>
      <c r="DT124" s="62">
        <f t="shared" si="58"/>
        <v>-4791785000</v>
      </c>
      <c r="DU124" s="62">
        <f t="shared" si="59"/>
        <v>-133806000</v>
      </c>
      <c r="DV124" s="62">
        <f t="shared" si="60"/>
        <v>2398542000</v>
      </c>
      <c r="DW124" s="63">
        <f t="shared" si="61"/>
        <v>0.25557137983113087</v>
      </c>
      <c r="DX124" s="63">
        <f t="shared" si="62"/>
        <v>0.34331213618997619</v>
      </c>
      <c r="DY124" s="64">
        <f t="shared" si="63"/>
        <v>-308724000</v>
      </c>
      <c r="DZ124" s="64">
        <f t="shared" si="64"/>
        <v>1008101500</v>
      </c>
      <c r="EA124" s="64">
        <f t="shared" si="65"/>
        <v>179171000</v>
      </c>
      <c r="EB124" s="61"/>
      <c r="EC124" s="64">
        <f t="shared" si="66"/>
        <v>7181411000</v>
      </c>
      <c r="ED124" s="64">
        <f t="shared" si="67"/>
        <v>-1814434000</v>
      </c>
      <c r="EE124" s="64">
        <f t="shared" si="68"/>
        <v>-4102940000</v>
      </c>
      <c r="EF124" s="64">
        <f t="shared" si="69"/>
        <v>-138934000</v>
      </c>
      <c r="EG124" s="64">
        <f t="shared" si="70"/>
        <v>1125103000</v>
      </c>
      <c r="EH124" s="63">
        <f t="shared" si="71"/>
        <v>0.15666879391807542</v>
      </c>
      <c r="EI124" s="57">
        <f t="shared" si="72"/>
        <v>0.18577374202236743</v>
      </c>
      <c r="EJ124" s="64">
        <f t="shared" si="73"/>
        <v>-204328000</v>
      </c>
      <c r="EK124" s="64">
        <f t="shared" si="74"/>
        <v>878312000</v>
      </c>
      <c r="EL124" s="64">
        <f t="shared" si="75"/>
        <v>176042000</v>
      </c>
      <c r="EM124" s="61"/>
      <c r="EN124" s="66">
        <f t="shared" si="76"/>
        <v>8568605333.333333</v>
      </c>
      <c r="EO124" s="66">
        <f t="shared" si="76"/>
        <v>-2075894333.3333333</v>
      </c>
      <c r="EP124" s="66">
        <f t="shared" si="76"/>
        <v>-4685007666.666667</v>
      </c>
      <c r="EQ124" s="66">
        <f t="shared" si="43"/>
        <v>-137293666.66666666</v>
      </c>
      <c r="ER124" s="66">
        <f t="shared" si="77"/>
        <v>1670409666.6666663</v>
      </c>
      <c r="ES124" s="63">
        <f t="shared" si="78"/>
        <v>0.19494533844014128</v>
      </c>
      <c r="ET124" s="67">
        <f t="shared" si="79"/>
        <v>0.24215167956722203</v>
      </c>
      <c r="EU124" s="66">
        <f t="shared" si="80"/>
        <v>279938000</v>
      </c>
      <c r="EV124" s="66">
        <f t="shared" si="81"/>
        <v>1133860000</v>
      </c>
      <c r="EW124" s="66">
        <f t="shared" si="81"/>
        <v>180165666.66666666</v>
      </c>
      <c r="EX124" s="70"/>
      <c r="EY124" s="71" t="str">
        <f t="shared" si="82"/>
        <v>完整</v>
      </c>
      <c r="EZ124" s="71" t="str">
        <f t="shared" si="83"/>
        <v>完整</v>
      </c>
      <c r="FA124" s="71" t="str">
        <f t="shared" si="84"/>
        <v>完整</v>
      </c>
      <c r="FB124" s="71" t="str">
        <f t="shared" si="85"/>
        <v>选择</v>
      </c>
      <c r="FC124" s="71" t="str">
        <f t="shared" si="86"/>
        <v>选择</v>
      </c>
      <c r="FD124" s="72"/>
      <c r="FE124" s="72"/>
      <c r="FF124" s="72"/>
      <c r="FG124" s="72"/>
      <c r="FH124" s="72"/>
      <c r="FI124" s="72"/>
      <c r="FJ124" s="72"/>
      <c r="FK124" s="72"/>
      <c r="FL124" s="72"/>
      <c r="FM124" s="72"/>
      <c r="FN124" s="72"/>
      <c r="FO124" s="72"/>
      <c r="FP124" s="72"/>
      <c r="FQ124" s="72"/>
      <c r="FR124" s="72"/>
      <c r="FS124" s="72"/>
      <c r="FT124" s="72"/>
      <c r="FU124" s="72"/>
      <c r="FV124" s="72"/>
      <c r="FW124" s="72"/>
      <c r="FX124" s="72"/>
      <c r="FY124" s="72"/>
      <c r="FZ124" s="72"/>
      <c r="GA124" s="72"/>
      <c r="GB124" s="72"/>
      <c r="GC124" s="72"/>
      <c r="GD124" s="72"/>
      <c r="GE124" s="72"/>
      <c r="GF124" s="72"/>
      <c r="GG124" s="72"/>
      <c r="GH124" s="72"/>
      <c r="GI124" s="72"/>
      <c r="GJ124" s="72"/>
      <c r="GK124" s="72"/>
      <c r="GL124" s="72"/>
      <c r="GM124" s="72"/>
      <c r="GN124" s="72"/>
      <c r="GO124" s="72"/>
      <c r="GP124" s="72"/>
      <c r="GQ124" s="72"/>
      <c r="GR124" s="72"/>
      <c r="GS124" s="72"/>
      <c r="GT124" s="72"/>
      <c r="GU124" s="72"/>
      <c r="GV124" s="72"/>
      <c r="GW124" s="72"/>
      <c r="GX124" s="72"/>
      <c r="GY124" s="72"/>
      <c r="GZ124" s="72"/>
      <c r="HA124" s="72"/>
      <c r="HB124" s="72"/>
      <c r="HC124" s="72"/>
      <c r="HD124" s="72"/>
      <c r="HE124" s="72"/>
      <c r="HF124" s="72"/>
      <c r="HG124" s="72"/>
      <c r="HH124" s="72"/>
      <c r="HI124" s="72"/>
    </row>
    <row r="125" spans="1:218" s="3" customFormat="1" ht="12.75" customHeight="1" x14ac:dyDescent="0.25">
      <c r="A125" s="28" t="s">
        <v>289</v>
      </c>
      <c r="B125" s="134" t="str">
        <f t="shared" si="44"/>
        <v>SR BIOTEK INC.</v>
      </c>
      <c r="C125" s="29" t="s">
        <v>328</v>
      </c>
      <c r="D125" s="136" t="s">
        <v>309</v>
      </c>
      <c r="E125" s="35"/>
      <c r="H125" s="31" t="str">
        <f t="shared" si="45"/>
        <v xml:space="preserve"> </v>
      </c>
      <c r="I125" s="29"/>
      <c r="J125" s="29" t="str">
        <f>VLOOKUP(Z:Z,'[1]AP 2022'!FD124:FF181,2,FALSE)</f>
        <v>exclude</v>
      </c>
      <c r="K125" s="47" t="str">
        <f>VLOOKUP(Z:Z,'[1]AP 2022'!FD124:FF181,3,0)</f>
        <v>Independence(A+, A, A-, U)</v>
      </c>
      <c r="L125" s="48"/>
      <c r="M125" s="125" t="s">
        <v>1267</v>
      </c>
      <c r="N125" s="125" t="s">
        <v>1268</v>
      </c>
      <c r="O125" s="125" t="s">
        <v>331</v>
      </c>
      <c r="P125" s="125" t="s">
        <v>1269</v>
      </c>
      <c r="Q125" s="124"/>
      <c r="R125" s="125" t="s">
        <v>363</v>
      </c>
      <c r="S125" s="125" t="s">
        <v>1270</v>
      </c>
      <c r="T125" s="125" t="s">
        <v>374</v>
      </c>
      <c r="U125" s="125" t="s">
        <v>321</v>
      </c>
      <c r="V125" s="125" t="s">
        <v>908</v>
      </c>
      <c r="W125" s="125" t="s">
        <v>1271</v>
      </c>
      <c r="X125" s="125" t="s">
        <v>1272</v>
      </c>
      <c r="Y125" s="124"/>
      <c r="Z125" s="125" t="s">
        <v>1273</v>
      </c>
      <c r="AA125" s="128">
        <v>7411638000</v>
      </c>
      <c r="AB125" s="128">
        <v>5681249000</v>
      </c>
      <c r="AC125" s="128">
        <v>1685382000</v>
      </c>
      <c r="AD125" s="128">
        <v>1219130000</v>
      </c>
      <c r="AE125" s="128">
        <v>7411638000</v>
      </c>
      <c r="AF125" s="128">
        <v>5681249000</v>
      </c>
      <c r="AG125" s="128">
        <v>1685382000</v>
      </c>
      <c r="AH125" s="128">
        <v>1219130000</v>
      </c>
      <c r="AI125" s="125" t="s">
        <v>340</v>
      </c>
      <c r="AJ125" s="125" t="s">
        <v>340</v>
      </c>
      <c r="AK125" s="125" t="s">
        <v>340</v>
      </c>
      <c r="AL125" s="125" t="s">
        <v>340</v>
      </c>
      <c r="AM125" s="128">
        <v>7411638000</v>
      </c>
      <c r="AN125" s="128">
        <v>5681249000</v>
      </c>
      <c r="AO125" s="128">
        <v>1685382000</v>
      </c>
      <c r="AP125" s="128">
        <v>1219130000</v>
      </c>
      <c r="AQ125" s="125" t="s">
        <v>340</v>
      </c>
      <c r="AR125" s="125" t="s">
        <v>340</v>
      </c>
      <c r="AS125" s="125" t="s">
        <v>340</v>
      </c>
      <c r="AT125" s="125" t="s">
        <v>340</v>
      </c>
      <c r="AU125" s="128">
        <v>-6271191000</v>
      </c>
      <c r="AV125" s="128">
        <v>-4711522000</v>
      </c>
      <c r="AW125" s="128">
        <v>-1679554000</v>
      </c>
      <c r="AX125" s="128">
        <v>-998115000</v>
      </c>
      <c r="AY125" s="128">
        <v>-453401000</v>
      </c>
      <c r="AZ125" s="128">
        <v>-353365000</v>
      </c>
      <c r="BA125" s="128">
        <v>-333121000</v>
      </c>
      <c r="BB125" s="128">
        <v>-279866000</v>
      </c>
      <c r="BC125" s="128">
        <v>-1438731000</v>
      </c>
      <c r="BD125" s="128">
        <v>-964766000</v>
      </c>
      <c r="BE125" s="128">
        <v>-832924000</v>
      </c>
      <c r="BF125" s="128">
        <v>-407739000</v>
      </c>
      <c r="BG125" s="128">
        <v>-751685000</v>
      </c>
      <c r="BH125" s="128">
        <v>-348404000</v>
      </c>
      <c r="BI125" s="128">
        <v>-1160217000</v>
      </c>
      <c r="BJ125" s="128">
        <v>-466590000</v>
      </c>
      <c r="BK125" s="128">
        <v>-51715000</v>
      </c>
      <c r="BL125" s="128">
        <v>-45667000</v>
      </c>
      <c r="BM125" s="128">
        <v>-44239000</v>
      </c>
      <c r="BN125" s="128">
        <v>-49000000</v>
      </c>
      <c r="BO125" s="128">
        <v>-47327000</v>
      </c>
      <c r="BP125" s="128">
        <v>-43681000</v>
      </c>
      <c r="BQ125" s="128">
        <v>-43115000</v>
      </c>
      <c r="BR125" s="128">
        <v>-47876000</v>
      </c>
      <c r="BS125" s="128">
        <v>-4388000</v>
      </c>
      <c r="BT125" s="128">
        <v>-1986000</v>
      </c>
      <c r="BU125" s="128">
        <v>-1124000</v>
      </c>
      <c r="BV125" s="128">
        <v>-1124000</v>
      </c>
      <c r="BW125" s="128">
        <v>-956920000</v>
      </c>
      <c r="BX125" s="128">
        <v>-545662000</v>
      </c>
      <c r="BY125" s="128">
        <v>-1335935000</v>
      </c>
      <c r="BZ125" s="128">
        <v>-694530000</v>
      </c>
      <c r="CA125" s="128">
        <v>2136966000</v>
      </c>
      <c r="CB125" s="128">
        <v>1079704000</v>
      </c>
      <c r="CC125" s="128">
        <v>341109000</v>
      </c>
      <c r="CD125" s="128">
        <v>470344000</v>
      </c>
      <c r="CE125" s="128">
        <v>827487000</v>
      </c>
      <c r="CF125" s="128">
        <v>751213000</v>
      </c>
      <c r="CG125" s="128">
        <v>246840000</v>
      </c>
      <c r="CH125" s="128">
        <v>363145000</v>
      </c>
      <c r="CI125" s="128">
        <v>417245000</v>
      </c>
      <c r="CJ125" s="128">
        <v>206973000</v>
      </c>
      <c r="CK125" s="128">
        <v>8763000</v>
      </c>
      <c r="CL125" s="128">
        <v>9401000</v>
      </c>
      <c r="CM125" s="125" t="s">
        <v>340</v>
      </c>
      <c r="CN125" s="125" t="s">
        <v>340</v>
      </c>
      <c r="CO125" s="125" t="s">
        <v>340</v>
      </c>
      <c r="CP125" s="125" t="s">
        <v>340</v>
      </c>
      <c r="CQ125" s="128">
        <v>817057000</v>
      </c>
      <c r="CR125" s="128">
        <v>22758000</v>
      </c>
      <c r="CS125" s="128">
        <v>5443000</v>
      </c>
      <c r="CT125" s="128">
        <v>47335000</v>
      </c>
      <c r="CU125" s="125" t="s">
        <v>340</v>
      </c>
      <c r="CV125" s="125" t="s">
        <v>340</v>
      </c>
      <c r="CW125" s="125" t="s">
        <v>340</v>
      </c>
      <c r="CX125" s="125" t="s">
        <v>340</v>
      </c>
      <c r="CY125" s="128">
        <v>35113000</v>
      </c>
      <c r="CZ125" s="128">
        <v>28285000</v>
      </c>
      <c r="DA125" s="128">
        <v>17344000</v>
      </c>
      <c r="DB125" s="128">
        <v>11835000</v>
      </c>
      <c r="DC125" s="128">
        <v>3582165000</v>
      </c>
      <c r="DD125" s="128">
        <v>2567626000</v>
      </c>
      <c r="DE125" s="128">
        <v>1825045000</v>
      </c>
      <c r="DF125" s="128">
        <v>1982995000</v>
      </c>
      <c r="DG125" s="16">
        <f t="shared" si="46"/>
        <v>7411638000</v>
      </c>
      <c r="DH125" s="16">
        <f t="shared" si="47"/>
        <v>-6271191000</v>
      </c>
      <c r="DI125" s="16">
        <f t="shared" si="48"/>
        <v>-1892132000</v>
      </c>
      <c r="DJ125" s="16">
        <f t="shared" si="49"/>
        <v>-51715000</v>
      </c>
      <c r="DK125" s="16">
        <f t="shared" si="50"/>
        <v>-803400000</v>
      </c>
      <c r="DL125" s="57">
        <f t="shared" si="51"/>
        <v>-0.10839709116932046</v>
      </c>
      <c r="DM125" s="57">
        <f t="shared" si="52"/>
        <v>-9.7796260954605446E-2</v>
      </c>
      <c r="DN125" s="58">
        <f t="shared" si="53"/>
        <v>-453401000</v>
      </c>
      <c r="DO125" s="16">
        <f t="shared" si="54"/>
        <v>789350000</v>
      </c>
      <c r="DP125" s="16">
        <f t="shared" si="55"/>
        <v>31699000</v>
      </c>
      <c r="DQ125" s="61"/>
      <c r="DR125" s="62">
        <f t="shared" si="56"/>
        <v>5681249000</v>
      </c>
      <c r="DS125" s="62">
        <f t="shared" si="57"/>
        <v>-4711522000</v>
      </c>
      <c r="DT125" s="62">
        <f t="shared" si="58"/>
        <v>-1318131000</v>
      </c>
      <c r="DU125" s="62">
        <f t="shared" si="59"/>
        <v>-45667000</v>
      </c>
      <c r="DV125" s="62">
        <f t="shared" si="60"/>
        <v>-394071000</v>
      </c>
      <c r="DW125" s="63">
        <f t="shared" si="61"/>
        <v>-6.936344455242148E-2</v>
      </c>
      <c r="DX125" s="63">
        <f t="shared" si="62"/>
        <v>-6.4864237603945135E-2</v>
      </c>
      <c r="DY125" s="64">
        <f t="shared" si="63"/>
        <v>-353365000</v>
      </c>
      <c r="DZ125" s="64">
        <f t="shared" si="64"/>
        <v>499026500</v>
      </c>
      <c r="EA125" s="64">
        <f t="shared" si="65"/>
        <v>22814500</v>
      </c>
      <c r="EB125" s="61"/>
      <c r="EC125" s="64">
        <f t="shared" si="66"/>
        <v>1685382000</v>
      </c>
      <c r="ED125" s="64">
        <f t="shared" si="67"/>
        <v>-1679554000</v>
      </c>
      <c r="EE125" s="64">
        <f t="shared" si="68"/>
        <v>-1166045000</v>
      </c>
      <c r="EF125" s="64">
        <f t="shared" si="69"/>
        <v>-44239000</v>
      </c>
      <c r="EG125" s="64">
        <f t="shared" si="70"/>
        <v>-1204456000</v>
      </c>
      <c r="EH125" s="63">
        <f t="shared" si="71"/>
        <v>-0.71464866718643016</v>
      </c>
      <c r="EI125" s="57">
        <f t="shared" si="72"/>
        <v>-0.41679014532994585</v>
      </c>
      <c r="EJ125" s="64">
        <f t="shared" si="73"/>
        <v>-333121000</v>
      </c>
      <c r="EK125" s="64">
        <f t="shared" si="74"/>
        <v>304992500</v>
      </c>
      <c r="EL125" s="64">
        <f t="shared" si="75"/>
        <v>14589500</v>
      </c>
      <c r="EM125" s="61"/>
      <c r="EN125" s="66">
        <f t="shared" si="76"/>
        <v>4926089666.666667</v>
      </c>
      <c r="EO125" s="66">
        <f t="shared" si="76"/>
        <v>-4220755666.6666665</v>
      </c>
      <c r="EP125" s="66">
        <f t="shared" si="76"/>
        <v>-1458769333.3333333</v>
      </c>
      <c r="EQ125" s="66">
        <f t="shared" si="43"/>
        <v>-47207000</v>
      </c>
      <c r="ER125" s="66">
        <f t="shared" si="77"/>
        <v>-800642333.33333278</v>
      </c>
      <c r="ES125" s="63">
        <f t="shared" si="78"/>
        <v>-0.16253101090526895</v>
      </c>
      <c r="ET125" s="67">
        <f t="shared" si="79"/>
        <v>-0.13980789276210809</v>
      </c>
      <c r="EU125" s="66">
        <f t="shared" si="80"/>
        <v>379962333.33333331</v>
      </c>
      <c r="EV125" s="66">
        <f t="shared" si="81"/>
        <v>531123000</v>
      </c>
      <c r="EW125" s="66">
        <f t="shared" si="81"/>
        <v>23034333.333333332</v>
      </c>
      <c r="EX125" s="70"/>
      <c r="EY125" s="151" t="str">
        <f t="shared" si="82"/>
        <v>完整</v>
      </c>
      <c r="EZ125" s="151" t="str">
        <f t="shared" si="83"/>
        <v>完整</v>
      </c>
      <c r="FA125" s="151" t="str">
        <f t="shared" si="84"/>
        <v>完整</v>
      </c>
      <c r="FB125" s="151" t="str">
        <f t="shared" si="85"/>
        <v>选择</v>
      </c>
      <c r="FC125" s="151" t="str">
        <f t="shared" si="86"/>
        <v>删除</v>
      </c>
    </row>
    <row r="126" spans="1:218" s="3" customFormat="1" ht="12.75" customHeight="1" x14ac:dyDescent="0.25">
      <c r="A126" s="28" t="s">
        <v>290</v>
      </c>
      <c r="B126" s="134" t="str">
        <f t="shared" si="44"/>
        <v>B&amp;D LIFE HEALTH CO LTD</v>
      </c>
      <c r="C126" s="29" t="s">
        <v>328</v>
      </c>
      <c r="D126" s="136" t="s">
        <v>309</v>
      </c>
      <c r="E126" s="35"/>
      <c r="F126" s="34"/>
      <c r="H126" s="31" t="str">
        <f t="shared" si="45"/>
        <v xml:space="preserve"> </v>
      </c>
      <c r="I126" s="29"/>
      <c r="J126" s="29" t="str">
        <f>VLOOKUP(Z:Z,'[1]AP 2022'!FD125:FF181,2,FALSE)</f>
        <v>exclude</v>
      </c>
      <c r="K126" s="47" t="str">
        <f>VLOOKUP(Z:Z,'[1]AP 2022'!FD125:FF181,3,0)</f>
        <v>Independence(A+, A, A-, U)</v>
      </c>
      <c r="L126" s="48"/>
      <c r="M126" s="125" t="s">
        <v>1274</v>
      </c>
      <c r="N126" s="125" t="s">
        <v>1275</v>
      </c>
      <c r="O126" s="125" t="s">
        <v>331</v>
      </c>
      <c r="P126" s="125" t="s">
        <v>1276</v>
      </c>
      <c r="Q126" s="124"/>
      <c r="R126" s="125" t="s">
        <v>363</v>
      </c>
      <c r="S126" s="125" t="s">
        <v>1277</v>
      </c>
      <c r="T126" s="125" t="s">
        <v>365</v>
      </c>
      <c r="U126" s="125" t="s">
        <v>315</v>
      </c>
      <c r="V126" s="125" t="s">
        <v>1278</v>
      </c>
      <c r="W126" s="125" t="s">
        <v>1279</v>
      </c>
      <c r="X126" s="124"/>
      <c r="Y126" s="124"/>
      <c r="Z126" s="125" t="s">
        <v>1280</v>
      </c>
      <c r="AA126" s="125" t="s">
        <v>340</v>
      </c>
      <c r="AB126" s="128">
        <v>6822514000</v>
      </c>
      <c r="AC126" s="128">
        <v>16494155000</v>
      </c>
      <c r="AD126" s="128">
        <v>13681133000</v>
      </c>
      <c r="AE126" s="125" t="s">
        <v>340</v>
      </c>
      <c r="AF126" s="128">
        <v>6822342000</v>
      </c>
      <c r="AG126" s="128">
        <v>16474091000</v>
      </c>
      <c r="AH126" s="128">
        <v>11720999000</v>
      </c>
      <c r="AI126" s="125" t="s">
        <v>340</v>
      </c>
      <c r="AJ126" s="125" t="s">
        <v>340</v>
      </c>
      <c r="AK126" s="125" t="s">
        <v>340</v>
      </c>
      <c r="AL126" s="125" t="s">
        <v>340</v>
      </c>
      <c r="AM126" s="125" t="s">
        <v>340</v>
      </c>
      <c r="AN126" s="128">
        <v>6822342000</v>
      </c>
      <c r="AO126" s="128">
        <v>16474091000</v>
      </c>
      <c r="AP126" s="128">
        <v>11720999000</v>
      </c>
      <c r="AQ126" s="125" t="s">
        <v>340</v>
      </c>
      <c r="AR126" s="128">
        <v>172000</v>
      </c>
      <c r="AS126" s="128">
        <v>20064000</v>
      </c>
      <c r="AT126" s="128">
        <v>1960134000</v>
      </c>
      <c r="AU126" s="125" t="s">
        <v>340</v>
      </c>
      <c r="AV126" s="128">
        <v>-3802109000</v>
      </c>
      <c r="AW126" s="128">
        <v>-7427190000</v>
      </c>
      <c r="AX126" s="128">
        <v>-4649352000</v>
      </c>
      <c r="AY126" s="125" t="s">
        <v>340</v>
      </c>
      <c r="AZ126" s="128">
        <v>0</v>
      </c>
      <c r="BA126" s="128">
        <v>0</v>
      </c>
      <c r="BB126" s="128">
        <v>0</v>
      </c>
      <c r="BC126" s="125" t="s">
        <v>340</v>
      </c>
      <c r="BD126" s="128">
        <v>-6758404000</v>
      </c>
      <c r="BE126" s="128">
        <v>-7444473000</v>
      </c>
      <c r="BF126" s="128">
        <v>-7897989000</v>
      </c>
      <c r="BG126" s="125" t="s">
        <v>340</v>
      </c>
      <c r="BH126" s="128">
        <v>-3737999000</v>
      </c>
      <c r="BI126" s="128">
        <v>1622492000</v>
      </c>
      <c r="BJ126" s="128">
        <v>1133792000</v>
      </c>
      <c r="BK126" s="125" t="s">
        <v>340</v>
      </c>
      <c r="BL126" s="128">
        <v>-732200000</v>
      </c>
      <c r="BM126" s="128">
        <v>-692244000</v>
      </c>
      <c r="BN126" s="128">
        <v>-631304000</v>
      </c>
      <c r="BO126" s="125" t="s">
        <v>340</v>
      </c>
      <c r="BP126" s="128">
        <v>-732200000</v>
      </c>
      <c r="BQ126" s="128">
        <v>-692244000</v>
      </c>
      <c r="BR126" s="128">
        <v>-631304000</v>
      </c>
      <c r="BS126" s="125" t="s">
        <v>340</v>
      </c>
      <c r="BT126" s="128">
        <v>0</v>
      </c>
      <c r="BU126" s="128">
        <v>0</v>
      </c>
      <c r="BV126" s="128">
        <v>0</v>
      </c>
      <c r="BW126" s="125" t="s">
        <v>340</v>
      </c>
      <c r="BX126" s="128">
        <v>-6388621000</v>
      </c>
      <c r="BY126" s="128">
        <v>200412000</v>
      </c>
      <c r="BZ126" s="128">
        <v>-489581000</v>
      </c>
      <c r="CA126" s="125" t="s">
        <v>340</v>
      </c>
      <c r="CB126" s="128">
        <v>2599812000</v>
      </c>
      <c r="CC126" s="128">
        <v>6344338000</v>
      </c>
      <c r="CD126" s="128">
        <v>5175126000</v>
      </c>
      <c r="CE126" s="125" t="s">
        <v>340</v>
      </c>
      <c r="CF126" s="128">
        <v>1516401000</v>
      </c>
      <c r="CG126" s="128">
        <v>1888821000</v>
      </c>
      <c r="CH126" s="128">
        <v>1500556000</v>
      </c>
      <c r="CI126" s="125" t="s">
        <v>340</v>
      </c>
      <c r="CJ126" s="128">
        <v>551690000</v>
      </c>
      <c r="CK126" s="128">
        <v>2693748000</v>
      </c>
      <c r="CL126" s="128">
        <v>817349000</v>
      </c>
      <c r="CM126" s="125" t="s">
        <v>340</v>
      </c>
      <c r="CN126" s="128">
        <v>50000000</v>
      </c>
      <c r="CO126" s="128">
        <v>1086302000</v>
      </c>
      <c r="CP126" s="128">
        <v>237790000</v>
      </c>
      <c r="CQ126" s="125" t="s">
        <v>340</v>
      </c>
      <c r="CR126" s="128">
        <v>82724000</v>
      </c>
      <c r="CS126" s="128">
        <v>675344000</v>
      </c>
      <c r="CT126" s="128">
        <v>1732177000</v>
      </c>
      <c r="CU126" s="125" t="s">
        <v>340</v>
      </c>
      <c r="CV126" s="125" t="s">
        <v>340</v>
      </c>
      <c r="CW126" s="125" t="s">
        <v>340</v>
      </c>
      <c r="CX126" s="125" t="s">
        <v>340</v>
      </c>
      <c r="CY126" s="125" t="s">
        <v>340</v>
      </c>
      <c r="CZ126" s="128">
        <v>119059000</v>
      </c>
      <c r="DA126" s="128">
        <v>604650000</v>
      </c>
      <c r="DB126" s="128">
        <v>63473000</v>
      </c>
      <c r="DC126" s="125" t="s">
        <v>340</v>
      </c>
      <c r="DD126" s="128">
        <v>14241562000</v>
      </c>
      <c r="DE126" s="128">
        <v>25254750000</v>
      </c>
      <c r="DF126" s="128">
        <v>23313135000</v>
      </c>
      <c r="DG126" s="16" t="str">
        <f t="shared" si="46"/>
        <v>无数据</v>
      </c>
      <c r="DH126" s="16" t="str">
        <f t="shared" si="47"/>
        <v>n.a.</v>
      </c>
      <c r="DI126" s="16" t="str">
        <f t="shared" si="48"/>
        <v>n.a.</v>
      </c>
      <c r="DJ126" s="16" t="str">
        <f t="shared" si="49"/>
        <v>n.a.</v>
      </c>
      <c r="DK126" s="16" t="str">
        <f t="shared" si="50"/>
        <v>无数据</v>
      </c>
      <c r="DL126" s="57" t="e">
        <f t="shared" si="51"/>
        <v>#VALUE!</v>
      </c>
      <c r="DM126" s="57" t="e">
        <f t="shared" si="52"/>
        <v>#VALUE!</v>
      </c>
      <c r="DN126" s="58" t="str">
        <f t="shared" si="53"/>
        <v>n.a.</v>
      </c>
      <c r="DO126" s="16" t="e">
        <f t="shared" si="54"/>
        <v>#VALUE!</v>
      </c>
      <c r="DP126" s="16" t="e">
        <f t="shared" si="55"/>
        <v>#VALUE!</v>
      </c>
      <c r="DQ126" s="61"/>
      <c r="DR126" s="62">
        <f t="shared" si="56"/>
        <v>6822342000</v>
      </c>
      <c r="DS126" s="62">
        <f t="shared" si="57"/>
        <v>-3802109000</v>
      </c>
      <c r="DT126" s="62">
        <f t="shared" si="58"/>
        <v>-6758404000</v>
      </c>
      <c r="DU126" s="62">
        <f t="shared" si="59"/>
        <v>-732200000</v>
      </c>
      <c r="DV126" s="62">
        <f t="shared" si="60"/>
        <v>-4470371000</v>
      </c>
      <c r="DW126" s="63">
        <f t="shared" si="61"/>
        <v>-0.65525460318465423</v>
      </c>
      <c r="DX126" s="63">
        <f t="shared" si="62"/>
        <v>-0.39586333239851224</v>
      </c>
      <c r="DY126" s="64">
        <f t="shared" si="63"/>
        <v>0</v>
      </c>
      <c r="DZ126" s="64">
        <f t="shared" si="64"/>
        <v>1702611000</v>
      </c>
      <c r="EA126" s="64">
        <f t="shared" si="65"/>
        <v>361854500</v>
      </c>
      <c r="EB126" s="61"/>
      <c r="EC126" s="64">
        <f t="shared" si="66"/>
        <v>16474091000</v>
      </c>
      <c r="ED126" s="64">
        <f t="shared" si="67"/>
        <v>-7427190000</v>
      </c>
      <c r="EE126" s="64">
        <f t="shared" si="68"/>
        <v>-7444473000</v>
      </c>
      <c r="EF126" s="64">
        <f t="shared" si="69"/>
        <v>-692244000</v>
      </c>
      <c r="EG126" s="64">
        <f t="shared" si="70"/>
        <v>910184000</v>
      </c>
      <c r="EH126" s="63">
        <f t="shared" si="71"/>
        <v>5.5249421652460218E-2</v>
      </c>
      <c r="EI126" s="57">
        <f t="shared" si="72"/>
        <v>5.8480431680811254E-2</v>
      </c>
      <c r="EJ126" s="64">
        <f t="shared" si="73"/>
        <v>0</v>
      </c>
      <c r="EK126" s="64">
        <f t="shared" si="74"/>
        <v>1694688500</v>
      </c>
      <c r="EL126" s="64">
        <f t="shared" si="75"/>
        <v>334061500</v>
      </c>
      <c r="EM126" s="61"/>
      <c r="EN126" s="66" t="e">
        <f t="shared" si="76"/>
        <v>#VALUE!</v>
      </c>
      <c r="EO126" s="66" t="e">
        <f t="shared" si="76"/>
        <v>#VALUE!</v>
      </c>
      <c r="EP126" s="66" t="e">
        <f t="shared" si="76"/>
        <v>#VALUE!</v>
      </c>
      <c r="EQ126" s="66" t="e">
        <f t="shared" si="43"/>
        <v>#VALUE!</v>
      </c>
      <c r="ER126" s="66" t="e">
        <f t="shared" si="77"/>
        <v>#VALUE!</v>
      </c>
      <c r="ES126" s="63" t="e">
        <f t="shared" si="78"/>
        <v>#VALUE!</v>
      </c>
      <c r="ET126" s="67" t="e">
        <f t="shared" si="79"/>
        <v>#VALUE!</v>
      </c>
      <c r="EU126" s="66" t="e">
        <f t="shared" si="80"/>
        <v>#VALUE!</v>
      </c>
      <c r="EV126" s="66" t="e">
        <f t="shared" si="81"/>
        <v>#VALUE!</v>
      </c>
      <c r="EW126" s="66" t="e">
        <f t="shared" si="81"/>
        <v>#VALUE!</v>
      </c>
      <c r="EX126" s="70"/>
      <c r="EY126" s="71" t="str">
        <f t="shared" si="82"/>
        <v>完整</v>
      </c>
      <c r="EZ126" s="71" t="str">
        <f t="shared" si="83"/>
        <v>完整</v>
      </c>
      <c r="FA126" s="71" t="str">
        <f t="shared" si="84"/>
        <v>无数据</v>
      </c>
      <c r="FB126" s="71" t="str">
        <f t="shared" si="85"/>
        <v>删除</v>
      </c>
      <c r="FC126" s="71" t="str">
        <f t="shared" si="86"/>
        <v>选择</v>
      </c>
    </row>
    <row r="127" spans="1:218" s="3" customFormat="1" ht="12.75" customHeight="1" x14ac:dyDescent="0.25">
      <c r="A127" s="28" t="s">
        <v>291</v>
      </c>
      <c r="B127" s="134" t="str">
        <f t="shared" si="44"/>
        <v>BANKA BIOLOO LIMITED</v>
      </c>
      <c r="C127" s="29" t="s">
        <v>328</v>
      </c>
      <c r="D127" s="136" t="s">
        <v>309</v>
      </c>
      <c r="E127" s="35"/>
      <c r="F127" s="34"/>
      <c r="H127" s="31" t="str">
        <f t="shared" si="45"/>
        <v xml:space="preserve"> </v>
      </c>
      <c r="I127" s="29"/>
      <c r="J127" s="29" t="str">
        <f>VLOOKUP(Z:Z,'[1]AP 2022'!FD126:FF181,2,FALSE)</f>
        <v>exclude</v>
      </c>
      <c r="K127" s="47" t="str">
        <f>VLOOKUP(Z:Z,'[1]AP 2022'!FD126:FF181,3,0)</f>
        <v>Independence(A+, A, A-, U)</v>
      </c>
      <c r="L127" s="48"/>
      <c r="M127" s="125" t="s">
        <v>1281</v>
      </c>
      <c r="N127" s="125" t="s">
        <v>1282</v>
      </c>
      <c r="O127" s="125" t="s">
        <v>413</v>
      </c>
      <c r="P127" s="125" t="s">
        <v>1283</v>
      </c>
      <c r="Q127" s="124"/>
      <c r="R127" s="125" t="s">
        <v>353</v>
      </c>
      <c r="S127" s="125" t="s">
        <v>1284</v>
      </c>
      <c r="T127" s="125" t="s">
        <v>365</v>
      </c>
      <c r="U127" s="125" t="s">
        <v>321</v>
      </c>
      <c r="V127" s="125" t="s">
        <v>1285</v>
      </c>
      <c r="W127" s="125" t="s">
        <v>1286</v>
      </c>
      <c r="X127" s="124"/>
      <c r="Y127" s="124"/>
      <c r="Z127" s="125" t="s">
        <v>1287</v>
      </c>
      <c r="AA127" s="128">
        <v>424953000</v>
      </c>
      <c r="AB127" s="128">
        <v>388133000</v>
      </c>
      <c r="AC127" s="128">
        <v>305296000</v>
      </c>
      <c r="AD127" s="128">
        <v>478881000</v>
      </c>
      <c r="AE127" s="128">
        <v>487446000</v>
      </c>
      <c r="AF127" s="128">
        <v>447300000</v>
      </c>
      <c r="AG127" s="128">
        <v>356653000</v>
      </c>
      <c r="AH127" s="128">
        <v>550422000</v>
      </c>
      <c r="AI127" s="128">
        <v>-63948000</v>
      </c>
      <c r="AJ127" s="128">
        <v>-59792000</v>
      </c>
      <c r="AK127" s="128">
        <v>-52076000</v>
      </c>
      <c r="AL127" s="128">
        <v>-71772000</v>
      </c>
      <c r="AM127" s="128">
        <v>423498000</v>
      </c>
      <c r="AN127" s="128">
        <v>387508000</v>
      </c>
      <c r="AO127" s="128">
        <v>304577000</v>
      </c>
      <c r="AP127" s="128">
        <v>478650000</v>
      </c>
      <c r="AQ127" s="128">
        <v>1455000</v>
      </c>
      <c r="AR127" s="128">
        <v>625000</v>
      </c>
      <c r="AS127" s="128">
        <v>719000</v>
      </c>
      <c r="AT127" s="128">
        <v>231000</v>
      </c>
      <c r="AU127" s="128">
        <v>-55386000</v>
      </c>
      <c r="AV127" s="128">
        <v>-67213000</v>
      </c>
      <c r="AW127" s="128">
        <v>-38109000</v>
      </c>
      <c r="AX127" s="128">
        <v>-87906000</v>
      </c>
      <c r="AY127" s="128">
        <v>0</v>
      </c>
      <c r="AZ127" s="128">
        <v>0</v>
      </c>
      <c r="BA127" s="128">
        <v>0</v>
      </c>
      <c r="BB127" s="128">
        <v>0</v>
      </c>
      <c r="BC127" s="128">
        <v>-306184000</v>
      </c>
      <c r="BD127" s="128">
        <v>-264670000</v>
      </c>
      <c r="BE127" s="128">
        <v>-231964000</v>
      </c>
      <c r="BF127" s="128">
        <v>-304438000</v>
      </c>
      <c r="BG127" s="128">
        <v>63383000</v>
      </c>
      <c r="BH127" s="128">
        <v>56250000</v>
      </c>
      <c r="BI127" s="128">
        <v>35223000</v>
      </c>
      <c r="BJ127" s="128">
        <v>86537000</v>
      </c>
      <c r="BK127" s="128">
        <v>-14825000</v>
      </c>
      <c r="BL127" s="128">
        <v>-9415000</v>
      </c>
      <c r="BM127" s="128">
        <v>-5973000</v>
      </c>
      <c r="BN127" s="128">
        <v>-4665000</v>
      </c>
      <c r="BO127" s="128">
        <v>-14643000</v>
      </c>
      <c r="BP127" s="128">
        <v>-9187000</v>
      </c>
      <c r="BQ127" s="128">
        <v>-5744000</v>
      </c>
      <c r="BR127" s="128">
        <v>-4562000</v>
      </c>
      <c r="BS127" s="128">
        <v>-182000</v>
      </c>
      <c r="BT127" s="128">
        <v>-228000</v>
      </c>
      <c r="BU127" s="128">
        <v>-229000</v>
      </c>
      <c r="BV127" s="128">
        <v>-103000</v>
      </c>
      <c r="BW127" s="128">
        <v>25389000</v>
      </c>
      <c r="BX127" s="128">
        <v>31076000</v>
      </c>
      <c r="BY127" s="128">
        <v>22048000</v>
      </c>
      <c r="BZ127" s="128">
        <v>60456000</v>
      </c>
      <c r="CA127" s="128">
        <v>414829000</v>
      </c>
      <c r="CB127" s="128">
        <v>475591000</v>
      </c>
      <c r="CC127" s="128">
        <v>360067000</v>
      </c>
      <c r="CD127" s="128">
        <v>345449000</v>
      </c>
      <c r="CE127" s="128">
        <v>87211000</v>
      </c>
      <c r="CF127" s="128">
        <v>83893000</v>
      </c>
      <c r="CG127" s="128">
        <v>80302000</v>
      </c>
      <c r="CH127" s="128">
        <v>37619000</v>
      </c>
      <c r="CI127" s="128">
        <v>116998000</v>
      </c>
      <c r="CJ127" s="128">
        <v>203593000</v>
      </c>
      <c r="CK127" s="128">
        <v>116781000</v>
      </c>
      <c r="CL127" s="128">
        <v>149677000</v>
      </c>
      <c r="CM127" s="128">
        <v>157421000</v>
      </c>
      <c r="CN127" s="128">
        <v>117686000</v>
      </c>
      <c r="CO127" s="128">
        <v>29078000</v>
      </c>
      <c r="CP127" s="128">
        <v>105315000</v>
      </c>
      <c r="CQ127" s="128">
        <v>35769000</v>
      </c>
      <c r="CR127" s="128">
        <v>42803000</v>
      </c>
      <c r="CS127" s="128">
        <v>64814000</v>
      </c>
      <c r="CT127" s="128">
        <v>43317000</v>
      </c>
      <c r="CU127" s="128">
        <v>9912000</v>
      </c>
      <c r="CV127" s="125" t="s">
        <v>340</v>
      </c>
      <c r="CW127" s="125" t="s">
        <v>340</v>
      </c>
      <c r="CX127" s="125" t="s">
        <v>340</v>
      </c>
      <c r="CY127" s="128">
        <v>87732000</v>
      </c>
      <c r="CZ127" s="128">
        <v>36057000</v>
      </c>
      <c r="DA127" s="128">
        <v>7774000</v>
      </c>
      <c r="DB127" s="128">
        <v>7046000</v>
      </c>
      <c r="DC127" s="128">
        <v>652074000</v>
      </c>
      <c r="DD127" s="128">
        <v>640543000</v>
      </c>
      <c r="DE127" s="128">
        <v>463710000</v>
      </c>
      <c r="DF127" s="128">
        <v>467743000</v>
      </c>
      <c r="DG127" s="16">
        <f t="shared" si="46"/>
        <v>423498000</v>
      </c>
      <c r="DH127" s="16">
        <f t="shared" si="47"/>
        <v>-55386000</v>
      </c>
      <c r="DI127" s="16">
        <f t="shared" si="48"/>
        <v>-306184000</v>
      </c>
      <c r="DJ127" s="16">
        <f t="shared" si="49"/>
        <v>-14825000</v>
      </c>
      <c r="DK127" s="16">
        <f t="shared" si="50"/>
        <v>47103000</v>
      </c>
      <c r="DL127" s="57">
        <f t="shared" si="51"/>
        <v>0.11122366575521017</v>
      </c>
      <c r="DM127" s="57">
        <f t="shared" si="52"/>
        <v>0.12514247001155701</v>
      </c>
      <c r="DN127" s="58">
        <f t="shared" si="53"/>
        <v>0</v>
      </c>
      <c r="DO127" s="16">
        <f t="shared" si="54"/>
        <v>85552000</v>
      </c>
      <c r="DP127" s="16">
        <f t="shared" si="55"/>
        <v>61894500</v>
      </c>
      <c r="DQ127" s="61"/>
      <c r="DR127" s="62">
        <f t="shared" si="56"/>
        <v>387508000</v>
      </c>
      <c r="DS127" s="62">
        <f t="shared" si="57"/>
        <v>-67213000</v>
      </c>
      <c r="DT127" s="62">
        <f t="shared" si="58"/>
        <v>-264670000</v>
      </c>
      <c r="DU127" s="62">
        <f t="shared" si="59"/>
        <v>-9415000</v>
      </c>
      <c r="DV127" s="62">
        <f t="shared" si="60"/>
        <v>46210000</v>
      </c>
      <c r="DW127" s="63">
        <f t="shared" si="61"/>
        <v>0.11924915098526997</v>
      </c>
      <c r="DX127" s="63">
        <f t="shared" si="62"/>
        <v>0.13539487486009294</v>
      </c>
      <c r="DY127" s="64">
        <f t="shared" si="63"/>
        <v>0</v>
      </c>
      <c r="DZ127" s="64">
        <f t="shared" si="64"/>
        <v>82097500</v>
      </c>
      <c r="EA127" s="64">
        <f t="shared" si="65"/>
        <v>21915500</v>
      </c>
      <c r="EB127" s="61"/>
      <c r="EC127" s="64">
        <f t="shared" si="66"/>
        <v>304577000</v>
      </c>
      <c r="ED127" s="64">
        <f t="shared" si="67"/>
        <v>-38109000</v>
      </c>
      <c r="EE127" s="64">
        <f t="shared" si="68"/>
        <v>-231964000</v>
      </c>
      <c r="EF127" s="64">
        <f t="shared" si="69"/>
        <v>-5973000</v>
      </c>
      <c r="EG127" s="64">
        <f t="shared" si="70"/>
        <v>28531000</v>
      </c>
      <c r="EH127" s="63">
        <f t="shared" si="71"/>
        <v>9.367417762995893E-2</v>
      </c>
      <c r="EI127" s="57">
        <f t="shared" si="72"/>
        <v>0.10335596241206176</v>
      </c>
      <c r="EJ127" s="64">
        <f t="shared" si="73"/>
        <v>0</v>
      </c>
      <c r="EK127" s="64">
        <f t="shared" si="74"/>
        <v>58960500</v>
      </c>
      <c r="EL127" s="64">
        <f t="shared" si="75"/>
        <v>7410000</v>
      </c>
      <c r="EM127" s="61"/>
      <c r="EN127" s="66">
        <f t="shared" si="76"/>
        <v>371861000</v>
      </c>
      <c r="EO127" s="66">
        <f t="shared" si="76"/>
        <v>-53569333.333333336</v>
      </c>
      <c r="EP127" s="66">
        <f t="shared" si="76"/>
        <v>-267606000</v>
      </c>
      <c r="EQ127" s="66">
        <f t="shared" si="43"/>
        <v>-10071000</v>
      </c>
      <c r="ER127" s="66">
        <f t="shared" si="77"/>
        <v>40614666.666666687</v>
      </c>
      <c r="ES127" s="63">
        <f t="shared" si="78"/>
        <v>0.10922002217674531</v>
      </c>
      <c r="ET127" s="67">
        <f t="shared" si="79"/>
        <v>0.12261167167636579</v>
      </c>
      <c r="EU127" s="66">
        <f t="shared" si="80"/>
        <v>0</v>
      </c>
      <c r="EV127" s="66">
        <f t="shared" si="81"/>
        <v>75536666.666666672</v>
      </c>
      <c r="EW127" s="66">
        <f t="shared" si="81"/>
        <v>30406666.666666668</v>
      </c>
      <c r="EX127" s="70"/>
      <c r="EY127" s="71" t="str">
        <f t="shared" si="82"/>
        <v>完整</v>
      </c>
      <c r="EZ127" s="71" t="str">
        <f t="shared" si="83"/>
        <v>完整</v>
      </c>
      <c r="FA127" s="71" t="str">
        <f t="shared" si="84"/>
        <v>完整</v>
      </c>
      <c r="FB127" s="71" t="str">
        <f t="shared" si="85"/>
        <v>选择</v>
      </c>
      <c r="FC127" s="71" t="str">
        <f t="shared" si="86"/>
        <v>选择</v>
      </c>
      <c r="FD127" s="72"/>
      <c r="FE127" s="72"/>
      <c r="FF127" s="72"/>
      <c r="FG127" s="72"/>
      <c r="FH127" s="72"/>
      <c r="FI127" s="72"/>
      <c r="FJ127" s="72"/>
      <c r="FK127" s="72"/>
      <c r="FL127" s="72"/>
      <c r="FM127" s="72"/>
      <c r="FN127" s="72"/>
      <c r="FO127" s="72"/>
      <c r="FP127" s="72"/>
      <c r="FQ127" s="72"/>
      <c r="FR127" s="72"/>
      <c r="FS127" s="72"/>
      <c r="FT127" s="72"/>
      <c r="FU127" s="72"/>
      <c r="FV127" s="72"/>
      <c r="FW127" s="72"/>
      <c r="FX127" s="72"/>
      <c r="FY127" s="72"/>
      <c r="FZ127" s="72"/>
      <c r="GA127" s="72"/>
      <c r="GB127" s="72"/>
      <c r="GC127" s="72"/>
      <c r="GD127" s="72"/>
      <c r="GE127" s="72"/>
      <c r="GF127" s="72"/>
      <c r="GG127" s="72"/>
      <c r="GH127" s="72"/>
      <c r="GI127" s="72"/>
      <c r="GJ127" s="72"/>
      <c r="GK127" s="72"/>
      <c r="GL127" s="72"/>
      <c r="GM127" s="72"/>
      <c r="GN127" s="72"/>
      <c r="GO127" s="72"/>
      <c r="GP127" s="72"/>
      <c r="GQ127" s="72"/>
      <c r="GR127" s="72"/>
      <c r="GS127" s="72"/>
      <c r="GT127" s="72"/>
      <c r="GU127" s="72"/>
      <c r="GV127" s="72"/>
      <c r="GW127" s="72"/>
      <c r="GX127" s="72"/>
      <c r="GY127" s="72"/>
      <c r="GZ127" s="72"/>
      <c r="HA127" s="72"/>
      <c r="HB127" s="72"/>
      <c r="HC127" s="72"/>
      <c r="HD127" s="72"/>
      <c r="HE127" s="72"/>
      <c r="HF127" s="72"/>
      <c r="HG127" s="72"/>
      <c r="HH127" s="72"/>
      <c r="HI127" s="72"/>
    </row>
    <row r="128" spans="1:218" s="3" customFormat="1" ht="12.75" customHeight="1" x14ac:dyDescent="0.25">
      <c r="A128" s="28" t="s">
        <v>292</v>
      </c>
      <c r="B128" s="134" t="str">
        <f t="shared" si="44"/>
        <v>HANOI SOAP JOINT STOCK COMPANY</v>
      </c>
      <c r="C128" s="29" t="s">
        <v>328</v>
      </c>
      <c r="D128" s="136" t="s">
        <v>309</v>
      </c>
      <c r="E128" s="35"/>
      <c r="H128" s="31" t="str">
        <f t="shared" si="45"/>
        <v xml:space="preserve"> </v>
      </c>
      <c r="I128" s="29"/>
      <c r="J128" s="29" t="str">
        <f>VLOOKUP(Z:Z,'[1]AP 2022'!FD127:FF181,2,FALSE)</f>
        <v>exclude</v>
      </c>
      <c r="K128" s="47" t="str">
        <f>VLOOKUP(Z:Z,'[1]AP 2022'!FD127:FF181,3,0)</f>
        <v>Independence(A+, A, A-, U)</v>
      </c>
      <c r="L128" s="48"/>
      <c r="M128" s="125" t="s">
        <v>1288</v>
      </c>
      <c r="N128" s="125" t="s">
        <v>1289</v>
      </c>
      <c r="O128" s="125" t="s">
        <v>331</v>
      </c>
      <c r="P128" s="125" t="s">
        <v>1290</v>
      </c>
      <c r="Q128" s="124"/>
      <c r="R128" s="125" t="s">
        <v>787</v>
      </c>
      <c r="S128" s="125" t="s">
        <v>1291</v>
      </c>
      <c r="T128" s="125" t="s">
        <v>374</v>
      </c>
      <c r="U128" s="125" t="s">
        <v>315</v>
      </c>
      <c r="V128" s="125" t="s">
        <v>1292</v>
      </c>
      <c r="W128" s="125" t="s">
        <v>1293</v>
      </c>
      <c r="X128" s="124"/>
      <c r="Y128" s="124"/>
      <c r="Z128" s="125" t="s">
        <v>1294</v>
      </c>
      <c r="AA128" s="128">
        <v>47001855000</v>
      </c>
      <c r="AB128" s="128">
        <v>50360563000</v>
      </c>
      <c r="AC128" s="128">
        <v>48723430000</v>
      </c>
      <c r="AD128" s="128">
        <v>72924803000</v>
      </c>
      <c r="AE128" s="128">
        <v>47319668000</v>
      </c>
      <c r="AF128" s="128">
        <v>52825769000</v>
      </c>
      <c r="AG128" s="128">
        <v>48958427000</v>
      </c>
      <c r="AH128" s="128">
        <v>73485147000</v>
      </c>
      <c r="AI128" s="128">
        <v>-317813000</v>
      </c>
      <c r="AJ128" s="128">
        <v>-2465206000</v>
      </c>
      <c r="AK128" s="128">
        <v>-234997000</v>
      </c>
      <c r="AL128" s="128">
        <v>-560344000</v>
      </c>
      <c r="AM128" s="128">
        <v>47001855000</v>
      </c>
      <c r="AN128" s="128">
        <v>50360563000</v>
      </c>
      <c r="AO128" s="128">
        <v>48723430000</v>
      </c>
      <c r="AP128" s="128">
        <v>72924803000</v>
      </c>
      <c r="AQ128" s="125" t="s">
        <v>340</v>
      </c>
      <c r="AR128" s="125" t="s">
        <v>340</v>
      </c>
      <c r="AS128" s="125" t="s">
        <v>340</v>
      </c>
      <c r="AT128" s="125" t="s">
        <v>340</v>
      </c>
      <c r="AU128" s="128">
        <v>-34289010000</v>
      </c>
      <c r="AV128" s="128">
        <v>-40717115000</v>
      </c>
      <c r="AW128" s="128">
        <v>-33851583000</v>
      </c>
      <c r="AX128" s="128">
        <v>-67397475000</v>
      </c>
      <c r="AY128" s="128">
        <v>0</v>
      </c>
      <c r="AZ128" s="128">
        <v>0</v>
      </c>
      <c r="BA128" s="128">
        <v>0</v>
      </c>
      <c r="BB128" s="128">
        <v>0</v>
      </c>
      <c r="BC128" s="128">
        <v>-26275954000</v>
      </c>
      <c r="BD128" s="128">
        <v>-20000024000</v>
      </c>
      <c r="BE128" s="128">
        <v>-12610159000</v>
      </c>
      <c r="BF128" s="128">
        <v>-10075945000</v>
      </c>
      <c r="BG128" s="128">
        <v>-13563109000</v>
      </c>
      <c r="BH128" s="128">
        <v>-10356576000</v>
      </c>
      <c r="BI128" s="128">
        <v>2261688000</v>
      </c>
      <c r="BJ128" s="128">
        <v>-4548617000</v>
      </c>
      <c r="BK128" s="128">
        <v>-4124089000</v>
      </c>
      <c r="BL128" s="128">
        <v>-4936202000</v>
      </c>
      <c r="BM128" s="128">
        <v>-5240028000</v>
      </c>
      <c r="BN128" s="128">
        <v>-6146768000</v>
      </c>
      <c r="BO128" s="128">
        <v>-4124089000</v>
      </c>
      <c r="BP128" s="128">
        <v>-4802883000</v>
      </c>
      <c r="BQ128" s="128">
        <v>-4973391000</v>
      </c>
      <c r="BR128" s="128">
        <v>-5880131000</v>
      </c>
      <c r="BS128" s="128">
        <v>0</v>
      </c>
      <c r="BT128" s="128">
        <v>-133319000</v>
      </c>
      <c r="BU128" s="128">
        <v>-266637000</v>
      </c>
      <c r="BV128" s="128">
        <v>-266637000</v>
      </c>
      <c r="BW128" s="128">
        <v>-6885887000</v>
      </c>
      <c r="BX128" s="128">
        <v>-15261967000</v>
      </c>
      <c r="BY128" s="128">
        <v>41946000</v>
      </c>
      <c r="BZ128" s="128">
        <v>-5855955000</v>
      </c>
      <c r="CA128" s="128">
        <v>59561333000</v>
      </c>
      <c r="CB128" s="128">
        <v>62742223000</v>
      </c>
      <c r="CC128" s="128">
        <v>73744027000</v>
      </c>
      <c r="CD128" s="128">
        <v>72189816000</v>
      </c>
      <c r="CE128" s="128">
        <v>23771950000</v>
      </c>
      <c r="CF128" s="128">
        <v>29314622000</v>
      </c>
      <c r="CG128" s="128">
        <v>23834454000</v>
      </c>
      <c r="CH128" s="128">
        <v>7426315000</v>
      </c>
      <c r="CI128" s="128">
        <v>11071004000</v>
      </c>
      <c r="CJ128" s="128">
        <v>14167422000</v>
      </c>
      <c r="CK128" s="128">
        <v>13288341000</v>
      </c>
      <c r="CL128" s="128">
        <v>4192540000</v>
      </c>
      <c r="CM128" s="128">
        <v>3555983000</v>
      </c>
      <c r="CN128" s="128">
        <v>7245757000</v>
      </c>
      <c r="CO128" s="128">
        <v>2833426000</v>
      </c>
      <c r="CP128" s="128">
        <v>2507830000</v>
      </c>
      <c r="CQ128" s="128">
        <v>18408012000</v>
      </c>
      <c r="CR128" s="128">
        <v>6426798000</v>
      </c>
      <c r="CS128" s="128">
        <v>27245174000</v>
      </c>
      <c r="CT128" s="128">
        <v>54025630000</v>
      </c>
      <c r="CU128" s="128">
        <v>14000000000</v>
      </c>
      <c r="CV128" s="128">
        <v>4000000000</v>
      </c>
      <c r="CW128" s="128">
        <v>19500000000</v>
      </c>
      <c r="CX128" s="128">
        <v>48500000000</v>
      </c>
      <c r="CY128" s="128">
        <v>741973000</v>
      </c>
      <c r="CZ128" s="128">
        <v>1266514000</v>
      </c>
      <c r="DA128" s="128">
        <v>1123483000</v>
      </c>
      <c r="DB128" s="128">
        <v>834524000</v>
      </c>
      <c r="DC128" s="128">
        <v>173414114000</v>
      </c>
      <c r="DD128" s="128">
        <v>181103620000</v>
      </c>
      <c r="DE128" s="128">
        <v>198743422000</v>
      </c>
      <c r="DF128" s="128">
        <v>199634358000</v>
      </c>
      <c r="DG128" s="16">
        <f t="shared" si="46"/>
        <v>47001855000</v>
      </c>
      <c r="DH128" s="16">
        <f t="shared" si="47"/>
        <v>-34289010000</v>
      </c>
      <c r="DI128" s="16">
        <f t="shared" si="48"/>
        <v>-26275954000</v>
      </c>
      <c r="DJ128" s="16">
        <f t="shared" si="49"/>
        <v>-4124089000</v>
      </c>
      <c r="DK128" s="16">
        <f t="shared" si="50"/>
        <v>-17687198000</v>
      </c>
      <c r="DL128" s="57">
        <f t="shared" si="51"/>
        <v>-0.37630850952584743</v>
      </c>
      <c r="DM128" s="57">
        <f t="shared" si="52"/>
        <v>-0.27341871892915176</v>
      </c>
      <c r="DN128" s="58">
        <f t="shared" si="53"/>
        <v>0</v>
      </c>
      <c r="DO128" s="16">
        <f t="shared" si="54"/>
        <v>26543286000</v>
      </c>
      <c r="DP128" s="16">
        <f t="shared" si="55"/>
        <v>1004243500</v>
      </c>
      <c r="DQ128" s="61"/>
      <c r="DR128" s="62">
        <f t="shared" si="56"/>
        <v>50360563000</v>
      </c>
      <c r="DS128" s="62">
        <f t="shared" si="57"/>
        <v>-40717115000</v>
      </c>
      <c r="DT128" s="62">
        <f t="shared" si="58"/>
        <v>-20000024000</v>
      </c>
      <c r="DU128" s="62">
        <f t="shared" si="59"/>
        <v>-4936202000</v>
      </c>
      <c r="DV128" s="62">
        <f t="shared" si="60"/>
        <v>-15292778000</v>
      </c>
      <c r="DW128" s="63">
        <f t="shared" si="61"/>
        <v>-0.30366574734281665</v>
      </c>
      <c r="DX128" s="63">
        <f t="shared" si="62"/>
        <v>-0.23293221284808643</v>
      </c>
      <c r="DY128" s="64">
        <f t="shared" si="63"/>
        <v>0</v>
      </c>
      <c r="DZ128" s="64">
        <f t="shared" si="64"/>
        <v>26574538000</v>
      </c>
      <c r="EA128" s="64">
        <f t="shared" si="65"/>
        <v>1194998500</v>
      </c>
      <c r="EB128" s="61"/>
      <c r="EC128" s="64">
        <f t="shared" si="66"/>
        <v>48723430000</v>
      </c>
      <c r="ED128" s="64">
        <f t="shared" si="67"/>
        <v>-33851583000</v>
      </c>
      <c r="EE128" s="64">
        <f t="shared" si="68"/>
        <v>-12610159000</v>
      </c>
      <c r="EF128" s="64">
        <f t="shared" si="69"/>
        <v>-5240028000</v>
      </c>
      <c r="EG128" s="64">
        <f t="shared" si="70"/>
        <v>-2978340000</v>
      </c>
      <c r="EH128" s="63">
        <f t="shared" si="71"/>
        <v>-6.1127469884611985E-2</v>
      </c>
      <c r="EI128" s="57">
        <f t="shared" si="72"/>
        <v>-5.7606151588233824E-2</v>
      </c>
      <c r="EJ128" s="64">
        <f t="shared" si="73"/>
        <v>0</v>
      </c>
      <c r="EK128" s="64">
        <f t="shared" si="74"/>
        <v>15630384500</v>
      </c>
      <c r="EL128" s="64">
        <f t="shared" si="75"/>
        <v>979003500</v>
      </c>
      <c r="EM128" s="61"/>
      <c r="EN128" s="66">
        <f t="shared" si="76"/>
        <v>48695282666.666664</v>
      </c>
      <c r="EO128" s="66">
        <f t="shared" si="76"/>
        <v>-36285902666.666664</v>
      </c>
      <c r="EP128" s="66">
        <f t="shared" si="76"/>
        <v>-19628712333.333332</v>
      </c>
      <c r="EQ128" s="66">
        <f t="shared" si="43"/>
        <v>-4766773000</v>
      </c>
      <c r="ER128" s="66">
        <f t="shared" si="77"/>
        <v>-11986105333.333332</v>
      </c>
      <c r="ES128" s="63">
        <f t="shared" si="78"/>
        <v>-0.24614510229628814</v>
      </c>
      <c r="ET128" s="67">
        <f t="shared" si="79"/>
        <v>-0.19752523349224199</v>
      </c>
      <c r="EU128" s="66">
        <f t="shared" si="80"/>
        <v>0</v>
      </c>
      <c r="EV128" s="66">
        <f t="shared" si="81"/>
        <v>22916069500</v>
      </c>
      <c r="EW128" s="66">
        <f t="shared" si="81"/>
        <v>1059415166.6666666</v>
      </c>
      <c r="EX128" s="70"/>
      <c r="EY128" s="151" t="str">
        <f t="shared" si="82"/>
        <v>完整</v>
      </c>
      <c r="EZ128" s="151" t="str">
        <f t="shared" si="83"/>
        <v>完整</v>
      </c>
      <c r="FA128" s="151" t="str">
        <f t="shared" si="84"/>
        <v>完整</v>
      </c>
      <c r="FB128" s="151" t="str">
        <f t="shared" si="85"/>
        <v>选择</v>
      </c>
      <c r="FC128" s="151" t="str">
        <f t="shared" si="86"/>
        <v>删除</v>
      </c>
      <c r="FD128" s="72"/>
      <c r="FE128" s="72"/>
      <c r="FF128" s="72"/>
      <c r="FG128" s="72"/>
      <c r="FH128" s="72"/>
      <c r="FI128" s="72"/>
      <c r="FJ128" s="72"/>
      <c r="FK128" s="72"/>
      <c r="FL128" s="72"/>
      <c r="FM128" s="72"/>
      <c r="FN128" s="72"/>
      <c r="FO128" s="72"/>
      <c r="FP128" s="72"/>
      <c r="FQ128" s="72"/>
      <c r="FR128" s="72"/>
      <c r="FS128" s="72"/>
      <c r="FT128" s="72"/>
      <c r="FU128" s="72"/>
      <c r="FV128" s="72"/>
      <c r="FW128" s="72"/>
      <c r="FX128" s="72"/>
      <c r="FY128" s="72"/>
      <c r="FZ128" s="72"/>
      <c r="GA128" s="72"/>
      <c r="GB128" s="72"/>
      <c r="GC128" s="72"/>
      <c r="GD128" s="72"/>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c r="HE128" s="72"/>
      <c r="HF128" s="72"/>
      <c r="HG128" s="72"/>
      <c r="HH128" s="72"/>
      <c r="HI128" s="72"/>
    </row>
    <row r="129" spans="1:217" s="3" customFormat="1" ht="12.75" customHeight="1" x14ac:dyDescent="0.25">
      <c r="A129" s="28" t="s">
        <v>293</v>
      </c>
      <c r="B129" s="134" t="str">
        <f t="shared" si="44"/>
        <v>XIAMEN EASY BEAUTY CO.,LTD</v>
      </c>
      <c r="C129" s="29" t="s">
        <v>328</v>
      </c>
      <c r="D129" s="136" t="s">
        <v>309</v>
      </c>
      <c r="E129" s="33"/>
      <c r="H129" s="31" t="str">
        <f t="shared" si="45"/>
        <v xml:space="preserve"> </v>
      </c>
      <c r="I129" s="29"/>
      <c r="J129" s="29" t="str">
        <f>VLOOKUP(Z:Z,'[1]AP 2022'!FD128:FF181,2,FALSE)</f>
        <v>exclude</v>
      </c>
      <c r="K129" s="47" t="str">
        <f>VLOOKUP(Z:Z,'[1]AP 2022'!FD128:FF181,3,0)</f>
        <v>Independence(A+, A, A-, U)</v>
      </c>
      <c r="L129" s="48"/>
      <c r="M129" s="125" t="s">
        <v>1295</v>
      </c>
      <c r="N129" s="125" t="s">
        <v>1296</v>
      </c>
      <c r="O129" s="125" t="s">
        <v>772</v>
      </c>
      <c r="P129" s="125" t="s">
        <v>1297</v>
      </c>
      <c r="Q129" s="124"/>
      <c r="R129" s="125" t="s">
        <v>423</v>
      </c>
      <c r="S129" s="125" t="s">
        <v>1298</v>
      </c>
      <c r="T129" s="125" t="s">
        <v>365</v>
      </c>
      <c r="U129" s="125" t="s">
        <v>321</v>
      </c>
      <c r="V129" s="125" t="s">
        <v>1299</v>
      </c>
      <c r="W129" s="125" t="s">
        <v>1300</v>
      </c>
      <c r="X129" s="125" t="s">
        <v>1301</v>
      </c>
      <c r="Y129" s="124"/>
      <c r="Z129" s="125" t="s">
        <v>1302</v>
      </c>
      <c r="AA129" s="128">
        <v>1723000</v>
      </c>
      <c r="AB129" s="128">
        <v>5820000</v>
      </c>
      <c r="AC129" s="128">
        <v>18821000</v>
      </c>
      <c r="AD129" s="128">
        <v>37069000</v>
      </c>
      <c r="AE129" s="128">
        <v>969000</v>
      </c>
      <c r="AF129" s="128">
        <v>5785000</v>
      </c>
      <c r="AG129" s="128">
        <v>18803000</v>
      </c>
      <c r="AH129" s="128">
        <v>35571000</v>
      </c>
      <c r="AI129" s="128">
        <v>0</v>
      </c>
      <c r="AJ129" s="128">
        <v>-1000</v>
      </c>
      <c r="AK129" s="128">
        <v>-81000</v>
      </c>
      <c r="AL129" s="128">
        <v>-259000</v>
      </c>
      <c r="AM129" s="128">
        <v>969000</v>
      </c>
      <c r="AN129" s="128">
        <v>5784000</v>
      </c>
      <c r="AO129" s="128">
        <v>18722000</v>
      </c>
      <c r="AP129" s="128">
        <v>35312000</v>
      </c>
      <c r="AQ129" s="128">
        <v>754000</v>
      </c>
      <c r="AR129" s="128">
        <v>36000</v>
      </c>
      <c r="AS129" s="128">
        <v>99000</v>
      </c>
      <c r="AT129" s="128">
        <v>1757000</v>
      </c>
      <c r="AU129" s="128">
        <v>-717000</v>
      </c>
      <c r="AV129" s="128">
        <v>-4107000</v>
      </c>
      <c r="AW129" s="128">
        <v>-11221000</v>
      </c>
      <c r="AX129" s="128">
        <v>-15274000</v>
      </c>
      <c r="AY129" s="125" t="s">
        <v>340</v>
      </c>
      <c r="AZ129" s="125" t="s">
        <v>340</v>
      </c>
      <c r="BA129" s="125" t="s">
        <v>340</v>
      </c>
      <c r="BB129" s="125" t="s">
        <v>340</v>
      </c>
      <c r="BC129" s="128">
        <v>-2613000</v>
      </c>
      <c r="BD129" s="128">
        <v>-11204000</v>
      </c>
      <c r="BE129" s="128">
        <v>-19745000</v>
      </c>
      <c r="BF129" s="128">
        <v>-31464000</v>
      </c>
      <c r="BG129" s="128">
        <v>-1607000</v>
      </c>
      <c r="BH129" s="128">
        <v>-9491000</v>
      </c>
      <c r="BI129" s="128">
        <v>-12145000</v>
      </c>
      <c r="BJ129" s="128">
        <v>-9669000</v>
      </c>
      <c r="BK129" s="128">
        <v>-53000</v>
      </c>
      <c r="BL129" s="128">
        <v>-124000</v>
      </c>
      <c r="BM129" s="128">
        <v>-187000</v>
      </c>
      <c r="BN129" s="128">
        <v>-265000</v>
      </c>
      <c r="BO129" s="128">
        <v>-37000</v>
      </c>
      <c r="BP129" s="128">
        <v>-98000</v>
      </c>
      <c r="BQ129" s="128">
        <v>-160000</v>
      </c>
      <c r="BR129" s="128">
        <v>-238000</v>
      </c>
      <c r="BS129" s="128">
        <v>-16000</v>
      </c>
      <c r="BT129" s="128">
        <v>-26000</v>
      </c>
      <c r="BU129" s="128">
        <v>-27000</v>
      </c>
      <c r="BV129" s="128">
        <v>-27000</v>
      </c>
      <c r="BW129" s="128">
        <v>-1724000</v>
      </c>
      <c r="BX129" s="128">
        <v>-12601000</v>
      </c>
      <c r="BY129" s="128">
        <v>-12836000</v>
      </c>
      <c r="BZ129" s="128">
        <v>-10031000</v>
      </c>
      <c r="CA129" s="128">
        <v>2151000</v>
      </c>
      <c r="CB129" s="128">
        <v>3443000</v>
      </c>
      <c r="CC129" s="128">
        <v>13457000</v>
      </c>
      <c r="CD129" s="128">
        <v>25357000</v>
      </c>
      <c r="CE129" s="128">
        <v>1128000</v>
      </c>
      <c r="CF129" s="128">
        <v>1522000</v>
      </c>
      <c r="CG129" s="128">
        <v>9708000</v>
      </c>
      <c r="CH129" s="128">
        <v>15646000</v>
      </c>
      <c r="CI129" s="128">
        <v>2000</v>
      </c>
      <c r="CJ129" s="128">
        <v>3000</v>
      </c>
      <c r="CK129" s="128">
        <v>616000</v>
      </c>
      <c r="CL129" s="128">
        <v>744000</v>
      </c>
      <c r="CM129" s="128">
        <v>611000</v>
      </c>
      <c r="CN129" s="128">
        <v>1311000</v>
      </c>
      <c r="CO129" s="128">
        <v>1783000</v>
      </c>
      <c r="CP129" s="128">
        <v>3994000</v>
      </c>
      <c r="CQ129" s="128">
        <v>54000</v>
      </c>
      <c r="CR129" s="128">
        <v>188000</v>
      </c>
      <c r="CS129" s="128">
        <v>262000</v>
      </c>
      <c r="CT129" s="128">
        <v>1393000</v>
      </c>
      <c r="CU129" s="125" t="s">
        <v>340</v>
      </c>
      <c r="CV129" s="125" t="s">
        <v>340</v>
      </c>
      <c r="CW129" s="125" t="s">
        <v>340</v>
      </c>
      <c r="CX129" s="125" t="s">
        <v>340</v>
      </c>
      <c r="CY129" s="128">
        <v>302000</v>
      </c>
      <c r="CZ129" s="128">
        <v>376000</v>
      </c>
      <c r="DA129" s="128">
        <v>1502000</v>
      </c>
      <c r="DB129" s="128">
        <v>1497000</v>
      </c>
      <c r="DC129" s="128">
        <v>3977000</v>
      </c>
      <c r="DD129" s="128">
        <v>5806000</v>
      </c>
      <c r="DE129" s="128">
        <v>15576000</v>
      </c>
      <c r="DF129" s="128">
        <v>28079000</v>
      </c>
      <c r="DG129" s="16">
        <f t="shared" si="46"/>
        <v>969000</v>
      </c>
      <c r="DH129" s="16">
        <f t="shared" si="47"/>
        <v>-717000</v>
      </c>
      <c r="DI129" s="16">
        <f t="shared" si="48"/>
        <v>-2613000</v>
      </c>
      <c r="DJ129" s="16">
        <f t="shared" si="49"/>
        <v>-53000</v>
      </c>
      <c r="DK129" s="16">
        <f t="shared" si="50"/>
        <v>-2414000</v>
      </c>
      <c r="DL129" s="57">
        <f t="shared" si="51"/>
        <v>-2.4912280701754388</v>
      </c>
      <c r="DM129" s="57">
        <f t="shared" si="52"/>
        <v>-0.71356783919597988</v>
      </c>
      <c r="DN129" s="58" t="str">
        <f t="shared" si="53"/>
        <v>n.a.</v>
      </c>
      <c r="DO129" s="16">
        <f t="shared" si="54"/>
        <v>1325000</v>
      </c>
      <c r="DP129" s="16">
        <f t="shared" si="55"/>
        <v>339000</v>
      </c>
      <c r="DQ129" s="61"/>
      <c r="DR129" s="62">
        <f t="shared" si="56"/>
        <v>5784000</v>
      </c>
      <c r="DS129" s="62">
        <f t="shared" si="57"/>
        <v>-4107000</v>
      </c>
      <c r="DT129" s="62">
        <f t="shared" si="58"/>
        <v>-11204000</v>
      </c>
      <c r="DU129" s="62">
        <f t="shared" si="59"/>
        <v>-124000</v>
      </c>
      <c r="DV129" s="62">
        <f t="shared" si="60"/>
        <v>-9651000</v>
      </c>
      <c r="DW129" s="63">
        <f t="shared" si="61"/>
        <v>-1.6685684647302905</v>
      </c>
      <c r="DX129" s="63">
        <f t="shared" si="62"/>
        <v>-0.62526724975704573</v>
      </c>
      <c r="DY129" s="64" t="str">
        <f t="shared" si="63"/>
        <v>n.a.</v>
      </c>
      <c r="DZ129" s="64">
        <f t="shared" si="64"/>
        <v>5615000</v>
      </c>
      <c r="EA129" s="64">
        <f t="shared" si="65"/>
        <v>939000</v>
      </c>
      <c r="EB129" s="61"/>
      <c r="EC129" s="64">
        <f t="shared" si="66"/>
        <v>18722000</v>
      </c>
      <c r="ED129" s="64">
        <f t="shared" si="67"/>
        <v>-11221000</v>
      </c>
      <c r="EE129" s="64">
        <f t="shared" si="68"/>
        <v>-19745000</v>
      </c>
      <c r="EF129" s="64">
        <f t="shared" si="69"/>
        <v>-187000</v>
      </c>
      <c r="EG129" s="64">
        <f t="shared" si="70"/>
        <v>-12431000</v>
      </c>
      <c r="EH129" s="63">
        <f t="shared" si="71"/>
        <v>-0.66397820745646829</v>
      </c>
      <c r="EI129" s="57">
        <f t="shared" si="72"/>
        <v>-0.3990305909543222</v>
      </c>
      <c r="EJ129" s="64" t="str">
        <f t="shared" si="73"/>
        <v>n.a.</v>
      </c>
      <c r="EK129" s="64">
        <f t="shared" si="74"/>
        <v>12677000</v>
      </c>
      <c r="EL129" s="64">
        <f t="shared" si="75"/>
        <v>1499500</v>
      </c>
      <c r="EM129" s="61"/>
      <c r="EN129" s="66">
        <f t="shared" si="76"/>
        <v>8491666.666666666</v>
      </c>
      <c r="EO129" s="66">
        <f t="shared" si="76"/>
        <v>-5348333.333333333</v>
      </c>
      <c r="EP129" s="66">
        <f t="shared" si="76"/>
        <v>-11187333.333333334</v>
      </c>
      <c r="EQ129" s="66">
        <f t="shared" si="43"/>
        <v>-121333.33333333333</v>
      </c>
      <c r="ER129" s="66">
        <f t="shared" si="77"/>
        <v>-8165333.333333334</v>
      </c>
      <c r="ES129" s="63">
        <f t="shared" si="78"/>
        <v>-0.96157016683022589</v>
      </c>
      <c r="ET129" s="67">
        <f t="shared" si="79"/>
        <v>-0.49020431850473273</v>
      </c>
      <c r="EU129" s="66" t="e">
        <f t="shared" si="80"/>
        <v>#VALUE!</v>
      </c>
      <c r="EV129" s="66">
        <f t="shared" si="81"/>
        <v>6539000</v>
      </c>
      <c r="EW129" s="66">
        <f t="shared" si="81"/>
        <v>925833.33333333337</v>
      </c>
      <c r="EX129" s="70"/>
      <c r="EY129" s="151" t="str">
        <f t="shared" si="82"/>
        <v>完整</v>
      </c>
      <c r="EZ129" s="151" t="str">
        <f t="shared" si="83"/>
        <v>完整</v>
      </c>
      <c r="FA129" s="151" t="str">
        <f t="shared" si="84"/>
        <v>完整</v>
      </c>
      <c r="FB129" s="151" t="str">
        <f t="shared" si="85"/>
        <v>选择</v>
      </c>
      <c r="FC129" s="151" t="str">
        <f t="shared" si="86"/>
        <v>删除</v>
      </c>
      <c r="FD129" s="72"/>
      <c r="FE129" s="72"/>
      <c r="FF129" s="72"/>
      <c r="FG129" s="72"/>
      <c r="FH129" s="72"/>
      <c r="FI129" s="72"/>
      <c r="FJ129" s="72"/>
      <c r="FK129" s="72"/>
      <c r="FL129" s="72"/>
      <c r="FM129" s="72"/>
      <c r="FN129" s="72"/>
      <c r="FO129" s="72"/>
      <c r="FP129" s="72"/>
      <c r="FQ129" s="72"/>
      <c r="FR129" s="72"/>
      <c r="FS129" s="72"/>
      <c r="FT129" s="72"/>
      <c r="FU129" s="72"/>
      <c r="FV129" s="72"/>
      <c r="FW129" s="72"/>
      <c r="FX129" s="72"/>
      <c r="FY129" s="72"/>
      <c r="FZ129" s="72"/>
      <c r="GA129" s="72"/>
      <c r="GB129" s="72"/>
      <c r="GC129" s="72"/>
      <c r="GD129" s="72"/>
      <c r="GE129" s="72"/>
      <c r="GF129" s="72"/>
      <c r="GG129" s="72"/>
      <c r="GH129" s="72"/>
      <c r="GI129" s="72"/>
      <c r="GJ129" s="72"/>
      <c r="GK129" s="72"/>
      <c r="GL129" s="72"/>
      <c r="GM129" s="72"/>
      <c r="GN129" s="72"/>
      <c r="GO129" s="72"/>
      <c r="GP129" s="72"/>
      <c r="GQ129" s="72"/>
      <c r="GR129" s="72"/>
      <c r="GS129" s="72"/>
      <c r="GT129" s="72"/>
      <c r="GU129" s="72"/>
      <c r="GV129" s="72"/>
      <c r="GW129" s="72"/>
      <c r="GX129" s="72"/>
      <c r="GY129" s="72"/>
      <c r="GZ129" s="72"/>
      <c r="HA129" s="72"/>
      <c r="HB129" s="72"/>
      <c r="HC129" s="72"/>
      <c r="HD129" s="72"/>
      <c r="HE129" s="72"/>
      <c r="HF129" s="72"/>
      <c r="HG129" s="72"/>
      <c r="HH129" s="72"/>
      <c r="HI129" s="72"/>
    </row>
    <row r="130" spans="1:217" s="3" customFormat="1" ht="12.75" customHeight="1" x14ac:dyDescent="0.25">
      <c r="A130" s="28" t="s">
        <v>294</v>
      </c>
      <c r="B130" s="134" t="str">
        <f t="shared" si="44"/>
        <v>CONTINENTAL CHEMICALS LTD</v>
      </c>
      <c r="C130" s="29" t="s">
        <v>328</v>
      </c>
      <c r="D130" s="136" t="s">
        <v>309</v>
      </c>
      <c r="E130" s="33"/>
      <c r="H130" s="31" t="str">
        <f t="shared" si="45"/>
        <v xml:space="preserve"> </v>
      </c>
      <c r="I130" s="29"/>
      <c r="J130" s="29" t="str">
        <f>VLOOKUP(Z:Z,'[1]AP 2022'!FD129:FF181,2,FALSE)</f>
        <v>exclude</v>
      </c>
      <c r="K130" s="47" t="str">
        <f>VLOOKUP(Z:Z,'[1]AP 2022'!FD129:FF181,3,0)</f>
        <v>Independence(A+, A, A-, U)</v>
      </c>
      <c r="L130" s="48"/>
      <c r="M130" s="125" t="s">
        <v>1303</v>
      </c>
      <c r="N130" s="125" t="s">
        <v>1304</v>
      </c>
      <c r="O130" s="125" t="s">
        <v>331</v>
      </c>
      <c r="P130" s="125" t="s">
        <v>1305</v>
      </c>
      <c r="Q130" s="124"/>
      <c r="R130" s="125" t="s">
        <v>353</v>
      </c>
      <c r="S130" s="125" t="s">
        <v>1306</v>
      </c>
      <c r="T130" s="125" t="s">
        <v>374</v>
      </c>
      <c r="U130" s="125" t="s">
        <v>315</v>
      </c>
      <c r="V130" s="125" t="s">
        <v>1307</v>
      </c>
      <c r="W130" s="125" t="s">
        <v>1308</v>
      </c>
      <c r="X130" s="124"/>
      <c r="Y130" s="124"/>
      <c r="Z130" s="125" t="s">
        <v>1309</v>
      </c>
      <c r="AA130" s="128">
        <v>11407000</v>
      </c>
      <c r="AB130" s="128">
        <v>10406000</v>
      </c>
      <c r="AC130" s="128">
        <v>9680000</v>
      </c>
      <c r="AD130" s="128">
        <v>11912000</v>
      </c>
      <c r="AE130" s="128">
        <v>4387000</v>
      </c>
      <c r="AF130" s="128">
        <v>4788000</v>
      </c>
      <c r="AG130" s="128">
        <v>1943000</v>
      </c>
      <c r="AH130" s="128">
        <v>3123000</v>
      </c>
      <c r="AI130" s="125" t="s">
        <v>340</v>
      </c>
      <c r="AJ130" s="125" t="s">
        <v>340</v>
      </c>
      <c r="AK130" s="125" t="s">
        <v>340</v>
      </c>
      <c r="AL130" s="125" t="s">
        <v>340</v>
      </c>
      <c r="AM130" s="128">
        <v>4387000</v>
      </c>
      <c r="AN130" s="128">
        <v>4788000</v>
      </c>
      <c r="AO130" s="128">
        <v>1943000</v>
      </c>
      <c r="AP130" s="128">
        <v>3123000</v>
      </c>
      <c r="AQ130" s="128">
        <v>7020000</v>
      </c>
      <c r="AR130" s="128">
        <v>5618000</v>
      </c>
      <c r="AS130" s="128">
        <v>7737000</v>
      </c>
      <c r="AT130" s="128">
        <v>8789000</v>
      </c>
      <c r="AU130" s="125" t="s">
        <v>340</v>
      </c>
      <c r="AV130" s="125" t="s">
        <v>340</v>
      </c>
      <c r="AW130" s="125" t="s">
        <v>340</v>
      </c>
      <c r="AX130" s="125" t="s">
        <v>340</v>
      </c>
      <c r="AY130" s="128">
        <v>0</v>
      </c>
      <c r="AZ130" s="128">
        <v>0</v>
      </c>
      <c r="BA130" s="128">
        <v>0</v>
      </c>
      <c r="BB130" s="128">
        <v>0</v>
      </c>
      <c r="BC130" s="128">
        <v>-8498000</v>
      </c>
      <c r="BD130" s="128">
        <v>-8408000</v>
      </c>
      <c r="BE130" s="128">
        <v>-6743000</v>
      </c>
      <c r="BF130" s="128">
        <v>-8973000</v>
      </c>
      <c r="BG130" s="128">
        <v>2909000</v>
      </c>
      <c r="BH130" s="128">
        <v>1998000</v>
      </c>
      <c r="BI130" s="128">
        <v>2937000</v>
      </c>
      <c r="BJ130" s="128">
        <v>2939000</v>
      </c>
      <c r="BK130" s="128">
        <v>-887000</v>
      </c>
      <c r="BL130" s="128">
        <v>-895000</v>
      </c>
      <c r="BM130" s="128">
        <v>-868000</v>
      </c>
      <c r="BN130" s="128">
        <v>-871000</v>
      </c>
      <c r="BO130" s="128">
        <v>-887000</v>
      </c>
      <c r="BP130" s="128">
        <v>-895000</v>
      </c>
      <c r="BQ130" s="128">
        <v>-868000</v>
      </c>
      <c r="BR130" s="128">
        <v>-871000</v>
      </c>
      <c r="BS130" s="128">
        <v>0</v>
      </c>
      <c r="BT130" s="128">
        <v>0</v>
      </c>
      <c r="BU130" s="128">
        <v>0</v>
      </c>
      <c r="BV130" s="128">
        <v>0</v>
      </c>
      <c r="BW130" s="128">
        <v>2494000</v>
      </c>
      <c r="BX130" s="128">
        <v>599000</v>
      </c>
      <c r="BY130" s="128">
        <v>1434000</v>
      </c>
      <c r="BZ130" s="128">
        <v>780000</v>
      </c>
      <c r="CA130" s="128">
        <v>25518000</v>
      </c>
      <c r="CB130" s="128">
        <v>23304000</v>
      </c>
      <c r="CC130" s="128">
        <v>22045000</v>
      </c>
      <c r="CD130" s="128">
        <v>19637000</v>
      </c>
      <c r="CE130" s="125" t="s">
        <v>340</v>
      </c>
      <c r="CF130" s="125" t="s">
        <v>340</v>
      </c>
      <c r="CG130" s="125" t="s">
        <v>340</v>
      </c>
      <c r="CH130" s="125" t="s">
        <v>340</v>
      </c>
      <c r="CI130" s="128">
        <v>8000</v>
      </c>
      <c r="CJ130" s="128">
        <v>155000</v>
      </c>
      <c r="CK130" s="128">
        <v>419000</v>
      </c>
      <c r="CL130" s="128">
        <v>516000</v>
      </c>
      <c r="CM130" s="128">
        <v>154000</v>
      </c>
      <c r="CN130" s="128">
        <v>1368000</v>
      </c>
      <c r="CO130" s="128">
        <v>75000</v>
      </c>
      <c r="CP130" s="125" t="s">
        <v>340</v>
      </c>
      <c r="CQ130" s="128">
        <v>24431000</v>
      </c>
      <c r="CR130" s="128">
        <v>21567000</v>
      </c>
      <c r="CS130" s="128">
        <v>20720000</v>
      </c>
      <c r="CT130" s="128">
        <v>17669000</v>
      </c>
      <c r="CU130" s="125" t="s">
        <v>340</v>
      </c>
      <c r="CV130" s="125" t="s">
        <v>340</v>
      </c>
      <c r="CW130" s="125" t="s">
        <v>340</v>
      </c>
      <c r="CX130" s="125" t="s">
        <v>340</v>
      </c>
      <c r="CY130" s="128">
        <v>376000</v>
      </c>
      <c r="CZ130" s="128">
        <v>375000</v>
      </c>
      <c r="DA130" s="128">
        <v>374000</v>
      </c>
      <c r="DB130" s="128">
        <v>507000</v>
      </c>
      <c r="DC130" s="128">
        <v>50735000</v>
      </c>
      <c r="DD130" s="128">
        <v>49165000</v>
      </c>
      <c r="DE130" s="128">
        <v>48582000</v>
      </c>
      <c r="DF130" s="128">
        <v>46877000</v>
      </c>
      <c r="DG130" s="16">
        <f t="shared" si="46"/>
        <v>4387000</v>
      </c>
      <c r="DH130" s="16" t="str">
        <f t="shared" si="47"/>
        <v>n.a.</v>
      </c>
      <c r="DI130" s="16">
        <f t="shared" si="48"/>
        <v>-8498000</v>
      </c>
      <c r="DJ130" s="16">
        <f t="shared" si="49"/>
        <v>-887000</v>
      </c>
      <c r="DK130" s="16" t="e">
        <f t="shared" si="50"/>
        <v>#VALUE!</v>
      </c>
      <c r="DL130" s="57" t="e">
        <f t="shared" si="51"/>
        <v>#VALUE!</v>
      </c>
      <c r="DM130" s="57" t="e">
        <f t="shared" si="52"/>
        <v>#VALUE!</v>
      </c>
      <c r="DN130" s="58">
        <f t="shared" si="53"/>
        <v>0</v>
      </c>
      <c r="DO130" s="16" t="e">
        <f t="shared" si="54"/>
        <v>#VALUE!</v>
      </c>
      <c r="DP130" s="16">
        <f t="shared" si="55"/>
        <v>375500</v>
      </c>
      <c r="DQ130" s="61"/>
      <c r="DR130" s="62">
        <f t="shared" si="56"/>
        <v>4788000</v>
      </c>
      <c r="DS130" s="62" t="str">
        <f t="shared" si="57"/>
        <v>n.a.</v>
      </c>
      <c r="DT130" s="62">
        <f t="shared" si="58"/>
        <v>-8408000</v>
      </c>
      <c r="DU130" s="62">
        <f t="shared" si="59"/>
        <v>-895000</v>
      </c>
      <c r="DV130" s="62" t="e">
        <f t="shared" si="60"/>
        <v>#VALUE!</v>
      </c>
      <c r="DW130" s="63" t="e">
        <f t="shared" si="61"/>
        <v>#VALUE!</v>
      </c>
      <c r="DX130" s="63" t="e">
        <f t="shared" si="62"/>
        <v>#VALUE!</v>
      </c>
      <c r="DY130" s="64">
        <f t="shared" si="63"/>
        <v>0</v>
      </c>
      <c r="DZ130" s="64" t="e">
        <f t="shared" si="64"/>
        <v>#VALUE!</v>
      </c>
      <c r="EA130" s="64">
        <f t="shared" si="65"/>
        <v>374500</v>
      </c>
      <c r="EB130" s="61"/>
      <c r="EC130" s="64">
        <f t="shared" si="66"/>
        <v>1943000</v>
      </c>
      <c r="ED130" s="64" t="str">
        <f t="shared" si="67"/>
        <v>n.a.</v>
      </c>
      <c r="EE130" s="64">
        <f t="shared" si="68"/>
        <v>-6743000</v>
      </c>
      <c r="EF130" s="64">
        <f t="shared" si="69"/>
        <v>-868000</v>
      </c>
      <c r="EG130" s="64" t="e">
        <f t="shared" si="70"/>
        <v>#VALUE!</v>
      </c>
      <c r="EH130" s="63" t="e">
        <f t="shared" si="71"/>
        <v>#VALUE!</v>
      </c>
      <c r="EI130" s="57" t="e">
        <f t="shared" si="72"/>
        <v>#VALUE!</v>
      </c>
      <c r="EJ130" s="64">
        <f t="shared" si="73"/>
        <v>0</v>
      </c>
      <c r="EK130" s="64" t="e">
        <f t="shared" si="74"/>
        <v>#VALUE!</v>
      </c>
      <c r="EL130" s="64">
        <f t="shared" si="75"/>
        <v>440500</v>
      </c>
      <c r="EM130" s="61"/>
      <c r="EN130" s="66">
        <f t="shared" si="76"/>
        <v>3706000</v>
      </c>
      <c r="EO130" s="66" t="e">
        <f t="shared" si="76"/>
        <v>#VALUE!</v>
      </c>
      <c r="EP130" s="66">
        <f t="shared" si="76"/>
        <v>-7883000</v>
      </c>
      <c r="EQ130" s="66">
        <f t="shared" si="43"/>
        <v>-883333.33333333337</v>
      </c>
      <c r="ER130" s="66" t="e">
        <f t="shared" si="77"/>
        <v>#VALUE!</v>
      </c>
      <c r="ES130" s="63" t="e">
        <f t="shared" si="78"/>
        <v>#VALUE!</v>
      </c>
      <c r="ET130" s="67" t="e">
        <f t="shared" si="79"/>
        <v>#VALUE!</v>
      </c>
      <c r="EU130" s="66">
        <f t="shared" si="80"/>
        <v>0</v>
      </c>
      <c r="EV130" s="66" t="e">
        <f t="shared" si="81"/>
        <v>#VALUE!</v>
      </c>
      <c r="EW130" s="66">
        <f t="shared" si="81"/>
        <v>396833.33333333331</v>
      </c>
      <c r="EX130" s="70"/>
      <c r="EY130" s="71" t="str">
        <f t="shared" si="82"/>
        <v>完整</v>
      </c>
      <c r="EZ130" s="71" t="str">
        <f t="shared" si="83"/>
        <v>完整</v>
      </c>
      <c r="FA130" s="71" t="str">
        <f t="shared" si="84"/>
        <v>完整</v>
      </c>
      <c r="FB130" s="71" t="str">
        <f t="shared" si="85"/>
        <v>选择</v>
      </c>
      <c r="FC130" s="71" t="e">
        <f t="shared" si="86"/>
        <v>#VALUE!</v>
      </c>
      <c r="FD130" s="72"/>
      <c r="FE130" s="72"/>
      <c r="FF130" s="72"/>
      <c r="FG130" s="72"/>
      <c r="FH130" s="72"/>
      <c r="FI130" s="72"/>
      <c r="FJ130" s="72"/>
      <c r="FK130" s="72"/>
      <c r="FL130" s="72"/>
      <c r="FM130" s="72"/>
      <c r="FN130" s="72"/>
      <c r="FO130" s="72"/>
      <c r="FP130" s="72"/>
      <c r="FQ130" s="72"/>
      <c r="FR130" s="72"/>
      <c r="FS130" s="72"/>
      <c r="FT130" s="72"/>
      <c r="FU130" s="72"/>
      <c r="FV130" s="72"/>
      <c r="FW130" s="72"/>
      <c r="FX130" s="72"/>
      <c r="FY130" s="72"/>
      <c r="FZ130" s="72"/>
      <c r="GA130" s="72"/>
      <c r="GB130" s="72"/>
      <c r="GC130" s="72"/>
      <c r="GD130" s="72"/>
      <c r="GE130" s="72"/>
      <c r="GF130" s="72"/>
      <c r="GG130" s="72"/>
      <c r="GH130" s="72"/>
      <c r="GI130" s="72"/>
      <c r="GJ130" s="72"/>
      <c r="GK130" s="72"/>
      <c r="GL130" s="72"/>
      <c r="GM130" s="72"/>
      <c r="GN130" s="72"/>
      <c r="GO130" s="72"/>
      <c r="GP130" s="72"/>
      <c r="GQ130" s="72"/>
      <c r="GR130" s="72"/>
      <c r="GS130" s="72"/>
      <c r="GT130" s="72"/>
      <c r="GU130" s="72"/>
      <c r="GV130" s="72"/>
      <c r="GW130" s="72"/>
      <c r="GX130" s="72"/>
      <c r="GY130" s="72"/>
      <c r="GZ130" s="72"/>
      <c r="HA130" s="72"/>
      <c r="HB130" s="72"/>
      <c r="HC130" s="72"/>
      <c r="HD130" s="72"/>
      <c r="HE130" s="72"/>
      <c r="HF130" s="72"/>
      <c r="HG130" s="72"/>
      <c r="HH130" s="72"/>
      <c r="HI130" s="72"/>
    </row>
    <row r="131" spans="1:217" s="3" customFormat="1" ht="12.75" customHeight="1" x14ac:dyDescent="0.25">
      <c r="A131" s="28" t="s">
        <v>295</v>
      </c>
      <c r="B131" s="134" t="str">
        <f t="shared" si="44"/>
        <v>PAOS INDUSTRIES LIMITED</v>
      </c>
      <c r="C131" s="29" t="s">
        <v>328</v>
      </c>
      <c r="D131" s="137" t="s">
        <v>310</v>
      </c>
      <c r="E131" s="33"/>
      <c r="H131" s="31" t="str">
        <f t="shared" si="45"/>
        <v xml:space="preserve"> </v>
      </c>
      <c r="I131" s="29"/>
      <c r="J131" s="29" t="str">
        <f>VLOOKUP(Z:Z,'[1]AP 2022'!FD130:FF181,2,FALSE)</f>
        <v>exclude</v>
      </c>
      <c r="K131" s="47" t="str">
        <f>VLOOKUP(Z:Z,'[1]AP 2022'!FD130:FF181,3,0)</f>
        <v>Insufficient financial data</v>
      </c>
      <c r="L131" s="48"/>
      <c r="M131" s="125" t="s">
        <v>1310</v>
      </c>
      <c r="N131" s="125" t="s">
        <v>1311</v>
      </c>
      <c r="O131" s="125" t="s">
        <v>331</v>
      </c>
      <c r="P131" s="125" t="s">
        <v>1312</v>
      </c>
      <c r="Q131" s="124"/>
      <c r="R131" s="125" t="s">
        <v>353</v>
      </c>
      <c r="S131" s="125" t="s">
        <v>1313</v>
      </c>
      <c r="T131" s="125" t="s">
        <v>335</v>
      </c>
      <c r="U131" s="125" t="s">
        <v>315</v>
      </c>
      <c r="V131" s="125" t="s">
        <v>1314</v>
      </c>
      <c r="W131" s="125" t="s">
        <v>1315</v>
      </c>
      <c r="X131" s="125" t="s">
        <v>1316</v>
      </c>
      <c r="Y131" s="125" t="s">
        <v>1317</v>
      </c>
      <c r="Z131" s="125" t="s">
        <v>1318</v>
      </c>
      <c r="AA131" s="125" t="s">
        <v>340</v>
      </c>
      <c r="AB131" s="125" t="s">
        <v>340</v>
      </c>
      <c r="AC131" s="125" t="s">
        <v>340</v>
      </c>
      <c r="AD131" s="125" t="s">
        <v>340</v>
      </c>
      <c r="AE131" s="125" t="s">
        <v>340</v>
      </c>
      <c r="AF131" s="125" t="s">
        <v>340</v>
      </c>
      <c r="AG131" s="125" t="s">
        <v>340</v>
      </c>
      <c r="AH131" s="125" t="s">
        <v>340</v>
      </c>
      <c r="AI131" s="125" t="s">
        <v>340</v>
      </c>
      <c r="AJ131" s="125" t="s">
        <v>340</v>
      </c>
      <c r="AK131" s="125" t="s">
        <v>340</v>
      </c>
      <c r="AL131" s="125" t="s">
        <v>340</v>
      </c>
      <c r="AM131" s="125" t="s">
        <v>340</v>
      </c>
      <c r="AN131" s="125" t="s">
        <v>340</v>
      </c>
      <c r="AO131" s="125" t="s">
        <v>340</v>
      </c>
      <c r="AP131" s="125" t="s">
        <v>340</v>
      </c>
      <c r="AQ131" s="125" t="s">
        <v>340</v>
      </c>
      <c r="AR131" s="125" t="s">
        <v>340</v>
      </c>
      <c r="AS131" s="125" t="s">
        <v>340</v>
      </c>
      <c r="AT131" s="125" t="s">
        <v>340</v>
      </c>
      <c r="AU131" s="125" t="s">
        <v>340</v>
      </c>
      <c r="AV131" s="125" t="s">
        <v>340</v>
      </c>
      <c r="AW131" s="125" t="s">
        <v>340</v>
      </c>
      <c r="AX131" s="125" t="s">
        <v>340</v>
      </c>
      <c r="AY131" s="128">
        <v>0</v>
      </c>
      <c r="AZ131" s="128">
        <v>0</v>
      </c>
      <c r="BA131" s="128">
        <v>0</v>
      </c>
      <c r="BB131" s="128">
        <v>0</v>
      </c>
      <c r="BC131" s="128">
        <v>-1357000</v>
      </c>
      <c r="BD131" s="128">
        <v>-1120000</v>
      </c>
      <c r="BE131" s="128">
        <v>-1971000</v>
      </c>
      <c r="BF131" s="128">
        <v>-1542000</v>
      </c>
      <c r="BG131" s="128">
        <v>-1357000</v>
      </c>
      <c r="BH131" s="128">
        <v>-1120000</v>
      </c>
      <c r="BI131" s="128">
        <v>-1971000</v>
      </c>
      <c r="BJ131" s="128">
        <v>-1542000</v>
      </c>
      <c r="BK131" s="128">
        <v>0</v>
      </c>
      <c r="BL131" s="128">
        <v>0</v>
      </c>
      <c r="BM131" s="128">
        <v>0</v>
      </c>
      <c r="BN131" s="128">
        <v>0</v>
      </c>
      <c r="BO131" s="128">
        <v>0</v>
      </c>
      <c r="BP131" s="128">
        <v>0</v>
      </c>
      <c r="BQ131" s="128">
        <v>0</v>
      </c>
      <c r="BR131" s="128">
        <v>0</v>
      </c>
      <c r="BS131" s="128">
        <v>0</v>
      </c>
      <c r="BT131" s="128">
        <v>0</v>
      </c>
      <c r="BU131" s="128">
        <v>0</v>
      </c>
      <c r="BV131" s="128">
        <v>0</v>
      </c>
      <c r="BW131" s="128">
        <v>-2904000</v>
      </c>
      <c r="BX131" s="128">
        <v>-3107000</v>
      </c>
      <c r="BY131" s="128">
        <v>-33029000</v>
      </c>
      <c r="BZ131" s="128">
        <v>-162000</v>
      </c>
      <c r="CA131" s="128">
        <v>123000</v>
      </c>
      <c r="CB131" s="128">
        <v>132000</v>
      </c>
      <c r="CC131" s="128">
        <v>259000</v>
      </c>
      <c r="CD131" s="128">
        <v>973000</v>
      </c>
      <c r="CE131" s="125" t="s">
        <v>340</v>
      </c>
      <c r="CF131" s="125" t="s">
        <v>340</v>
      </c>
      <c r="CG131" s="125" t="s">
        <v>340</v>
      </c>
      <c r="CH131" s="125" t="s">
        <v>340</v>
      </c>
      <c r="CI131" s="125" t="s">
        <v>340</v>
      </c>
      <c r="CJ131" s="125" t="s">
        <v>340</v>
      </c>
      <c r="CK131" s="125" t="s">
        <v>340</v>
      </c>
      <c r="CL131" s="125" t="s">
        <v>340</v>
      </c>
      <c r="CM131" s="125" t="s">
        <v>340</v>
      </c>
      <c r="CN131" s="125" t="s">
        <v>340</v>
      </c>
      <c r="CO131" s="128">
        <v>58000</v>
      </c>
      <c r="CP131" s="128">
        <v>52000</v>
      </c>
      <c r="CQ131" s="128">
        <v>123000</v>
      </c>
      <c r="CR131" s="128">
        <v>101000</v>
      </c>
      <c r="CS131" s="128">
        <v>170000</v>
      </c>
      <c r="CT131" s="128">
        <v>921000</v>
      </c>
      <c r="CU131" s="125" t="s">
        <v>340</v>
      </c>
      <c r="CV131" s="125" t="s">
        <v>340</v>
      </c>
      <c r="CW131" s="125" t="s">
        <v>340</v>
      </c>
      <c r="CX131" s="125" t="s">
        <v>340</v>
      </c>
      <c r="CY131" s="125" t="s">
        <v>340</v>
      </c>
      <c r="CZ131" s="125" t="s">
        <v>340</v>
      </c>
      <c r="DA131" s="125" t="s">
        <v>340</v>
      </c>
      <c r="DB131" s="125" t="s">
        <v>340</v>
      </c>
      <c r="DC131" s="128">
        <v>851000</v>
      </c>
      <c r="DD131" s="128">
        <v>936000</v>
      </c>
      <c r="DE131" s="128">
        <v>940000</v>
      </c>
      <c r="DF131" s="128">
        <v>30443000</v>
      </c>
      <c r="DG131" s="16" t="str">
        <f t="shared" si="46"/>
        <v>无数据</v>
      </c>
      <c r="DH131" s="16" t="str">
        <f t="shared" si="47"/>
        <v>n.a.</v>
      </c>
      <c r="DI131" s="16">
        <f t="shared" si="48"/>
        <v>-1357000</v>
      </c>
      <c r="DJ131" s="16">
        <f t="shared" si="49"/>
        <v>0</v>
      </c>
      <c r="DK131" s="16" t="str">
        <f t="shared" si="50"/>
        <v>无数据</v>
      </c>
      <c r="DL131" s="57" t="e">
        <f t="shared" si="51"/>
        <v>#VALUE!</v>
      </c>
      <c r="DM131" s="57" t="e">
        <f t="shared" si="52"/>
        <v>#VALUE!</v>
      </c>
      <c r="DN131" s="58">
        <f t="shared" si="53"/>
        <v>0</v>
      </c>
      <c r="DO131" s="16" t="e">
        <f t="shared" si="54"/>
        <v>#VALUE!</v>
      </c>
      <c r="DP131" s="16" t="e">
        <f t="shared" si="55"/>
        <v>#VALUE!</v>
      </c>
      <c r="DQ131" s="61"/>
      <c r="DR131" s="62" t="str">
        <f t="shared" si="56"/>
        <v>无数据</v>
      </c>
      <c r="DS131" s="62" t="str">
        <f t="shared" si="57"/>
        <v>n.a.</v>
      </c>
      <c r="DT131" s="62">
        <f t="shared" si="58"/>
        <v>-1120000</v>
      </c>
      <c r="DU131" s="62">
        <f t="shared" si="59"/>
        <v>0</v>
      </c>
      <c r="DV131" s="62" t="str">
        <f t="shared" si="60"/>
        <v>无数据</v>
      </c>
      <c r="DW131" s="63" t="e">
        <f t="shared" si="61"/>
        <v>#VALUE!</v>
      </c>
      <c r="DX131" s="63" t="e">
        <f t="shared" si="62"/>
        <v>#VALUE!</v>
      </c>
      <c r="DY131" s="64">
        <f t="shared" si="63"/>
        <v>0</v>
      </c>
      <c r="DZ131" s="64" t="e">
        <f t="shared" si="64"/>
        <v>#VALUE!</v>
      </c>
      <c r="EA131" s="64" t="e">
        <f t="shared" si="65"/>
        <v>#VALUE!</v>
      </c>
      <c r="EB131" s="61"/>
      <c r="EC131" s="64" t="str">
        <f t="shared" si="66"/>
        <v>无数据</v>
      </c>
      <c r="ED131" s="64" t="str">
        <f t="shared" si="67"/>
        <v>n.a.</v>
      </c>
      <c r="EE131" s="64">
        <f t="shared" si="68"/>
        <v>-1971000</v>
      </c>
      <c r="EF131" s="64">
        <f t="shared" si="69"/>
        <v>0</v>
      </c>
      <c r="EG131" s="64" t="str">
        <f t="shared" si="70"/>
        <v>无数据</v>
      </c>
      <c r="EH131" s="63" t="e">
        <f t="shared" si="71"/>
        <v>#VALUE!</v>
      </c>
      <c r="EI131" s="57" t="e">
        <f t="shared" si="72"/>
        <v>#VALUE!</v>
      </c>
      <c r="EJ131" s="64">
        <f t="shared" si="73"/>
        <v>0</v>
      </c>
      <c r="EK131" s="64" t="e">
        <f t="shared" si="74"/>
        <v>#VALUE!</v>
      </c>
      <c r="EL131" s="64" t="e">
        <f t="shared" si="75"/>
        <v>#VALUE!</v>
      </c>
      <c r="EM131" s="61"/>
      <c r="EN131" s="66" t="e">
        <f t="shared" si="76"/>
        <v>#VALUE!</v>
      </c>
      <c r="EO131" s="66" t="e">
        <f t="shared" si="76"/>
        <v>#VALUE!</v>
      </c>
      <c r="EP131" s="66">
        <f t="shared" si="76"/>
        <v>-1482666.6666666667</v>
      </c>
      <c r="EQ131" s="66">
        <f t="shared" si="76"/>
        <v>0</v>
      </c>
      <c r="ER131" s="66" t="e">
        <f t="shared" si="77"/>
        <v>#VALUE!</v>
      </c>
      <c r="ES131" s="63" t="e">
        <f t="shared" si="78"/>
        <v>#VALUE!</v>
      </c>
      <c r="ET131" s="67" t="e">
        <f t="shared" si="79"/>
        <v>#VALUE!</v>
      </c>
      <c r="EU131" s="66">
        <f t="shared" si="80"/>
        <v>0</v>
      </c>
      <c r="EV131" s="66" t="e">
        <f t="shared" si="81"/>
        <v>#VALUE!</v>
      </c>
      <c r="EW131" s="66" t="e">
        <f t="shared" si="81"/>
        <v>#VALUE!</v>
      </c>
      <c r="EX131" s="70"/>
      <c r="EY131" s="71" t="str">
        <f t="shared" si="82"/>
        <v>无数据</v>
      </c>
      <c r="EZ131" s="71" t="str">
        <f t="shared" si="83"/>
        <v>无数据</v>
      </c>
      <c r="FA131" s="71" t="str">
        <f t="shared" si="84"/>
        <v>无数据</v>
      </c>
      <c r="FB131" s="71" t="str">
        <f t="shared" si="85"/>
        <v>删除</v>
      </c>
      <c r="FC131" s="71" t="str">
        <f t="shared" si="86"/>
        <v>选择</v>
      </c>
    </row>
    <row r="132" spans="1:217" s="3" customFormat="1" ht="12.75" customHeight="1" x14ac:dyDescent="0.25">
      <c r="A132" s="28" t="s">
        <v>296</v>
      </c>
      <c r="B132" s="134" t="str">
        <f t="shared" ref="B132:B140" si="87">M132</f>
        <v>VIVA GOODS COMPANY LIMITED</v>
      </c>
      <c r="C132" s="29" t="s">
        <v>328</v>
      </c>
      <c r="D132" s="136" t="s">
        <v>309</v>
      </c>
      <c r="E132" s="33"/>
      <c r="H132" s="31" t="str">
        <f t="shared" ref="H132:H140" si="88">IF(C132&lt;&gt;"exclude",ET132," ")</f>
        <v xml:space="preserve"> </v>
      </c>
      <c r="I132" s="29"/>
      <c r="J132" s="29" t="str">
        <f>VLOOKUP(Z:Z,'[1]AP 2022'!FD131:FF181,2,FALSE)</f>
        <v>exclude</v>
      </c>
      <c r="K132" s="47" t="str">
        <f>VLOOKUP(Z:Z,'[1]AP 2022'!FD131:FF181,3,0)</f>
        <v>Independence(A+, A, A-, U)</v>
      </c>
      <c r="L132" s="48"/>
      <c r="M132" s="125" t="s">
        <v>1319</v>
      </c>
      <c r="N132" s="126" t="s">
        <v>1320</v>
      </c>
      <c r="O132" s="126" t="s">
        <v>413</v>
      </c>
      <c r="P132" s="126" t="s">
        <v>1321</v>
      </c>
      <c r="Q132" s="126" t="s">
        <v>1067</v>
      </c>
      <c r="R132" s="126" t="s">
        <v>1322</v>
      </c>
      <c r="S132" s="126" t="s">
        <v>1323</v>
      </c>
      <c r="T132" s="125" t="s">
        <v>355</v>
      </c>
      <c r="U132" s="126" t="s">
        <v>321</v>
      </c>
      <c r="V132" s="126" t="s">
        <v>1324</v>
      </c>
      <c r="W132" s="126" t="s">
        <v>1325</v>
      </c>
      <c r="X132" s="126" t="s">
        <v>1326</v>
      </c>
      <c r="Y132" s="127"/>
      <c r="Z132" s="125" t="s">
        <v>1327</v>
      </c>
      <c r="AA132" s="128">
        <v>6973883000</v>
      </c>
      <c r="AB132" s="128">
        <v>1449926000</v>
      </c>
      <c r="AC132" s="128">
        <v>864173000</v>
      </c>
      <c r="AD132" s="128">
        <v>654914000</v>
      </c>
      <c r="AE132" s="128">
        <v>6900390000</v>
      </c>
      <c r="AF132" s="128">
        <v>1381637000</v>
      </c>
      <c r="AG132" s="128">
        <v>819036000</v>
      </c>
      <c r="AH132" s="128">
        <v>625004000</v>
      </c>
      <c r="AI132" s="125" t="s">
        <v>340</v>
      </c>
      <c r="AJ132" s="125" t="s">
        <v>340</v>
      </c>
      <c r="AK132" s="125" t="s">
        <v>340</v>
      </c>
      <c r="AL132" s="125" t="s">
        <v>340</v>
      </c>
      <c r="AM132" s="128">
        <v>6900390000</v>
      </c>
      <c r="AN132" s="128">
        <v>1381637000</v>
      </c>
      <c r="AO132" s="128">
        <v>819036000</v>
      </c>
      <c r="AP132" s="128">
        <v>625004000</v>
      </c>
      <c r="AQ132" s="128">
        <v>73493000</v>
      </c>
      <c r="AR132" s="128">
        <v>68289000</v>
      </c>
      <c r="AS132" s="128">
        <v>45137000</v>
      </c>
      <c r="AT132" s="128">
        <v>29910000</v>
      </c>
      <c r="AU132" s="128">
        <v>-3240089000</v>
      </c>
      <c r="AV132" s="128">
        <v>-616563000</v>
      </c>
      <c r="AW132" s="128">
        <v>-454108000</v>
      </c>
      <c r="AX132" s="128">
        <v>-487336000</v>
      </c>
      <c r="AY132" s="128">
        <v>0</v>
      </c>
      <c r="AZ132" s="128">
        <v>0</v>
      </c>
      <c r="BA132" s="128">
        <v>0</v>
      </c>
      <c r="BB132" s="128">
        <v>0</v>
      </c>
      <c r="BC132" s="128">
        <v>-3388107000</v>
      </c>
      <c r="BD132" s="128">
        <v>-988008000</v>
      </c>
      <c r="BE132" s="128">
        <v>-423919000</v>
      </c>
      <c r="BF132" s="128">
        <v>-269632000</v>
      </c>
      <c r="BG132" s="128">
        <v>345687000</v>
      </c>
      <c r="BH132" s="128">
        <v>-154645000</v>
      </c>
      <c r="BI132" s="128">
        <v>-13854000</v>
      </c>
      <c r="BJ132" s="128">
        <v>-102054000</v>
      </c>
      <c r="BK132" s="128">
        <v>-905590000</v>
      </c>
      <c r="BL132" s="128">
        <v>-279851000</v>
      </c>
      <c r="BM132" s="128">
        <v>-287710000</v>
      </c>
      <c r="BN132" s="128">
        <v>-65831000</v>
      </c>
      <c r="BO132" s="128">
        <v>-741336000</v>
      </c>
      <c r="BP132" s="128">
        <v>-247499000</v>
      </c>
      <c r="BQ132" s="128">
        <v>-123463000</v>
      </c>
      <c r="BR132" s="128">
        <v>-20004000</v>
      </c>
      <c r="BS132" s="128">
        <v>-164254000</v>
      </c>
      <c r="BT132" s="128">
        <v>-32352000</v>
      </c>
      <c r="BU132" s="128">
        <v>-164247000</v>
      </c>
      <c r="BV132" s="128">
        <v>-45827000</v>
      </c>
      <c r="BW132" s="128">
        <v>850416000</v>
      </c>
      <c r="BX132" s="128">
        <v>4562639000</v>
      </c>
      <c r="BY132" s="128">
        <v>1192392000</v>
      </c>
      <c r="BZ132" s="128">
        <v>834366000</v>
      </c>
      <c r="CA132" s="128">
        <v>8675314000</v>
      </c>
      <c r="CB132" s="128">
        <v>3848292000</v>
      </c>
      <c r="CC132" s="128">
        <v>2874758000</v>
      </c>
      <c r="CD132" s="128">
        <v>1194828000</v>
      </c>
      <c r="CE132" s="128">
        <v>4061130000</v>
      </c>
      <c r="CF132" s="128">
        <v>281279000</v>
      </c>
      <c r="CG132" s="128">
        <v>183863000</v>
      </c>
      <c r="CH132" s="128">
        <v>1807000</v>
      </c>
      <c r="CI132" s="128">
        <v>859478000</v>
      </c>
      <c r="CJ132" s="128">
        <v>97996000</v>
      </c>
      <c r="CK132" s="128">
        <v>82887000</v>
      </c>
      <c r="CL132" s="128">
        <v>199624000</v>
      </c>
      <c r="CM132" s="128">
        <v>323104000</v>
      </c>
      <c r="CN132" s="128">
        <v>312389000</v>
      </c>
      <c r="CO132" s="128">
        <v>388189000</v>
      </c>
      <c r="CP132" s="128">
        <v>296625000</v>
      </c>
      <c r="CQ132" s="128">
        <v>2981400000</v>
      </c>
      <c r="CR132" s="128">
        <v>3124259000</v>
      </c>
      <c r="CS132" s="128">
        <v>2134406000</v>
      </c>
      <c r="CT132" s="128">
        <v>652604000</v>
      </c>
      <c r="CU132" s="128">
        <v>6597000</v>
      </c>
      <c r="CV132" s="128">
        <v>590312000</v>
      </c>
      <c r="CW132" s="128">
        <v>276965000</v>
      </c>
      <c r="CX132" s="128">
        <v>3342000</v>
      </c>
      <c r="CY132" s="125" t="s">
        <v>340</v>
      </c>
      <c r="CZ132" s="128">
        <v>3053000</v>
      </c>
      <c r="DA132" s="128">
        <v>3864000</v>
      </c>
      <c r="DB132" s="128">
        <v>4390000</v>
      </c>
      <c r="DC132" s="128">
        <v>17471931000</v>
      </c>
      <c r="DD132" s="128">
        <v>9110162000</v>
      </c>
      <c r="DE132" s="128">
        <v>6849920000</v>
      </c>
      <c r="DF132" s="128">
        <v>4866565000</v>
      </c>
      <c r="DG132" s="16">
        <f t="shared" ref="DG132:DG140" si="89">IF(AM132="n.a.","无数据",AM132)</f>
        <v>6900390000</v>
      </c>
      <c r="DH132" s="16">
        <f t="shared" ref="DH132:DH140" si="90">AU132</f>
        <v>-3240089000</v>
      </c>
      <c r="DI132" s="16">
        <f t="shared" ref="DI132:DI140" si="91">IF(AY132="n.a.",BC132,(AY132+BC132))</f>
        <v>-3388107000</v>
      </c>
      <c r="DJ132" s="16">
        <f t="shared" ref="DJ132:DJ140" si="92">BK132</f>
        <v>-905590000</v>
      </c>
      <c r="DK132" s="16">
        <f t="shared" ref="DK132:DK140" si="93">IF(DG132="无数据","无数据",(DG132+DH132+DI132+DJ132))</f>
        <v>-633396000</v>
      </c>
      <c r="DL132" s="57">
        <f t="shared" ref="DL132:DL140" si="94">DK132/DG132</f>
        <v>-9.1791333533322028E-2</v>
      </c>
      <c r="DM132" s="57">
        <f t="shared" ref="DM132:DM140" si="95">DK132/-(DH132+DI132+DJ132)</f>
        <v>-8.4074063160275589E-2</v>
      </c>
      <c r="DN132" s="58">
        <f t="shared" ref="DN132:DN140" si="96">AY132</f>
        <v>0</v>
      </c>
      <c r="DO132" s="16">
        <f t="shared" ref="DO132:DO140" si="97">(CE132+CF132)/2</f>
        <v>2171204500</v>
      </c>
      <c r="DP132" s="16" t="e">
        <f t="shared" ref="DP132:DP140" si="98">(CY132+CZ132)/2</f>
        <v>#VALUE!</v>
      </c>
      <c r="DQ132" s="61"/>
      <c r="DR132" s="62">
        <f t="shared" ref="DR132:DR140" si="99">IF(AN132="n.a.","无数据",AN132)</f>
        <v>1381637000</v>
      </c>
      <c r="DS132" s="62">
        <f t="shared" ref="DS132:DS140" si="100">AV132</f>
        <v>-616563000</v>
      </c>
      <c r="DT132" s="62">
        <f t="shared" ref="DT132:DT140" si="101">IF(AZ132="n.a.",BD132,(BD132+AZ132))</f>
        <v>-988008000</v>
      </c>
      <c r="DU132" s="62">
        <f t="shared" ref="DU132:DU140" si="102">BL132</f>
        <v>-279851000</v>
      </c>
      <c r="DV132" s="62">
        <f t="shared" ref="DV132:DV140" si="103">IF(DR132="无数据","无数据",(DR132+DS132+DT132+DU132))</f>
        <v>-502785000</v>
      </c>
      <c r="DW132" s="63">
        <f t="shared" ref="DW132:DW140" si="104">DV132/DR132</f>
        <v>-0.36390528047526233</v>
      </c>
      <c r="DX132" s="63">
        <f t="shared" ref="DX132:DX140" si="105">DV132/-(DS132+DT132+DU132)</f>
        <v>-0.26681125565292702</v>
      </c>
      <c r="DY132" s="64">
        <f t="shared" ref="DY132:DY140" si="106">AZ132</f>
        <v>0</v>
      </c>
      <c r="DZ132" s="64">
        <f t="shared" ref="DZ132:DZ140" si="107">(CF132+CG132)/2</f>
        <v>232571000</v>
      </c>
      <c r="EA132" s="64">
        <f t="shared" ref="EA132:EA140" si="108">(CZ132+DA132)/2</f>
        <v>3458500</v>
      </c>
      <c r="EB132" s="61"/>
      <c r="EC132" s="64">
        <f t="shared" ref="EC132:EC140" si="109">IF(AO132="n.a.","无数据",AO132)</f>
        <v>819036000</v>
      </c>
      <c r="ED132" s="64">
        <f t="shared" ref="ED132:ED140" si="110">AW132</f>
        <v>-454108000</v>
      </c>
      <c r="EE132" s="64">
        <f t="shared" ref="EE132:EE140" si="111">IF(BA132="n.a.",BE132,(BA132+BE132))</f>
        <v>-423919000</v>
      </c>
      <c r="EF132" s="64">
        <f t="shared" ref="EF132:EF140" si="112">BM132</f>
        <v>-287710000</v>
      </c>
      <c r="EG132" s="64">
        <f t="shared" ref="EG132:EG140" si="113">IF(EC132="无数据","无数据",(EC132+ED132+EE132+EF132))</f>
        <v>-346701000</v>
      </c>
      <c r="EH132" s="63">
        <f t="shared" ref="EH132:EH140" si="114">EG132/EC132</f>
        <v>-0.42330373756464917</v>
      </c>
      <c r="EI132" s="57">
        <f t="shared" ref="EI132:EI140" si="115">EG132/-(ED132+EE132+EF132)</f>
        <v>-0.29740927842214837</v>
      </c>
      <c r="EJ132" s="64">
        <f t="shared" ref="EJ132:EJ140" si="116">BA132</f>
        <v>0</v>
      </c>
      <c r="EK132" s="64">
        <f t="shared" ref="EK132:EK140" si="117">(CG132+CH132)/2</f>
        <v>92835000</v>
      </c>
      <c r="EL132" s="64">
        <f t="shared" ref="EL132:EL140" si="118">(DA132+DB132)/2</f>
        <v>4127000</v>
      </c>
      <c r="EM132" s="61"/>
      <c r="EN132" s="66">
        <f t="shared" ref="EN132:EQ140" si="119">(EC132+DR132+DG132)/3</f>
        <v>3033687666.6666665</v>
      </c>
      <c r="EO132" s="66">
        <f t="shared" si="119"/>
        <v>-1436920000</v>
      </c>
      <c r="EP132" s="66">
        <f t="shared" si="119"/>
        <v>-1600011333.3333333</v>
      </c>
      <c r="EQ132" s="66">
        <f t="shared" si="119"/>
        <v>-491050333.33333331</v>
      </c>
      <c r="ER132" s="66">
        <f t="shared" ref="ER132:ER140" si="120">EN132+EO132+EP132+EQ132</f>
        <v>-494294000.00000006</v>
      </c>
      <c r="ES132" s="63">
        <f t="shared" ref="ES132:ES140" si="121">ER132/EN132</f>
        <v>-0.1629350329736208</v>
      </c>
      <c r="ET132" s="67">
        <f t="shared" ref="ET132:ET140" si="122">ER132/-(EO132+EP132+EQ132)</f>
        <v>-0.14010673713818433</v>
      </c>
      <c r="EU132" s="66">
        <f t="shared" ref="EU132:EU140" si="123">-(EJ132+DY132+DN132)/3</f>
        <v>0</v>
      </c>
      <c r="EV132" s="66">
        <f t="shared" ref="EV132:EW140" si="124">AVERAGE(EK132,DZ132,DO132)</f>
        <v>832203500</v>
      </c>
      <c r="EW132" s="66" t="e">
        <f t="shared" si="124"/>
        <v>#VALUE!</v>
      </c>
      <c r="EX132" s="70"/>
      <c r="EY132" s="151" t="str">
        <f t="shared" ref="EY132:EY140" si="125">IF(EC132="无数据","无数据","完整")</f>
        <v>完整</v>
      </c>
      <c r="EZ132" s="151" t="str">
        <f t="shared" ref="EZ132:EZ140" si="126">IF(DR132="无数据","无数据","完整")</f>
        <v>完整</v>
      </c>
      <c r="FA132" s="151" t="str">
        <f t="shared" ref="FA132:FA140" si="127">IF(DG132="无数据","无数据","完整")</f>
        <v>完整</v>
      </c>
      <c r="FB132" s="151" t="str">
        <f t="shared" ref="FB132:FB140" si="128">IF(AND(EY132="完整",EZ132="完整",FA132="完整"),"选择","删除")</f>
        <v>选择</v>
      </c>
      <c r="FC132" s="151" t="str">
        <f t="shared" ref="FC132:FC140" si="129">IF(AND(DK132&lt;0,DV132&lt;0,EG132&lt;0),"删除","选择")</f>
        <v>删除</v>
      </c>
    </row>
    <row r="133" spans="1:217" s="3" customFormat="1" ht="16.399999999999999" customHeight="1" x14ac:dyDescent="0.25">
      <c r="A133" s="28" t="s">
        <v>297</v>
      </c>
      <c r="B133" s="134" t="str">
        <f t="shared" si="87"/>
        <v>MING FAI INTERNATIONAL HOLDINGS LIMITED</v>
      </c>
      <c r="C133" s="29" t="s">
        <v>328</v>
      </c>
      <c r="D133" s="136" t="s">
        <v>309</v>
      </c>
      <c r="E133" s="29"/>
      <c r="F133" s="135"/>
      <c r="G133" s="32"/>
      <c r="H133" s="31" t="str">
        <f t="shared" si="88"/>
        <v xml:space="preserve"> </v>
      </c>
      <c r="I133" s="29"/>
      <c r="J133" s="29" t="str">
        <f>VLOOKUP(Z:Z,'[1]AP 2022'!FD132:FF181,2,FALSE)</f>
        <v>exclude</v>
      </c>
      <c r="K133" s="47" t="str">
        <f>VLOOKUP(Z:Z,'[1]AP 2022'!FD132:FF181,3,0)</f>
        <v>lev SDA/SDP</v>
      </c>
      <c r="L133" s="48"/>
      <c r="M133" s="125" t="s">
        <v>1328</v>
      </c>
      <c r="N133" s="125" t="s">
        <v>1329</v>
      </c>
      <c r="O133" s="125" t="s">
        <v>413</v>
      </c>
      <c r="P133" s="125" t="s">
        <v>1330</v>
      </c>
      <c r="Q133" s="125" t="s">
        <v>1067</v>
      </c>
      <c r="R133" s="125" t="s">
        <v>1322</v>
      </c>
      <c r="S133" s="125" t="s">
        <v>1331</v>
      </c>
      <c r="T133" s="125" t="s">
        <v>365</v>
      </c>
      <c r="U133" s="125" t="s">
        <v>321</v>
      </c>
      <c r="V133" s="125" t="s">
        <v>1324</v>
      </c>
      <c r="W133" s="125" t="s">
        <v>1332</v>
      </c>
      <c r="X133" s="124"/>
      <c r="Y133" s="124"/>
      <c r="Z133" s="125" t="s">
        <v>1333</v>
      </c>
      <c r="AA133" s="128">
        <v>1805783000</v>
      </c>
      <c r="AB133" s="128">
        <v>1444092000</v>
      </c>
      <c r="AC133" s="128">
        <v>1388830000</v>
      </c>
      <c r="AD133" s="128">
        <v>2054209000</v>
      </c>
      <c r="AE133" s="128">
        <v>1793025000</v>
      </c>
      <c r="AF133" s="128">
        <v>1435826000</v>
      </c>
      <c r="AG133" s="128">
        <v>1353099000</v>
      </c>
      <c r="AH133" s="128">
        <v>2043095000</v>
      </c>
      <c r="AI133" s="125" t="s">
        <v>340</v>
      </c>
      <c r="AJ133" s="125" t="s">
        <v>340</v>
      </c>
      <c r="AK133" s="125" t="s">
        <v>340</v>
      </c>
      <c r="AL133" s="125" t="s">
        <v>340</v>
      </c>
      <c r="AM133" s="128">
        <v>1793025000</v>
      </c>
      <c r="AN133" s="128">
        <v>1435826000</v>
      </c>
      <c r="AO133" s="128">
        <v>1353099000</v>
      </c>
      <c r="AP133" s="128">
        <v>2043095000</v>
      </c>
      <c r="AQ133" s="128">
        <v>12758000</v>
      </c>
      <c r="AR133" s="128">
        <v>8266000</v>
      </c>
      <c r="AS133" s="128">
        <v>35731000</v>
      </c>
      <c r="AT133" s="128">
        <v>11114000</v>
      </c>
      <c r="AU133" s="128">
        <v>-1303152000</v>
      </c>
      <c r="AV133" s="128">
        <v>-1100564000</v>
      </c>
      <c r="AW133" s="128">
        <v>-944359000</v>
      </c>
      <c r="AX133" s="128">
        <v>-1505200000</v>
      </c>
      <c r="AY133" s="128">
        <v>0</v>
      </c>
      <c r="AZ133" s="128">
        <v>0</v>
      </c>
      <c r="BA133" s="128">
        <v>0</v>
      </c>
      <c r="BB133" s="128">
        <v>0</v>
      </c>
      <c r="BC133" s="128">
        <v>-330391000</v>
      </c>
      <c r="BD133" s="128">
        <v>-317590000</v>
      </c>
      <c r="BE133" s="128">
        <v>-267711000</v>
      </c>
      <c r="BF133" s="128">
        <v>-356057000</v>
      </c>
      <c r="BG133" s="128">
        <v>172240000</v>
      </c>
      <c r="BH133" s="128">
        <v>25938000</v>
      </c>
      <c r="BI133" s="128">
        <v>176760000</v>
      </c>
      <c r="BJ133" s="128">
        <v>192952000</v>
      </c>
      <c r="BK133" s="128">
        <v>-65060000</v>
      </c>
      <c r="BL133" s="128">
        <v>-70376000</v>
      </c>
      <c r="BM133" s="128">
        <v>-59991000</v>
      </c>
      <c r="BN133" s="128">
        <v>-56863000</v>
      </c>
      <c r="BO133" s="128">
        <v>-64373000</v>
      </c>
      <c r="BP133" s="128">
        <v>-64764000</v>
      </c>
      <c r="BQ133" s="128">
        <v>-58736000</v>
      </c>
      <c r="BR133" s="128">
        <v>-54679000</v>
      </c>
      <c r="BS133" s="128">
        <v>-687000</v>
      </c>
      <c r="BT133" s="128">
        <v>-5612000</v>
      </c>
      <c r="BU133" s="128">
        <v>-1255000</v>
      </c>
      <c r="BV133" s="128">
        <v>-2184000</v>
      </c>
      <c r="BW133" s="128">
        <v>75511000</v>
      </c>
      <c r="BX133" s="128">
        <v>-93535000</v>
      </c>
      <c r="BY133" s="128">
        <v>79046000</v>
      </c>
      <c r="BZ133" s="128">
        <v>97936000</v>
      </c>
      <c r="CA133" s="128">
        <v>1204330000</v>
      </c>
      <c r="CB133" s="128">
        <v>1144736000</v>
      </c>
      <c r="CC133" s="128">
        <v>1192680000</v>
      </c>
      <c r="CD133" s="128">
        <v>1269396000</v>
      </c>
      <c r="CE133" s="128">
        <v>260176000</v>
      </c>
      <c r="CF133" s="128">
        <v>266284000</v>
      </c>
      <c r="CG133" s="128">
        <v>241670000</v>
      </c>
      <c r="CH133" s="128">
        <v>271064000</v>
      </c>
      <c r="CI133" s="128">
        <v>558835000</v>
      </c>
      <c r="CJ133" s="128">
        <v>509031000</v>
      </c>
      <c r="CK133" s="128">
        <v>498149000</v>
      </c>
      <c r="CL133" s="128">
        <v>587125000</v>
      </c>
      <c r="CM133" s="128">
        <v>35346000</v>
      </c>
      <c r="CN133" s="128">
        <v>56362000</v>
      </c>
      <c r="CO133" s="128">
        <v>38532000</v>
      </c>
      <c r="CP133" s="128">
        <v>45732000</v>
      </c>
      <c r="CQ133" s="128">
        <v>331174000</v>
      </c>
      <c r="CR133" s="128">
        <v>278603000</v>
      </c>
      <c r="CS133" s="128">
        <v>393940000</v>
      </c>
      <c r="CT133" s="128">
        <v>349144000</v>
      </c>
      <c r="CU133" s="128">
        <v>25818000</v>
      </c>
      <c r="CV133" s="128">
        <v>27439000</v>
      </c>
      <c r="CW133" s="125" t="s">
        <v>340</v>
      </c>
      <c r="CX133" s="125" t="s">
        <v>340</v>
      </c>
      <c r="CY133" s="128">
        <v>38445000</v>
      </c>
      <c r="CZ133" s="128">
        <v>43046000</v>
      </c>
      <c r="DA133" s="128">
        <v>43569000</v>
      </c>
      <c r="DB133" s="128">
        <v>101710000</v>
      </c>
      <c r="DC133" s="128">
        <v>1749461000</v>
      </c>
      <c r="DD133" s="128">
        <v>1738724000</v>
      </c>
      <c r="DE133" s="128">
        <v>1803435000</v>
      </c>
      <c r="DF133" s="128">
        <v>1838945000</v>
      </c>
      <c r="DG133" s="16">
        <f t="shared" si="89"/>
        <v>1793025000</v>
      </c>
      <c r="DH133" s="16">
        <f t="shared" si="90"/>
        <v>-1303152000</v>
      </c>
      <c r="DI133" s="16">
        <f t="shared" si="91"/>
        <v>-330391000</v>
      </c>
      <c r="DJ133" s="16">
        <f t="shared" si="92"/>
        <v>-65060000</v>
      </c>
      <c r="DK133" s="16">
        <f t="shared" si="93"/>
        <v>94422000</v>
      </c>
      <c r="DL133" s="57">
        <f t="shared" si="94"/>
        <v>5.2660726983728617E-2</v>
      </c>
      <c r="DM133" s="57">
        <f t="shared" si="95"/>
        <v>5.5588033224950151E-2</v>
      </c>
      <c r="DN133" s="58">
        <f t="shared" si="96"/>
        <v>0</v>
      </c>
      <c r="DO133" s="16">
        <f t="shared" si="97"/>
        <v>263230000</v>
      </c>
      <c r="DP133" s="16">
        <f t="shared" si="98"/>
        <v>40745500</v>
      </c>
      <c r="DQ133" s="61"/>
      <c r="DR133" s="62">
        <f t="shared" si="99"/>
        <v>1435826000</v>
      </c>
      <c r="DS133" s="62">
        <f t="shared" si="100"/>
        <v>-1100564000</v>
      </c>
      <c r="DT133" s="62">
        <f t="shared" si="101"/>
        <v>-317590000</v>
      </c>
      <c r="DU133" s="62">
        <f t="shared" si="102"/>
        <v>-70376000</v>
      </c>
      <c r="DV133" s="62">
        <f t="shared" si="103"/>
        <v>-52704000</v>
      </c>
      <c r="DW133" s="63">
        <f t="shared" si="104"/>
        <v>-3.6706397571850631E-2</v>
      </c>
      <c r="DX133" s="63">
        <f t="shared" si="105"/>
        <v>-3.5406743565799814E-2</v>
      </c>
      <c r="DY133" s="64">
        <f t="shared" si="106"/>
        <v>0</v>
      </c>
      <c r="DZ133" s="64">
        <f t="shared" si="107"/>
        <v>253977000</v>
      </c>
      <c r="EA133" s="64">
        <f t="shared" si="108"/>
        <v>43307500</v>
      </c>
      <c r="EB133" s="61"/>
      <c r="EC133" s="64">
        <f t="shared" si="109"/>
        <v>1353099000</v>
      </c>
      <c r="ED133" s="64">
        <f t="shared" si="110"/>
        <v>-944359000</v>
      </c>
      <c r="EE133" s="64">
        <f t="shared" si="111"/>
        <v>-267711000</v>
      </c>
      <c r="EF133" s="64">
        <f t="shared" si="112"/>
        <v>-59991000</v>
      </c>
      <c r="EG133" s="64">
        <f t="shared" si="113"/>
        <v>81038000</v>
      </c>
      <c r="EH133" s="63">
        <f t="shared" si="114"/>
        <v>5.989066579755066E-2</v>
      </c>
      <c r="EI133" s="57">
        <f t="shared" si="115"/>
        <v>6.3706064410433152E-2</v>
      </c>
      <c r="EJ133" s="64">
        <f t="shared" si="116"/>
        <v>0</v>
      </c>
      <c r="EK133" s="64">
        <f t="shared" si="117"/>
        <v>256367000</v>
      </c>
      <c r="EL133" s="64">
        <f t="shared" si="118"/>
        <v>72639500</v>
      </c>
      <c r="EM133" s="61"/>
      <c r="EN133" s="66">
        <f t="shared" si="119"/>
        <v>1527316666.6666667</v>
      </c>
      <c r="EO133" s="66">
        <f t="shared" si="119"/>
        <v>-1116025000</v>
      </c>
      <c r="EP133" s="66">
        <f t="shared" si="119"/>
        <v>-305230666.66666669</v>
      </c>
      <c r="EQ133" s="66">
        <f t="shared" si="119"/>
        <v>-65142333.333333336</v>
      </c>
      <c r="ER133" s="66">
        <f t="shared" si="120"/>
        <v>40918666.666666724</v>
      </c>
      <c r="ES133" s="63">
        <f t="shared" si="121"/>
        <v>2.6791213348028715E-2</v>
      </c>
      <c r="ET133" s="67">
        <f t="shared" si="122"/>
        <v>2.7528741741220539E-2</v>
      </c>
      <c r="EU133" s="66">
        <f t="shared" si="123"/>
        <v>0</v>
      </c>
      <c r="EV133" s="66">
        <f t="shared" si="124"/>
        <v>257858000</v>
      </c>
      <c r="EW133" s="66">
        <f t="shared" si="124"/>
        <v>52230833.333333336</v>
      </c>
      <c r="EX133" s="70"/>
      <c r="EY133" s="71" t="str">
        <f t="shared" si="125"/>
        <v>完整</v>
      </c>
      <c r="EZ133" s="71" t="str">
        <f t="shared" si="126"/>
        <v>完整</v>
      </c>
      <c r="FA133" s="71" t="str">
        <f t="shared" si="127"/>
        <v>完整</v>
      </c>
      <c r="FB133" s="71" t="str">
        <f t="shared" si="128"/>
        <v>选择</v>
      </c>
      <c r="FC133" s="71" t="str">
        <f t="shared" si="129"/>
        <v>选择</v>
      </c>
    </row>
    <row r="134" spans="1:217" s="3" customFormat="1" ht="12.75" customHeight="1" x14ac:dyDescent="0.3">
      <c r="A134" s="28" t="s">
        <v>298</v>
      </c>
      <c r="B134" s="134" t="str">
        <f t="shared" si="87"/>
        <v>PROSPEROUS FUTURE HOLDINGS LIMITED</v>
      </c>
      <c r="C134" s="29" t="s">
        <v>328</v>
      </c>
      <c r="D134" s="135" t="s">
        <v>311</v>
      </c>
      <c r="E134" s="75"/>
      <c r="G134" s="29"/>
      <c r="H134" s="31" t="str">
        <f t="shared" si="88"/>
        <v xml:space="preserve"> </v>
      </c>
      <c r="I134" s="29"/>
      <c r="J134" s="29" t="str">
        <f>VLOOKUP(Z:Z,'[1]AP 2022'!FD133:FF181,2,FALSE)</f>
        <v>exclude</v>
      </c>
      <c r="K134" s="47" t="str">
        <f>VLOOKUP(Z:Z,'[1]AP 2022'!FD133:FF181,3,0)</f>
        <v>Consecutive loss</v>
      </c>
      <c r="L134" s="48"/>
      <c r="M134" s="125" t="s">
        <v>1334</v>
      </c>
      <c r="N134" s="125" t="s">
        <v>1335</v>
      </c>
      <c r="O134" s="125" t="s">
        <v>331</v>
      </c>
      <c r="P134" s="124"/>
      <c r="Q134" s="125" t="s">
        <v>1067</v>
      </c>
      <c r="R134" s="125" t="s">
        <v>1322</v>
      </c>
      <c r="S134" s="125" t="s">
        <v>1336</v>
      </c>
      <c r="T134" s="125" t="s">
        <v>1337</v>
      </c>
      <c r="U134" s="125" t="s">
        <v>315</v>
      </c>
      <c r="V134" s="125" t="s">
        <v>1338</v>
      </c>
      <c r="W134" s="125" t="s">
        <v>1339</v>
      </c>
      <c r="X134" s="125" t="s">
        <v>1340</v>
      </c>
      <c r="Y134" s="125" t="s">
        <v>1341</v>
      </c>
      <c r="Z134" s="125" t="s">
        <v>1342</v>
      </c>
      <c r="AA134" s="128">
        <v>925534000</v>
      </c>
      <c r="AB134" s="128">
        <v>1237280000</v>
      </c>
      <c r="AC134" s="128">
        <v>1418047064.0120699</v>
      </c>
      <c r="AD134" s="128">
        <v>940819374.53141999</v>
      </c>
      <c r="AE134" s="128">
        <v>904270000</v>
      </c>
      <c r="AF134" s="128">
        <v>1217138000</v>
      </c>
      <c r="AG134" s="128">
        <v>1394024855.3649399</v>
      </c>
      <c r="AH134" s="128">
        <v>932621124.76117003</v>
      </c>
      <c r="AI134" s="125" t="s">
        <v>340</v>
      </c>
      <c r="AJ134" s="125" t="s">
        <v>340</v>
      </c>
      <c r="AK134" s="125" t="s">
        <v>340</v>
      </c>
      <c r="AL134" s="125" t="s">
        <v>340</v>
      </c>
      <c r="AM134" s="128">
        <v>904270000</v>
      </c>
      <c r="AN134" s="128">
        <v>1217138000</v>
      </c>
      <c r="AO134" s="128">
        <v>1394024855.3649399</v>
      </c>
      <c r="AP134" s="128">
        <v>932621124.76117003</v>
      </c>
      <c r="AQ134" s="128">
        <v>21264000</v>
      </c>
      <c r="AR134" s="128">
        <v>20142000</v>
      </c>
      <c r="AS134" s="128">
        <v>24022208.647137001</v>
      </c>
      <c r="AT134" s="128">
        <v>8198249.77024977</v>
      </c>
      <c r="AU134" s="128">
        <v>-703551000</v>
      </c>
      <c r="AV134" s="128">
        <v>-954852000</v>
      </c>
      <c r="AW134" s="128">
        <v>-1064729112.08705</v>
      </c>
      <c r="AX134" s="128">
        <v>-745963828.70744503</v>
      </c>
      <c r="AY134" s="128">
        <v>0</v>
      </c>
      <c r="AZ134" s="128">
        <v>0</v>
      </c>
      <c r="BA134" s="128">
        <v>-45638399.952492498</v>
      </c>
      <c r="BB134" s="128">
        <v>-24778641.5364278</v>
      </c>
      <c r="BC134" s="128">
        <v>-273417000</v>
      </c>
      <c r="BD134" s="128">
        <v>-348736000</v>
      </c>
      <c r="BE134" s="128">
        <v>-259826144.93073899</v>
      </c>
      <c r="BF134" s="128">
        <v>-203494022.437516</v>
      </c>
      <c r="BG134" s="128">
        <v>-51434000</v>
      </c>
      <c r="BH134" s="128">
        <v>-66308000</v>
      </c>
      <c r="BI134" s="128">
        <v>47853407.041795403</v>
      </c>
      <c r="BJ134" s="128">
        <v>-33417118.149968602</v>
      </c>
      <c r="BK134" s="128">
        <v>-21840000</v>
      </c>
      <c r="BL134" s="128">
        <v>-13765000</v>
      </c>
      <c r="BM134" s="128">
        <v>-31040945.6264171</v>
      </c>
      <c r="BN134" s="128">
        <v>-40319206.353769198</v>
      </c>
      <c r="BO134" s="128">
        <v>-21165000</v>
      </c>
      <c r="BP134" s="128">
        <v>-13765000</v>
      </c>
      <c r="BQ134" s="128">
        <v>-26775840.920448199</v>
      </c>
      <c r="BR134" s="128">
        <v>-37194153.015571699</v>
      </c>
      <c r="BS134" s="128">
        <v>-675000</v>
      </c>
      <c r="BT134" s="128">
        <v>0</v>
      </c>
      <c r="BU134" s="128">
        <v>-4265104.7059688699</v>
      </c>
      <c r="BV134" s="128">
        <v>-3125053.3381974399</v>
      </c>
      <c r="BW134" s="128">
        <v>-88857000</v>
      </c>
      <c r="BX134" s="128">
        <v>-104891000</v>
      </c>
      <c r="BY134" s="128">
        <v>-40229606.529818699</v>
      </c>
      <c r="BZ134" s="128">
        <v>-53939490.535691701</v>
      </c>
      <c r="CA134" s="128">
        <v>709814000</v>
      </c>
      <c r="CB134" s="128">
        <v>1081337000</v>
      </c>
      <c r="CC134" s="128">
        <v>1257107282.70929</v>
      </c>
      <c r="CD134" s="128">
        <v>843509181.19403303</v>
      </c>
      <c r="CE134" s="128">
        <v>40094000</v>
      </c>
      <c r="CF134" s="128">
        <v>103874000</v>
      </c>
      <c r="CG134" s="128">
        <v>57256806.1793501</v>
      </c>
      <c r="CH134" s="128">
        <v>45493822.134529002</v>
      </c>
      <c r="CI134" s="128">
        <v>136848000</v>
      </c>
      <c r="CJ134" s="128">
        <v>236536000</v>
      </c>
      <c r="CK134" s="128">
        <v>336542268.881244</v>
      </c>
      <c r="CL134" s="128">
        <v>108937754.49195699</v>
      </c>
      <c r="CM134" s="128">
        <v>44240000</v>
      </c>
      <c r="CN134" s="128">
        <v>52915000</v>
      </c>
      <c r="CO134" s="128">
        <v>153419197.511089</v>
      </c>
      <c r="CP134" s="128">
        <v>172809654.21096399</v>
      </c>
      <c r="CQ134" s="128">
        <v>471364000</v>
      </c>
      <c r="CR134" s="128">
        <v>595983000</v>
      </c>
      <c r="CS134" s="128">
        <v>648097786.66028702</v>
      </c>
      <c r="CT134" s="128">
        <v>480316462.98726398</v>
      </c>
      <c r="CU134" s="128">
        <v>164270000</v>
      </c>
      <c r="CV134" s="128">
        <v>150690000</v>
      </c>
      <c r="CW134" s="128">
        <v>89202974.306644604</v>
      </c>
      <c r="CX134" s="128">
        <v>18841708.892855201</v>
      </c>
      <c r="CY134" s="128">
        <v>13710000</v>
      </c>
      <c r="CZ134" s="128">
        <v>39663000</v>
      </c>
      <c r="DA134" s="128">
        <v>32098027.210010499</v>
      </c>
      <c r="DB134" s="128">
        <v>27833481.479366198</v>
      </c>
      <c r="DC134" s="128">
        <v>913430000</v>
      </c>
      <c r="DD134" s="128">
        <v>1536565000</v>
      </c>
      <c r="DE134" s="128">
        <v>1696388153.04333</v>
      </c>
      <c r="DF134" s="128">
        <v>1221886939.2485001</v>
      </c>
      <c r="DG134" s="16">
        <f t="shared" si="89"/>
        <v>904270000</v>
      </c>
      <c r="DH134" s="16">
        <f t="shared" si="90"/>
        <v>-703551000</v>
      </c>
      <c r="DI134" s="16">
        <f t="shared" si="91"/>
        <v>-273417000</v>
      </c>
      <c r="DJ134" s="16">
        <f t="shared" si="92"/>
        <v>-21840000</v>
      </c>
      <c r="DK134" s="16">
        <f t="shared" si="93"/>
        <v>-94538000</v>
      </c>
      <c r="DL134" s="57">
        <f t="shared" si="94"/>
        <v>-0.10454620854390835</v>
      </c>
      <c r="DM134" s="57">
        <f t="shared" si="95"/>
        <v>-9.4650823781948085E-2</v>
      </c>
      <c r="DN134" s="58">
        <f t="shared" si="96"/>
        <v>0</v>
      </c>
      <c r="DO134" s="16">
        <f t="shared" si="97"/>
        <v>71984000</v>
      </c>
      <c r="DP134" s="16">
        <f t="shared" si="98"/>
        <v>26686500</v>
      </c>
      <c r="DQ134" s="61"/>
      <c r="DR134" s="62">
        <f t="shared" si="99"/>
        <v>1217138000</v>
      </c>
      <c r="DS134" s="62">
        <f t="shared" si="100"/>
        <v>-954852000</v>
      </c>
      <c r="DT134" s="62">
        <f t="shared" si="101"/>
        <v>-348736000</v>
      </c>
      <c r="DU134" s="62">
        <f t="shared" si="102"/>
        <v>-13765000</v>
      </c>
      <c r="DV134" s="62">
        <f t="shared" si="103"/>
        <v>-100215000</v>
      </c>
      <c r="DW134" s="63">
        <f t="shared" si="104"/>
        <v>-8.2336596178904944E-2</v>
      </c>
      <c r="DX134" s="63">
        <f t="shared" si="105"/>
        <v>-7.6073003970841532E-2</v>
      </c>
      <c r="DY134" s="64">
        <f t="shared" si="106"/>
        <v>0</v>
      </c>
      <c r="DZ134" s="64">
        <f t="shared" si="107"/>
        <v>80565403.089675054</v>
      </c>
      <c r="EA134" s="64">
        <f t="shared" si="108"/>
        <v>35880513.605005249</v>
      </c>
      <c r="EB134" s="61"/>
      <c r="EC134" s="64">
        <f t="shared" si="109"/>
        <v>1394024855.3649399</v>
      </c>
      <c r="ED134" s="64">
        <f t="shared" si="110"/>
        <v>-1064729112.08705</v>
      </c>
      <c r="EE134" s="64">
        <f t="shared" si="111"/>
        <v>-305464544.88323146</v>
      </c>
      <c r="EF134" s="64">
        <f t="shared" si="112"/>
        <v>-31040945.6264171</v>
      </c>
      <c r="EG134" s="64">
        <f t="shared" si="113"/>
        <v>-7209747.2317585945</v>
      </c>
      <c r="EH134" s="63">
        <f t="shared" si="114"/>
        <v>-5.1718928855620473E-3</v>
      </c>
      <c r="EI134" s="57">
        <f t="shared" si="115"/>
        <v>-5.1452820379955279E-3</v>
      </c>
      <c r="EJ134" s="64">
        <f t="shared" si="116"/>
        <v>-45638399.952492498</v>
      </c>
      <c r="EK134" s="64">
        <f t="shared" si="117"/>
        <v>51375314.156939551</v>
      </c>
      <c r="EL134" s="64">
        <f t="shared" si="118"/>
        <v>29965754.344688348</v>
      </c>
      <c r="EM134" s="61"/>
      <c r="EN134" s="66">
        <f t="shared" si="119"/>
        <v>1171810951.7883132</v>
      </c>
      <c r="EO134" s="66">
        <f t="shared" si="119"/>
        <v>-907710704.02901661</v>
      </c>
      <c r="EP134" s="66">
        <f t="shared" si="119"/>
        <v>-309205848.29441047</v>
      </c>
      <c r="EQ134" s="66">
        <f t="shared" si="119"/>
        <v>-22215315.208805699</v>
      </c>
      <c r="ER134" s="66">
        <f t="shared" si="120"/>
        <v>-67320915.743919626</v>
      </c>
      <c r="ES134" s="63">
        <f t="shared" si="121"/>
        <v>-5.7450321351904469E-2</v>
      </c>
      <c r="ET134" s="67">
        <f t="shared" si="122"/>
        <v>-5.4329097255799881E-2</v>
      </c>
      <c r="EU134" s="66">
        <f t="shared" si="123"/>
        <v>15212799.984164165</v>
      </c>
      <c r="EV134" s="66">
        <f t="shared" si="124"/>
        <v>67974905.748871535</v>
      </c>
      <c r="EW134" s="66">
        <f t="shared" si="124"/>
        <v>30844255.983231198</v>
      </c>
      <c r="EX134" s="70"/>
      <c r="EY134" s="151" t="str">
        <f t="shared" si="125"/>
        <v>完整</v>
      </c>
      <c r="EZ134" s="151" t="str">
        <f t="shared" si="126"/>
        <v>完整</v>
      </c>
      <c r="FA134" s="151" t="str">
        <f t="shared" si="127"/>
        <v>完整</v>
      </c>
      <c r="FB134" s="151" t="str">
        <f t="shared" si="128"/>
        <v>选择</v>
      </c>
      <c r="FC134" s="151" t="str">
        <f t="shared" si="129"/>
        <v>删除</v>
      </c>
      <c r="FD134" s="72"/>
      <c r="FE134" s="72"/>
      <c r="FF134" s="72"/>
      <c r="FG134" s="72"/>
      <c r="FH134" s="72"/>
      <c r="FI134" s="72"/>
      <c r="FJ134" s="72"/>
      <c r="FK134" s="72"/>
      <c r="FL134" s="72"/>
      <c r="FM134" s="72"/>
      <c r="FN134" s="72"/>
      <c r="FO134" s="72"/>
      <c r="FP134" s="72"/>
      <c r="FQ134" s="72"/>
      <c r="FR134" s="72"/>
      <c r="FS134" s="72"/>
      <c r="FT134" s="72"/>
      <c r="FU134" s="72"/>
      <c r="FV134" s="72"/>
      <c r="FW134" s="72"/>
      <c r="FX134" s="72"/>
      <c r="FY134" s="72"/>
      <c r="FZ134" s="72"/>
      <c r="GA134" s="72"/>
      <c r="GB134" s="72"/>
      <c r="GC134" s="72"/>
      <c r="GD134" s="72"/>
      <c r="GE134" s="72"/>
      <c r="GF134" s="72"/>
      <c r="GG134" s="72"/>
      <c r="GH134" s="72"/>
      <c r="GI134" s="72"/>
      <c r="GJ134" s="72"/>
      <c r="GK134" s="72"/>
      <c r="GL134" s="72"/>
      <c r="GM134" s="72"/>
      <c r="GN134" s="72"/>
      <c r="GO134" s="72"/>
      <c r="GP134" s="72"/>
      <c r="GQ134" s="72"/>
      <c r="GR134" s="72"/>
      <c r="GS134" s="72"/>
      <c r="GT134" s="72"/>
      <c r="GU134" s="72"/>
      <c r="GV134" s="72"/>
      <c r="GW134" s="72"/>
      <c r="GX134" s="72"/>
      <c r="GY134" s="72"/>
      <c r="GZ134" s="72"/>
      <c r="HA134" s="72"/>
      <c r="HB134" s="72"/>
      <c r="HC134" s="72"/>
      <c r="HD134" s="72"/>
      <c r="HE134" s="72"/>
      <c r="HF134" s="72"/>
      <c r="HG134" s="72"/>
      <c r="HH134" s="72"/>
      <c r="HI134" s="72"/>
    </row>
    <row r="135" spans="1:217" s="3" customFormat="1" ht="12.75" customHeight="1" x14ac:dyDescent="0.25">
      <c r="A135" s="28" t="s">
        <v>299</v>
      </c>
      <c r="B135" s="134" t="str">
        <f t="shared" si="87"/>
        <v>TANTECH HOLDINGS LTD</v>
      </c>
      <c r="C135" s="29" t="s">
        <v>328</v>
      </c>
      <c r="D135" s="137" t="s">
        <v>313</v>
      </c>
      <c r="E135" s="35" t="s">
        <v>1343</v>
      </c>
      <c r="H135" s="31" t="str">
        <f t="shared" si="88"/>
        <v xml:space="preserve"> </v>
      </c>
      <c r="I135" s="29"/>
      <c r="J135" s="29" t="e">
        <f>VLOOKUP(Z:Z,'[1]AP 2022'!FD134:FF181,2,FALSE)</f>
        <v>#N/A</v>
      </c>
      <c r="K135" s="47" t="e">
        <f>VLOOKUP(Z:Z,'[1]AP 2022'!FD134:FF181,3,0)</f>
        <v>#N/A</v>
      </c>
      <c r="L135" s="48"/>
      <c r="M135" s="125" t="s">
        <v>1344</v>
      </c>
      <c r="N135" s="125" t="s">
        <v>1345</v>
      </c>
      <c r="O135" s="125" t="s">
        <v>413</v>
      </c>
      <c r="P135" s="142" t="s">
        <v>1346</v>
      </c>
      <c r="Q135" s="125" t="s">
        <v>423</v>
      </c>
      <c r="R135" s="125" t="s">
        <v>1347</v>
      </c>
      <c r="S135" s="125" t="s">
        <v>1348</v>
      </c>
      <c r="T135" s="125" t="s">
        <v>866</v>
      </c>
      <c r="U135" s="125" t="s">
        <v>321</v>
      </c>
      <c r="V135" s="125" t="s">
        <v>425</v>
      </c>
      <c r="W135" s="125" t="s">
        <v>1349</v>
      </c>
      <c r="X135" s="124"/>
      <c r="Y135" s="124"/>
      <c r="Z135" s="125" t="s">
        <v>1350</v>
      </c>
      <c r="AA135" s="128">
        <v>53490000</v>
      </c>
      <c r="AB135" s="128">
        <v>55264000</v>
      </c>
      <c r="AC135" s="128">
        <v>42284000</v>
      </c>
      <c r="AD135" s="128">
        <v>49231000</v>
      </c>
      <c r="AE135" s="128">
        <v>53490000</v>
      </c>
      <c r="AF135" s="128">
        <v>55264000</v>
      </c>
      <c r="AG135" s="128">
        <v>42284000</v>
      </c>
      <c r="AH135" s="128">
        <v>49231000</v>
      </c>
      <c r="AI135" s="125" t="s">
        <v>340</v>
      </c>
      <c r="AJ135" s="125" t="s">
        <v>340</v>
      </c>
      <c r="AK135" s="125" t="s">
        <v>340</v>
      </c>
      <c r="AL135" s="125" t="s">
        <v>340</v>
      </c>
      <c r="AM135" s="128">
        <v>53490000</v>
      </c>
      <c r="AN135" s="128">
        <v>55264000</v>
      </c>
      <c r="AO135" s="128">
        <v>42284000</v>
      </c>
      <c r="AP135" s="128">
        <v>49231000</v>
      </c>
      <c r="AQ135" s="125" t="s">
        <v>340</v>
      </c>
      <c r="AR135" s="125" t="s">
        <v>340</v>
      </c>
      <c r="AS135" s="125" t="s">
        <v>340</v>
      </c>
      <c r="AT135" s="125" t="s">
        <v>340</v>
      </c>
      <c r="AU135" s="128">
        <v>-43045000</v>
      </c>
      <c r="AV135" s="128">
        <v>-43916000</v>
      </c>
      <c r="AW135" s="128">
        <v>-36930000</v>
      </c>
      <c r="AX135" s="128">
        <v>-42349000</v>
      </c>
      <c r="AY135" s="128">
        <v>-228000</v>
      </c>
      <c r="AZ135" s="128">
        <v>-8053000</v>
      </c>
      <c r="BA135" s="128">
        <v>-891000</v>
      </c>
      <c r="BB135" s="128">
        <v>-327000</v>
      </c>
      <c r="BC135" s="128">
        <v>-5292000</v>
      </c>
      <c r="BD135" s="128">
        <v>-10893000</v>
      </c>
      <c r="BE135" s="128">
        <v>-1932000</v>
      </c>
      <c r="BF135" s="128">
        <v>-4975000</v>
      </c>
      <c r="BG135" s="128">
        <v>4925000</v>
      </c>
      <c r="BH135" s="128">
        <v>-7598000</v>
      </c>
      <c r="BI135" s="128">
        <v>2531000</v>
      </c>
      <c r="BJ135" s="128">
        <v>1580000</v>
      </c>
      <c r="BK135" s="128">
        <v>-353000</v>
      </c>
      <c r="BL135" s="128">
        <v>-916000</v>
      </c>
      <c r="BM135" s="128">
        <v>-12876000</v>
      </c>
      <c r="BN135" s="128">
        <v>-10488000</v>
      </c>
      <c r="BO135" s="128">
        <v>-345000</v>
      </c>
      <c r="BP135" s="128">
        <v>-444000</v>
      </c>
      <c r="BQ135" s="128">
        <v>-436000</v>
      </c>
      <c r="BR135" s="128">
        <v>-463000</v>
      </c>
      <c r="BS135" s="128">
        <v>-8000</v>
      </c>
      <c r="BT135" s="128">
        <v>-472000</v>
      </c>
      <c r="BU135" s="128">
        <v>-12440000</v>
      </c>
      <c r="BV135" s="128">
        <v>-10025000</v>
      </c>
      <c r="BW135" s="128">
        <v>3021000</v>
      </c>
      <c r="BX135" s="128">
        <v>-8358000</v>
      </c>
      <c r="BY135" s="128">
        <v>-6520000</v>
      </c>
      <c r="BZ135" s="128">
        <v>-6357000</v>
      </c>
      <c r="CA135" s="128">
        <v>106756000</v>
      </c>
      <c r="CB135" s="128">
        <v>105808000</v>
      </c>
      <c r="CC135" s="128">
        <v>81901000</v>
      </c>
      <c r="CD135" s="128">
        <v>68162000</v>
      </c>
      <c r="CE135" s="128">
        <v>899000</v>
      </c>
      <c r="CF135" s="128">
        <v>1070000</v>
      </c>
      <c r="CG135" s="128">
        <v>671000</v>
      </c>
      <c r="CH135" s="128">
        <v>596000</v>
      </c>
      <c r="CI135" s="128">
        <v>40174000</v>
      </c>
      <c r="CJ135" s="128">
        <v>44963000</v>
      </c>
      <c r="CK135" s="128">
        <v>34411000</v>
      </c>
      <c r="CL135" s="128">
        <v>39353000</v>
      </c>
      <c r="CM135" s="128">
        <v>43864000</v>
      </c>
      <c r="CN135" s="128">
        <v>10354000</v>
      </c>
      <c r="CO135" s="128">
        <v>2580000</v>
      </c>
      <c r="CP135" s="128">
        <v>2040000</v>
      </c>
      <c r="CQ135" s="128">
        <v>18982000</v>
      </c>
      <c r="CR135" s="128">
        <v>43567000</v>
      </c>
      <c r="CS135" s="128">
        <v>37339000</v>
      </c>
      <c r="CT135" s="128">
        <v>12646000</v>
      </c>
      <c r="CU135" s="128">
        <v>5000</v>
      </c>
      <c r="CV135" s="128">
        <v>423000</v>
      </c>
      <c r="CW135" s="128">
        <v>220000</v>
      </c>
      <c r="CX135" s="128">
        <v>206000</v>
      </c>
      <c r="CY135" s="128">
        <v>427000</v>
      </c>
      <c r="CZ135" s="128">
        <v>393000</v>
      </c>
      <c r="DA135" s="128">
        <v>172000</v>
      </c>
      <c r="DB135" s="128">
        <v>173000</v>
      </c>
      <c r="DC135" s="128">
        <v>134132000</v>
      </c>
      <c r="DD135" s="128">
        <v>134527000</v>
      </c>
      <c r="DE135" s="128">
        <v>116295000</v>
      </c>
      <c r="DF135" s="128">
        <v>115451000</v>
      </c>
      <c r="DG135" s="16">
        <f t="shared" si="89"/>
        <v>53490000</v>
      </c>
      <c r="DH135" s="16">
        <f t="shared" si="90"/>
        <v>-43045000</v>
      </c>
      <c r="DI135" s="16">
        <f t="shared" si="91"/>
        <v>-5520000</v>
      </c>
      <c r="DJ135" s="16">
        <f t="shared" si="92"/>
        <v>-353000</v>
      </c>
      <c r="DK135" s="16">
        <f t="shared" si="93"/>
        <v>4572000</v>
      </c>
      <c r="DL135" s="57">
        <f t="shared" si="94"/>
        <v>8.5473920358945604E-2</v>
      </c>
      <c r="DM135" s="57">
        <f t="shared" si="95"/>
        <v>9.3462529130381458E-2</v>
      </c>
      <c r="DN135" s="58">
        <f t="shared" si="96"/>
        <v>-228000</v>
      </c>
      <c r="DO135" s="16">
        <f t="shared" si="97"/>
        <v>984500</v>
      </c>
      <c r="DP135" s="16">
        <f t="shared" si="98"/>
        <v>410000</v>
      </c>
      <c r="DQ135" s="61"/>
      <c r="DR135" s="62">
        <f t="shared" si="99"/>
        <v>55264000</v>
      </c>
      <c r="DS135" s="62">
        <f t="shared" si="100"/>
        <v>-43916000</v>
      </c>
      <c r="DT135" s="62">
        <f t="shared" si="101"/>
        <v>-18946000</v>
      </c>
      <c r="DU135" s="62">
        <f t="shared" si="102"/>
        <v>-916000</v>
      </c>
      <c r="DV135" s="62">
        <f t="shared" si="103"/>
        <v>-8514000</v>
      </c>
      <c r="DW135" s="63">
        <f t="shared" si="104"/>
        <v>-0.15406050955414013</v>
      </c>
      <c r="DX135" s="63">
        <f t="shared" si="105"/>
        <v>-0.13349430838220075</v>
      </c>
      <c r="DY135" s="64">
        <f t="shared" si="106"/>
        <v>-8053000</v>
      </c>
      <c r="DZ135" s="64">
        <f t="shared" si="107"/>
        <v>870500</v>
      </c>
      <c r="EA135" s="64">
        <f t="shared" si="108"/>
        <v>282500</v>
      </c>
      <c r="EB135" s="61"/>
      <c r="EC135" s="64">
        <f t="shared" si="109"/>
        <v>42284000</v>
      </c>
      <c r="ED135" s="64">
        <f t="shared" si="110"/>
        <v>-36930000</v>
      </c>
      <c r="EE135" s="64">
        <f t="shared" si="111"/>
        <v>-2823000</v>
      </c>
      <c r="EF135" s="64">
        <f t="shared" si="112"/>
        <v>-12876000</v>
      </c>
      <c r="EG135" s="64">
        <f t="shared" si="113"/>
        <v>-10345000</v>
      </c>
      <c r="EH135" s="63">
        <f t="shared" si="114"/>
        <v>-0.24465518872386718</v>
      </c>
      <c r="EI135" s="57">
        <f t="shared" si="115"/>
        <v>-0.19656463166695168</v>
      </c>
      <c r="EJ135" s="64">
        <f t="shared" si="116"/>
        <v>-891000</v>
      </c>
      <c r="EK135" s="64">
        <f t="shared" si="117"/>
        <v>633500</v>
      </c>
      <c r="EL135" s="64">
        <f t="shared" si="118"/>
        <v>172500</v>
      </c>
      <c r="EM135" s="61"/>
      <c r="EN135" s="66">
        <f t="shared" si="119"/>
        <v>50346000</v>
      </c>
      <c r="EO135" s="66">
        <f t="shared" si="119"/>
        <v>-41297000</v>
      </c>
      <c r="EP135" s="66">
        <f t="shared" si="119"/>
        <v>-9096333.333333334</v>
      </c>
      <c r="EQ135" s="66">
        <f t="shared" si="119"/>
        <v>-4715000</v>
      </c>
      <c r="ER135" s="66">
        <f t="shared" si="120"/>
        <v>-4762333.333333334</v>
      </c>
      <c r="ES135" s="63">
        <f t="shared" si="121"/>
        <v>-9.459208940796357E-2</v>
      </c>
      <c r="ET135" s="67">
        <f t="shared" si="122"/>
        <v>-8.6417662180553467E-2</v>
      </c>
      <c r="EU135" s="66">
        <f t="shared" si="123"/>
        <v>3057333.3333333335</v>
      </c>
      <c r="EV135" s="66">
        <f t="shared" si="124"/>
        <v>829500</v>
      </c>
      <c r="EW135" s="66">
        <f t="shared" si="124"/>
        <v>288333.33333333331</v>
      </c>
      <c r="EX135" s="70"/>
      <c r="EY135" s="71" t="str">
        <f t="shared" si="125"/>
        <v>完整</v>
      </c>
      <c r="EZ135" s="71" t="str">
        <f t="shared" si="126"/>
        <v>完整</v>
      </c>
      <c r="FA135" s="71" t="str">
        <f t="shared" si="127"/>
        <v>完整</v>
      </c>
      <c r="FB135" s="71" t="str">
        <f t="shared" si="128"/>
        <v>选择</v>
      </c>
      <c r="FC135" s="71" t="str">
        <f t="shared" si="129"/>
        <v>选择</v>
      </c>
      <c r="FD135" s="72"/>
      <c r="FE135" s="72"/>
      <c r="FF135" s="72"/>
      <c r="FG135" s="72"/>
      <c r="FH135" s="72"/>
      <c r="FI135" s="72"/>
      <c r="FJ135" s="72"/>
      <c r="FK135" s="72"/>
      <c r="FL135" s="72"/>
      <c r="FM135" s="72"/>
      <c r="FN135" s="72"/>
      <c r="FO135" s="72"/>
      <c r="FP135" s="72"/>
      <c r="FQ135" s="72"/>
      <c r="FR135" s="72"/>
      <c r="FS135" s="72"/>
      <c r="FT135" s="72"/>
      <c r="FU135" s="72"/>
      <c r="FV135" s="72"/>
      <c r="FW135" s="72"/>
      <c r="FX135" s="72"/>
      <c r="FY135" s="72"/>
      <c r="FZ135" s="72"/>
      <c r="GA135" s="72"/>
      <c r="GB135" s="72"/>
      <c r="GC135" s="72"/>
      <c r="GD135" s="72"/>
      <c r="GE135" s="72"/>
      <c r="GF135" s="72"/>
      <c r="GG135" s="72"/>
      <c r="GH135" s="72"/>
      <c r="GI135" s="72"/>
      <c r="GJ135" s="72"/>
      <c r="GK135" s="72"/>
      <c r="GL135" s="72"/>
      <c r="GM135" s="72"/>
      <c r="GN135" s="72"/>
      <c r="GO135" s="72"/>
      <c r="GP135" s="72"/>
      <c r="GQ135" s="72"/>
      <c r="GR135" s="72"/>
      <c r="GS135" s="72"/>
      <c r="GT135" s="72"/>
      <c r="GU135" s="72"/>
      <c r="GV135" s="72"/>
      <c r="GW135" s="72"/>
      <c r="GX135" s="72"/>
      <c r="GY135" s="72"/>
      <c r="GZ135" s="72"/>
      <c r="HA135" s="72"/>
      <c r="HB135" s="72"/>
      <c r="HC135" s="72"/>
      <c r="HD135" s="72"/>
      <c r="HE135" s="72"/>
      <c r="HF135" s="72"/>
      <c r="HG135" s="72"/>
      <c r="HH135" s="72"/>
      <c r="HI135" s="72"/>
    </row>
    <row r="136" spans="1:217" s="3" customFormat="1" ht="12.75" customHeight="1" x14ac:dyDescent="0.25">
      <c r="A136" s="28" t="s">
        <v>300</v>
      </c>
      <c r="B136" s="134" t="str">
        <f t="shared" si="87"/>
        <v>NATURAL BEAUTY BIO-TECHNOLOGY LIMITED</v>
      </c>
      <c r="C136" s="29" t="s">
        <v>328</v>
      </c>
      <c r="D136" s="136" t="s">
        <v>309</v>
      </c>
      <c r="E136" s="76"/>
      <c r="F136" s="34"/>
      <c r="H136" s="31" t="str">
        <f t="shared" si="88"/>
        <v xml:space="preserve"> </v>
      </c>
      <c r="I136" s="29"/>
      <c r="J136" s="29" t="str">
        <f>VLOOKUP(Z:Z,'[1]AP 2022'!FD135:FF181,2,FALSE)</f>
        <v>exclude</v>
      </c>
      <c r="K136" s="47" t="str">
        <f>VLOOKUP(Z:Z,'[1]AP 2022'!FD135:FF181,3,0)</f>
        <v>Independence(A+, A, A-, U)</v>
      </c>
      <c r="L136" s="48"/>
      <c r="M136" s="125" t="s">
        <v>1351</v>
      </c>
      <c r="N136" s="125" t="s">
        <v>1352</v>
      </c>
      <c r="O136" s="125" t="s">
        <v>413</v>
      </c>
      <c r="P136" s="125" t="s">
        <v>1353</v>
      </c>
      <c r="Q136" s="125" t="s">
        <v>1067</v>
      </c>
      <c r="R136" s="125" t="s">
        <v>1322</v>
      </c>
      <c r="S136" s="125" t="s">
        <v>1354</v>
      </c>
      <c r="T136" s="125" t="s">
        <v>365</v>
      </c>
      <c r="U136" s="125" t="s">
        <v>321</v>
      </c>
      <c r="V136" s="125" t="s">
        <v>1355</v>
      </c>
      <c r="W136" s="125" t="s">
        <v>1356</v>
      </c>
      <c r="X136" s="124"/>
      <c r="Y136" s="125" t="s">
        <v>1357</v>
      </c>
      <c r="Z136" s="125" t="s">
        <v>1358</v>
      </c>
      <c r="AA136" s="128">
        <v>344150000</v>
      </c>
      <c r="AB136" s="128">
        <v>494057000</v>
      </c>
      <c r="AC136" s="128">
        <v>422027000</v>
      </c>
      <c r="AD136" s="128">
        <v>442652000</v>
      </c>
      <c r="AE136" s="128">
        <v>335880000</v>
      </c>
      <c r="AF136" s="128">
        <v>487810000</v>
      </c>
      <c r="AG136" s="128">
        <v>410673000</v>
      </c>
      <c r="AH136" s="128">
        <v>438413000</v>
      </c>
      <c r="AI136" s="125" t="s">
        <v>340</v>
      </c>
      <c r="AJ136" s="125" t="s">
        <v>340</v>
      </c>
      <c r="AK136" s="125" t="s">
        <v>340</v>
      </c>
      <c r="AL136" s="125" t="s">
        <v>340</v>
      </c>
      <c r="AM136" s="128">
        <v>335880000</v>
      </c>
      <c r="AN136" s="128">
        <v>487810000</v>
      </c>
      <c r="AO136" s="128">
        <v>410673000</v>
      </c>
      <c r="AP136" s="128">
        <v>438413000</v>
      </c>
      <c r="AQ136" s="128">
        <v>8270000</v>
      </c>
      <c r="AR136" s="128">
        <v>6247000</v>
      </c>
      <c r="AS136" s="128">
        <v>11354000</v>
      </c>
      <c r="AT136" s="128">
        <v>4239000</v>
      </c>
      <c r="AU136" s="128">
        <v>-108023000</v>
      </c>
      <c r="AV136" s="128">
        <v>-140057000</v>
      </c>
      <c r="AW136" s="128">
        <v>-127383000</v>
      </c>
      <c r="AX136" s="128">
        <v>-130415000</v>
      </c>
      <c r="AY136" s="128">
        <v>-4428000</v>
      </c>
      <c r="AZ136" s="128">
        <v>-6804000</v>
      </c>
      <c r="BA136" s="128">
        <v>-5605000</v>
      </c>
      <c r="BB136" s="128">
        <v>-5051000</v>
      </c>
      <c r="BC136" s="128">
        <v>-210279000</v>
      </c>
      <c r="BD136" s="128">
        <v>-267613000</v>
      </c>
      <c r="BE136" s="128">
        <v>-236372000</v>
      </c>
      <c r="BF136" s="128">
        <v>-223889000</v>
      </c>
      <c r="BG136" s="128">
        <v>21420000</v>
      </c>
      <c r="BH136" s="128">
        <v>79583000</v>
      </c>
      <c r="BI136" s="128">
        <v>52667000</v>
      </c>
      <c r="BJ136" s="128">
        <v>83297000</v>
      </c>
      <c r="BK136" s="128">
        <v>-36432000</v>
      </c>
      <c r="BL136" s="128">
        <v>-34951000</v>
      </c>
      <c r="BM136" s="128">
        <v>-37260000</v>
      </c>
      <c r="BN136" s="128">
        <v>-34441000</v>
      </c>
      <c r="BO136" s="128">
        <v>-33876000</v>
      </c>
      <c r="BP136" s="128">
        <v>-33567000</v>
      </c>
      <c r="BQ136" s="128">
        <v>-35463000</v>
      </c>
      <c r="BR136" s="128">
        <v>-29084000</v>
      </c>
      <c r="BS136" s="128">
        <v>-2556000</v>
      </c>
      <c r="BT136" s="128">
        <v>-1384000</v>
      </c>
      <c r="BU136" s="128">
        <v>-1797000</v>
      </c>
      <c r="BV136" s="128">
        <v>-5357000</v>
      </c>
      <c r="BW136" s="128">
        <v>-30472000</v>
      </c>
      <c r="BX136" s="128">
        <v>35264000</v>
      </c>
      <c r="BY136" s="128">
        <v>7758000</v>
      </c>
      <c r="BZ136" s="128">
        <v>21908000</v>
      </c>
      <c r="CA136" s="128">
        <v>364900000</v>
      </c>
      <c r="CB136" s="128">
        <v>450331000</v>
      </c>
      <c r="CC136" s="128">
        <v>400481000</v>
      </c>
      <c r="CD136" s="128">
        <v>359928000</v>
      </c>
      <c r="CE136" s="128">
        <v>98831000</v>
      </c>
      <c r="CF136" s="128">
        <v>120961000</v>
      </c>
      <c r="CG136" s="128">
        <v>103280000</v>
      </c>
      <c r="CH136" s="128">
        <v>85492000</v>
      </c>
      <c r="CI136" s="128">
        <v>75799000</v>
      </c>
      <c r="CJ136" s="128">
        <v>115157000</v>
      </c>
      <c r="CK136" s="128">
        <v>113712000</v>
      </c>
      <c r="CL136" s="128">
        <v>98816000</v>
      </c>
      <c r="CM136" s="128">
        <v>5354000</v>
      </c>
      <c r="CN136" s="128">
        <v>5075000</v>
      </c>
      <c r="CO136" s="128">
        <v>5857000</v>
      </c>
      <c r="CP136" s="128">
        <v>5280000</v>
      </c>
      <c r="CQ136" s="128">
        <v>168609000</v>
      </c>
      <c r="CR136" s="128">
        <v>197082000</v>
      </c>
      <c r="CS136" s="128">
        <v>165606000</v>
      </c>
      <c r="CT136" s="128">
        <v>149111000</v>
      </c>
      <c r="CU136" s="125" t="s">
        <v>340</v>
      </c>
      <c r="CV136" s="128">
        <v>3745000</v>
      </c>
      <c r="CW136" s="128">
        <v>3628000</v>
      </c>
      <c r="CX136" s="128">
        <v>3415000</v>
      </c>
      <c r="CY136" s="128">
        <v>121074000</v>
      </c>
      <c r="CZ136" s="128">
        <v>293099000</v>
      </c>
      <c r="DA136" s="128">
        <v>254446000</v>
      </c>
      <c r="DB136" s="128">
        <v>196426000</v>
      </c>
      <c r="DC136" s="128">
        <v>872309000</v>
      </c>
      <c r="DD136" s="128">
        <v>930444000</v>
      </c>
      <c r="DE136" s="128">
        <v>831972000</v>
      </c>
      <c r="DF136" s="128">
        <v>757400000</v>
      </c>
      <c r="DG136" s="16">
        <f t="shared" si="89"/>
        <v>335880000</v>
      </c>
      <c r="DH136" s="16">
        <f t="shared" si="90"/>
        <v>-108023000</v>
      </c>
      <c r="DI136" s="16">
        <f t="shared" si="91"/>
        <v>-214707000</v>
      </c>
      <c r="DJ136" s="16">
        <f t="shared" si="92"/>
        <v>-36432000</v>
      </c>
      <c r="DK136" s="16">
        <f t="shared" si="93"/>
        <v>-23282000</v>
      </c>
      <c r="DL136" s="57">
        <f t="shared" si="94"/>
        <v>-6.9316422531856617E-2</v>
      </c>
      <c r="DM136" s="57">
        <f t="shared" si="95"/>
        <v>-6.4823116031205968E-2</v>
      </c>
      <c r="DN136" s="58">
        <f t="shared" si="96"/>
        <v>-4428000</v>
      </c>
      <c r="DO136" s="16">
        <f t="shared" si="97"/>
        <v>109896000</v>
      </c>
      <c r="DP136" s="16">
        <f t="shared" si="98"/>
        <v>207086500</v>
      </c>
      <c r="DQ136" s="61"/>
      <c r="DR136" s="62">
        <f t="shared" si="99"/>
        <v>487810000</v>
      </c>
      <c r="DS136" s="62">
        <f t="shared" si="100"/>
        <v>-140057000</v>
      </c>
      <c r="DT136" s="62">
        <f t="shared" si="101"/>
        <v>-274417000</v>
      </c>
      <c r="DU136" s="62">
        <f t="shared" si="102"/>
        <v>-34951000</v>
      </c>
      <c r="DV136" s="62">
        <f t="shared" si="103"/>
        <v>38385000</v>
      </c>
      <c r="DW136" s="63">
        <f t="shared" si="104"/>
        <v>7.86884237715504E-2</v>
      </c>
      <c r="DX136" s="63">
        <f t="shared" si="105"/>
        <v>8.540913389330812E-2</v>
      </c>
      <c r="DY136" s="64">
        <f t="shared" si="106"/>
        <v>-6804000</v>
      </c>
      <c r="DZ136" s="64">
        <f t="shared" si="107"/>
        <v>112120500</v>
      </c>
      <c r="EA136" s="64">
        <f t="shared" si="108"/>
        <v>273772500</v>
      </c>
      <c r="EB136" s="61"/>
      <c r="EC136" s="64">
        <f t="shared" si="109"/>
        <v>410673000</v>
      </c>
      <c r="ED136" s="64">
        <f t="shared" si="110"/>
        <v>-127383000</v>
      </c>
      <c r="EE136" s="64">
        <f t="shared" si="111"/>
        <v>-241977000</v>
      </c>
      <c r="EF136" s="64">
        <f t="shared" si="112"/>
        <v>-37260000</v>
      </c>
      <c r="EG136" s="64">
        <f t="shared" si="113"/>
        <v>4053000</v>
      </c>
      <c r="EH136" s="63">
        <f t="shared" si="114"/>
        <v>9.8691659787714311E-3</v>
      </c>
      <c r="EI136" s="57">
        <f t="shared" si="115"/>
        <v>9.9675372583739111E-3</v>
      </c>
      <c r="EJ136" s="64">
        <f t="shared" si="116"/>
        <v>-5605000</v>
      </c>
      <c r="EK136" s="64">
        <f t="shared" si="117"/>
        <v>94386000</v>
      </c>
      <c r="EL136" s="64">
        <f t="shared" si="118"/>
        <v>225436000</v>
      </c>
      <c r="EM136" s="61"/>
      <c r="EN136" s="66">
        <f t="shared" si="119"/>
        <v>411454333.33333331</v>
      </c>
      <c r="EO136" s="66">
        <f t="shared" si="119"/>
        <v>-125154333.33333333</v>
      </c>
      <c r="EP136" s="66">
        <f t="shared" si="119"/>
        <v>-243700333.33333334</v>
      </c>
      <c r="EQ136" s="66">
        <f t="shared" si="119"/>
        <v>-36214333.333333336</v>
      </c>
      <c r="ER136" s="66">
        <f t="shared" si="120"/>
        <v>6385333.3333333209</v>
      </c>
      <c r="ES136" s="63">
        <f t="shared" si="121"/>
        <v>1.5518935677754407E-2</v>
      </c>
      <c r="ET136" s="67">
        <f t="shared" si="122"/>
        <v>1.5763569498859011E-2</v>
      </c>
      <c r="EU136" s="66">
        <f t="shared" si="123"/>
        <v>5612333.333333333</v>
      </c>
      <c r="EV136" s="66">
        <f t="shared" si="124"/>
        <v>105467500</v>
      </c>
      <c r="EW136" s="66">
        <f t="shared" si="124"/>
        <v>235431666.66666666</v>
      </c>
      <c r="EX136" s="70"/>
      <c r="EY136" s="71" t="str">
        <f t="shared" si="125"/>
        <v>完整</v>
      </c>
      <c r="EZ136" s="71" t="str">
        <f t="shared" si="126"/>
        <v>完整</v>
      </c>
      <c r="FA136" s="71" t="str">
        <f t="shared" si="127"/>
        <v>完整</v>
      </c>
      <c r="FB136" s="71" t="str">
        <f t="shared" si="128"/>
        <v>选择</v>
      </c>
      <c r="FC136" s="71" t="str">
        <f t="shared" si="129"/>
        <v>选择</v>
      </c>
    </row>
    <row r="137" spans="1:217" s="3" customFormat="1" ht="12.75" customHeight="1" x14ac:dyDescent="0.25">
      <c r="A137" s="28" t="s">
        <v>301</v>
      </c>
      <c r="B137" s="134" t="str">
        <f t="shared" si="87"/>
        <v>BAWANG INTERNATIONAL (GROUP) HOLDING LIMITED</v>
      </c>
      <c r="C137" s="29" t="s">
        <v>328</v>
      </c>
      <c r="D137" s="136" t="s">
        <v>309</v>
      </c>
      <c r="E137" s="29"/>
      <c r="G137" s="74"/>
      <c r="H137" s="31" t="str">
        <f t="shared" si="88"/>
        <v xml:space="preserve"> </v>
      </c>
      <c r="I137" s="29"/>
      <c r="J137" s="29" t="str">
        <f>VLOOKUP(Z:Z,'[1]AP 2022'!FD136:FF181,2,FALSE)</f>
        <v>exclude</v>
      </c>
      <c r="K137" s="47" t="str">
        <f>VLOOKUP(Z:Z,'[1]AP 2022'!FD136:FF181,3,0)</f>
        <v>Independence(A+, A, A-, U)</v>
      </c>
      <c r="L137" s="48"/>
      <c r="M137" s="125" t="s">
        <v>1359</v>
      </c>
      <c r="N137" s="125" t="s">
        <v>1360</v>
      </c>
      <c r="O137" s="125" t="s">
        <v>633</v>
      </c>
      <c r="P137" s="125" t="s">
        <v>1361</v>
      </c>
      <c r="Q137" s="125" t="s">
        <v>423</v>
      </c>
      <c r="R137" s="125" t="s">
        <v>1322</v>
      </c>
      <c r="S137" s="125" t="s">
        <v>1362</v>
      </c>
      <c r="T137" s="125" t="s">
        <v>374</v>
      </c>
      <c r="U137" s="125" t="s">
        <v>321</v>
      </c>
      <c r="V137" s="125" t="s">
        <v>1363</v>
      </c>
      <c r="W137" s="125" t="s">
        <v>1364</v>
      </c>
      <c r="X137" s="124"/>
      <c r="Y137" s="125" t="s">
        <v>1365</v>
      </c>
      <c r="Z137" s="125" t="s">
        <v>1366</v>
      </c>
      <c r="AA137" s="128">
        <v>247656000</v>
      </c>
      <c r="AB137" s="128">
        <v>275322000</v>
      </c>
      <c r="AC137" s="128">
        <v>277453000</v>
      </c>
      <c r="AD137" s="128">
        <v>260674000</v>
      </c>
      <c r="AE137" s="128">
        <v>246341000</v>
      </c>
      <c r="AF137" s="128">
        <v>273604000</v>
      </c>
      <c r="AG137" s="128">
        <v>275987000</v>
      </c>
      <c r="AH137" s="128">
        <v>258158000</v>
      </c>
      <c r="AI137" s="125" t="s">
        <v>340</v>
      </c>
      <c r="AJ137" s="125" t="s">
        <v>340</v>
      </c>
      <c r="AK137" s="125" t="s">
        <v>340</v>
      </c>
      <c r="AL137" s="125" t="s">
        <v>340</v>
      </c>
      <c r="AM137" s="128">
        <v>246341000</v>
      </c>
      <c r="AN137" s="128">
        <v>273604000</v>
      </c>
      <c r="AO137" s="128">
        <v>275987000</v>
      </c>
      <c r="AP137" s="128">
        <v>258158000</v>
      </c>
      <c r="AQ137" s="128">
        <v>1315000</v>
      </c>
      <c r="AR137" s="128">
        <v>1718000</v>
      </c>
      <c r="AS137" s="128">
        <v>1466000</v>
      </c>
      <c r="AT137" s="128">
        <v>2516000</v>
      </c>
      <c r="AU137" s="128">
        <v>-107177000</v>
      </c>
      <c r="AV137" s="128">
        <v>-126995000</v>
      </c>
      <c r="AW137" s="128">
        <v>-124569000</v>
      </c>
      <c r="AX137" s="128">
        <v>-100415000</v>
      </c>
      <c r="AY137" s="128">
        <v>-14123000</v>
      </c>
      <c r="AZ137" s="128">
        <v>-15035000</v>
      </c>
      <c r="BA137" s="128">
        <v>-13586000</v>
      </c>
      <c r="BB137" s="128">
        <v>-14323000</v>
      </c>
      <c r="BC137" s="128">
        <v>-115949000</v>
      </c>
      <c r="BD137" s="128">
        <v>-113660000</v>
      </c>
      <c r="BE137" s="128">
        <v>-111837000</v>
      </c>
      <c r="BF137" s="128">
        <v>-135331000</v>
      </c>
      <c r="BG137" s="128">
        <v>10407000</v>
      </c>
      <c r="BH137" s="128">
        <v>19632000</v>
      </c>
      <c r="BI137" s="128">
        <v>27461000</v>
      </c>
      <c r="BJ137" s="128">
        <v>10605000</v>
      </c>
      <c r="BK137" s="128">
        <v>-32231000</v>
      </c>
      <c r="BL137" s="128">
        <v>-29248000</v>
      </c>
      <c r="BM137" s="128">
        <v>-29732000</v>
      </c>
      <c r="BN137" s="128">
        <v>-28399000</v>
      </c>
      <c r="BO137" s="128">
        <v>-32231000</v>
      </c>
      <c r="BP137" s="128">
        <v>-29248000</v>
      </c>
      <c r="BQ137" s="128">
        <v>-29732000</v>
      </c>
      <c r="BR137" s="128">
        <v>-28399000</v>
      </c>
      <c r="BS137" s="128">
        <v>0</v>
      </c>
      <c r="BT137" s="128">
        <v>0</v>
      </c>
      <c r="BU137" s="128">
        <v>0</v>
      </c>
      <c r="BV137" s="128">
        <v>0</v>
      </c>
      <c r="BW137" s="128">
        <v>-19431000</v>
      </c>
      <c r="BX137" s="128">
        <v>-9084000</v>
      </c>
      <c r="BY137" s="128">
        <v>-4038000</v>
      </c>
      <c r="BZ137" s="128">
        <v>-6100000</v>
      </c>
      <c r="CA137" s="128">
        <v>122411000</v>
      </c>
      <c r="CB137" s="128">
        <v>131429000</v>
      </c>
      <c r="CC137" s="128">
        <v>175014000</v>
      </c>
      <c r="CD137" s="128">
        <v>161442000</v>
      </c>
      <c r="CE137" s="128">
        <v>27056000</v>
      </c>
      <c r="CF137" s="128">
        <v>40815000</v>
      </c>
      <c r="CG137" s="128">
        <v>27307000</v>
      </c>
      <c r="CH137" s="128">
        <v>29382000</v>
      </c>
      <c r="CI137" s="128">
        <v>14281000</v>
      </c>
      <c r="CJ137" s="128">
        <v>19969000</v>
      </c>
      <c r="CK137" s="128">
        <v>22110000</v>
      </c>
      <c r="CL137" s="128">
        <v>21478000</v>
      </c>
      <c r="CM137" s="128">
        <v>3273000</v>
      </c>
      <c r="CN137" s="128">
        <v>1662000</v>
      </c>
      <c r="CO137" s="128">
        <v>1642000</v>
      </c>
      <c r="CP137" s="128">
        <v>4233000</v>
      </c>
      <c r="CQ137" s="128">
        <v>74404000</v>
      </c>
      <c r="CR137" s="128">
        <v>63269000</v>
      </c>
      <c r="CS137" s="128">
        <v>122342000</v>
      </c>
      <c r="CT137" s="128">
        <v>102195000</v>
      </c>
      <c r="CU137" s="125" t="s">
        <v>340</v>
      </c>
      <c r="CV137" s="125" t="s">
        <v>340</v>
      </c>
      <c r="CW137" s="125" t="s">
        <v>340</v>
      </c>
      <c r="CX137" s="125" t="s">
        <v>340</v>
      </c>
      <c r="CY137" s="128">
        <v>25704000</v>
      </c>
      <c r="CZ137" s="128">
        <v>34344000</v>
      </c>
      <c r="DA137" s="128">
        <v>37141000</v>
      </c>
      <c r="DB137" s="128">
        <v>35290000</v>
      </c>
      <c r="DC137" s="128">
        <v>244227000</v>
      </c>
      <c r="DD137" s="128">
        <v>295578000</v>
      </c>
      <c r="DE137" s="128">
        <v>264566000</v>
      </c>
      <c r="DF137" s="128">
        <v>290172000</v>
      </c>
      <c r="DG137" s="16">
        <f t="shared" si="89"/>
        <v>246341000</v>
      </c>
      <c r="DH137" s="16">
        <f t="shared" si="90"/>
        <v>-107177000</v>
      </c>
      <c r="DI137" s="16">
        <f t="shared" si="91"/>
        <v>-130072000</v>
      </c>
      <c r="DJ137" s="16">
        <f t="shared" si="92"/>
        <v>-32231000</v>
      </c>
      <c r="DK137" s="16">
        <f t="shared" si="93"/>
        <v>-23139000</v>
      </c>
      <c r="DL137" s="57">
        <f t="shared" si="94"/>
        <v>-9.3930770760855889E-2</v>
      </c>
      <c r="DM137" s="57">
        <f t="shared" si="95"/>
        <v>-8.5865370342882594E-2</v>
      </c>
      <c r="DN137" s="58">
        <f t="shared" si="96"/>
        <v>-14123000</v>
      </c>
      <c r="DO137" s="16">
        <f t="shared" si="97"/>
        <v>33935500</v>
      </c>
      <c r="DP137" s="16">
        <f t="shared" si="98"/>
        <v>30024000</v>
      </c>
      <c r="DQ137" s="61"/>
      <c r="DR137" s="62">
        <f t="shared" si="99"/>
        <v>273604000</v>
      </c>
      <c r="DS137" s="62">
        <f t="shared" si="100"/>
        <v>-126995000</v>
      </c>
      <c r="DT137" s="62">
        <f t="shared" si="101"/>
        <v>-128695000</v>
      </c>
      <c r="DU137" s="62">
        <f t="shared" si="102"/>
        <v>-29248000</v>
      </c>
      <c r="DV137" s="62">
        <f t="shared" si="103"/>
        <v>-11334000</v>
      </c>
      <c r="DW137" s="63">
        <f t="shared" si="104"/>
        <v>-4.1424832970278214E-2</v>
      </c>
      <c r="DX137" s="63">
        <f t="shared" si="105"/>
        <v>-3.9777074310902723E-2</v>
      </c>
      <c r="DY137" s="64">
        <f t="shared" si="106"/>
        <v>-15035000</v>
      </c>
      <c r="DZ137" s="64">
        <f t="shared" si="107"/>
        <v>34061000</v>
      </c>
      <c r="EA137" s="64">
        <f t="shared" si="108"/>
        <v>35742500</v>
      </c>
      <c r="EB137" s="61"/>
      <c r="EC137" s="64">
        <f t="shared" si="109"/>
        <v>275987000</v>
      </c>
      <c r="ED137" s="64">
        <f t="shared" si="110"/>
        <v>-124569000</v>
      </c>
      <c r="EE137" s="64">
        <f t="shared" si="111"/>
        <v>-125423000</v>
      </c>
      <c r="EF137" s="64">
        <f t="shared" si="112"/>
        <v>-29732000</v>
      </c>
      <c r="EG137" s="64">
        <f t="shared" si="113"/>
        <v>-3737000</v>
      </c>
      <c r="EH137" s="63">
        <f t="shared" si="114"/>
        <v>-1.3540492849300872E-2</v>
      </c>
      <c r="EI137" s="57">
        <f t="shared" si="115"/>
        <v>-1.3359597317355679E-2</v>
      </c>
      <c r="EJ137" s="64">
        <f t="shared" si="116"/>
        <v>-13586000</v>
      </c>
      <c r="EK137" s="64">
        <f t="shared" si="117"/>
        <v>28344500</v>
      </c>
      <c r="EL137" s="64">
        <f t="shared" si="118"/>
        <v>36215500</v>
      </c>
      <c r="EM137" s="61"/>
      <c r="EN137" s="66">
        <f t="shared" si="119"/>
        <v>265310666.66666666</v>
      </c>
      <c r="EO137" s="66">
        <f t="shared" si="119"/>
        <v>-119580333.33333333</v>
      </c>
      <c r="EP137" s="66">
        <f t="shared" si="119"/>
        <v>-128063333.33333333</v>
      </c>
      <c r="EQ137" s="66">
        <f t="shared" si="119"/>
        <v>-30403666.666666668</v>
      </c>
      <c r="ER137" s="66">
        <f t="shared" si="120"/>
        <v>-12736666.666666683</v>
      </c>
      <c r="ES137" s="63">
        <f t="shared" si="121"/>
        <v>-4.800661363031019E-2</v>
      </c>
      <c r="ET137" s="67">
        <f t="shared" si="122"/>
        <v>-4.5807548355076298E-2</v>
      </c>
      <c r="EU137" s="66">
        <f t="shared" si="123"/>
        <v>14248000</v>
      </c>
      <c r="EV137" s="66">
        <f t="shared" si="124"/>
        <v>32113666.666666668</v>
      </c>
      <c r="EW137" s="66">
        <f t="shared" si="124"/>
        <v>33994000</v>
      </c>
      <c r="EX137" s="70"/>
      <c r="EY137" s="151" t="str">
        <f t="shared" si="125"/>
        <v>完整</v>
      </c>
      <c r="EZ137" s="151" t="str">
        <f t="shared" si="126"/>
        <v>完整</v>
      </c>
      <c r="FA137" s="151" t="str">
        <f t="shared" si="127"/>
        <v>完整</v>
      </c>
      <c r="FB137" s="151" t="str">
        <f t="shared" si="128"/>
        <v>选择</v>
      </c>
      <c r="FC137" s="151" t="str">
        <f t="shared" si="129"/>
        <v>删除</v>
      </c>
    </row>
    <row r="138" spans="1:217" s="3" customFormat="1" ht="12.75" customHeight="1" x14ac:dyDescent="0.25">
      <c r="A138" s="28" t="s">
        <v>302</v>
      </c>
      <c r="B138" s="134" t="str">
        <f t="shared" si="87"/>
        <v>THAI HO GROUP INC.</v>
      </c>
      <c r="C138" s="29" t="s">
        <v>328</v>
      </c>
      <c r="D138" s="137" t="s">
        <v>310</v>
      </c>
      <c r="E138" s="29"/>
      <c r="H138" s="31" t="str">
        <f t="shared" si="88"/>
        <v xml:space="preserve"> </v>
      </c>
      <c r="I138" s="29"/>
      <c r="J138" s="29" t="str">
        <f>VLOOKUP(Z:Z,'[1]AP 2022'!FD137:FF181,2,FALSE)</f>
        <v>exclude</v>
      </c>
      <c r="K138" s="47" t="str">
        <f>VLOOKUP(Z:Z,'[1]AP 2022'!FD137:FF181,3,0)</f>
        <v>Consecutive loss</v>
      </c>
      <c r="L138" s="48"/>
      <c r="M138" s="125" t="s">
        <v>1367</v>
      </c>
      <c r="N138" s="125" t="s">
        <v>1368</v>
      </c>
      <c r="O138" s="125" t="s">
        <v>413</v>
      </c>
      <c r="P138" s="125" t="s">
        <v>1369</v>
      </c>
      <c r="Q138" s="125" t="s">
        <v>842</v>
      </c>
      <c r="R138" s="125" t="s">
        <v>1322</v>
      </c>
      <c r="S138" s="125" t="s">
        <v>1370</v>
      </c>
      <c r="T138" s="125" t="s">
        <v>1371</v>
      </c>
      <c r="U138" s="125" t="s">
        <v>321</v>
      </c>
      <c r="V138" s="125" t="s">
        <v>1372</v>
      </c>
      <c r="W138" s="125" t="s">
        <v>1373</v>
      </c>
      <c r="X138" s="124"/>
      <c r="Y138" s="124"/>
      <c r="Z138" s="125" t="s">
        <v>1374</v>
      </c>
      <c r="AA138" s="125" t="s">
        <v>340</v>
      </c>
      <c r="AB138" s="128">
        <v>933443000</v>
      </c>
      <c r="AC138" s="128">
        <v>1133793000</v>
      </c>
      <c r="AD138" s="128">
        <v>1024624000</v>
      </c>
      <c r="AE138" s="125" t="s">
        <v>340</v>
      </c>
      <c r="AF138" s="128">
        <v>921586000</v>
      </c>
      <c r="AG138" s="128">
        <v>1128737000</v>
      </c>
      <c r="AH138" s="128">
        <v>1013923000</v>
      </c>
      <c r="AI138" s="125" t="s">
        <v>340</v>
      </c>
      <c r="AJ138" s="125" t="s">
        <v>340</v>
      </c>
      <c r="AK138" s="125" t="s">
        <v>340</v>
      </c>
      <c r="AL138" s="125" t="s">
        <v>340</v>
      </c>
      <c r="AM138" s="125" t="s">
        <v>340</v>
      </c>
      <c r="AN138" s="128">
        <v>921586000</v>
      </c>
      <c r="AO138" s="128">
        <v>1128737000</v>
      </c>
      <c r="AP138" s="128">
        <v>1013923000</v>
      </c>
      <c r="AQ138" s="125" t="s">
        <v>340</v>
      </c>
      <c r="AR138" s="128">
        <v>11857000</v>
      </c>
      <c r="AS138" s="128">
        <v>5056000</v>
      </c>
      <c r="AT138" s="128">
        <v>10701000</v>
      </c>
      <c r="AU138" s="125" t="s">
        <v>340</v>
      </c>
      <c r="AV138" s="128">
        <v>-694832000</v>
      </c>
      <c r="AW138" s="128">
        <v>-794333000</v>
      </c>
      <c r="AX138" s="128">
        <v>-668424000</v>
      </c>
      <c r="AY138" s="125" t="s">
        <v>340</v>
      </c>
      <c r="AZ138" s="128">
        <v>-98026000</v>
      </c>
      <c r="BA138" s="128">
        <v>-61354000</v>
      </c>
      <c r="BB138" s="128">
        <v>-72377000</v>
      </c>
      <c r="BC138" s="125" t="s">
        <v>340</v>
      </c>
      <c r="BD138" s="128">
        <v>-259546000</v>
      </c>
      <c r="BE138" s="128">
        <v>-241401000</v>
      </c>
      <c r="BF138" s="128">
        <v>-273501000</v>
      </c>
      <c r="BG138" s="125" t="s">
        <v>340</v>
      </c>
      <c r="BH138" s="128">
        <v>-118961000</v>
      </c>
      <c r="BI138" s="128">
        <v>36705000</v>
      </c>
      <c r="BJ138" s="128">
        <v>10322000</v>
      </c>
      <c r="BK138" s="125" t="s">
        <v>340</v>
      </c>
      <c r="BL138" s="128">
        <v>-64342000</v>
      </c>
      <c r="BM138" s="128">
        <v>-67527000</v>
      </c>
      <c r="BN138" s="128">
        <v>-60720000</v>
      </c>
      <c r="BO138" s="125" t="s">
        <v>340</v>
      </c>
      <c r="BP138" s="128">
        <v>-63438000</v>
      </c>
      <c r="BQ138" s="128">
        <v>-66541000</v>
      </c>
      <c r="BR138" s="128">
        <v>-58789000</v>
      </c>
      <c r="BS138" s="125" t="s">
        <v>340</v>
      </c>
      <c r="BT138" s="128">
        <v>-904000</v>
      </c>
      <c r="BU138" s="128">
        <v>-986000</v>
      </c>
      <c r="BV138" s="128">
        <v>-1931000</v>
      </c>
      <c r="BW138" s="125" t="s">
        <v>340</v>
      </c>
      <c r="BX138" s="128">
        <v>-183843000</v>
      </c>
      <c r="BY138" s="128">
        <v>-66487000</v>
      </c>
      <c r="BZ138" s="128">
        <v>-63138000</v>
      </c>
      <c r="CA138" s="125" t="s">
        <v>340</v>
      </c>
      <c r="CB138" s="128">
        <v>406479000</v>
      </c>
      <c r="CC138" s="128">
        <v>609550000</v>
      </c>
      <c r="CD138" s="128">
        <v>491584000</v>
      </c>
      <c r="CE138" s="125" t="s">
        <v>340</v>
      </c>
      <c r="CF138" s="128">
        <v>106350000</v>
      </c>
      <c r="CG138" s="128">
        <v>142201000</v>
      </c>
      <c r="CH138" s="128">
        <v>121169000</v>
      </c>
      <c r="CI138" s="125" t="s">
        <v>340</v>
      </c>
      <c r="CJ138" s="128">
        <v>136698000</v>
      </c>
      <c r="CK138" s="128">
        <v>177252000</v>
      </c>
      <c r="CL138" s="128">
        <v>102501000</v>
      </c>
      <c r="CM138" s="125" t="s">
        <v>340</v>
      </c>
      <c r="CN138" s="128">
        <v>6634000</v>
      </c>
      <c r="CO138" s="128">
        <v>4026000</v>
      </c>
      <c r="CP138" s="128">
        <v>4396000</v>
      </c>
      <c r="CQ138" s="125" t="s">
        <v>340</v>
      </c>
      <c r="CR138" s="128">
        <v>130956000</v>
      </c>
      <c r="CS138" s="128">
        <v>267497000</v>
      </c>
      <c r="CT138" s="128">
        <v>247096000</v>
      </c>
      <c r="CU138" s="125" t="s">
        <v>340</v>
      </c>
      <c r="CV138" s="128">
        <v>11303000</v>
      </c>
      <c r="CW138" s="128">
        <v>20189000</v>
      </c>
      <c r="CX138" s="128">
        <v>45599000</v>
      </c>
      <c r="CY138" s="125" t="s">
        <v>340</v>
      </c>
      <c r="CZ138" s="128">
        <v>40079000</v>
      </c>
      <c r="DA138" s="128">
        <v>46819000</v>
      </c>
      <c r="DB138" s="128">
        <v>39222000</v>
      </c>
      <c r="DC138" s="125" t="s">
        <v>340</v>
      </c>
      <c r="DD138" s="128">
        <v>894463000</v>
      </c>
      <c r="DE138" s="128">
        <v>1109095000</v>
      </c>
      <c r="DF138" s="128">
        <v>1001133000</v>
      </c>
      <c r="DG138" s="16" t="str">
        <f t="shared" si="89"/>
        <v>无数据</v>
      </c>
      <c r="DH138" s="16" t="str">
        <f t="shared" si="90"/>
        <v>n.a.</v>
      </c>
      <c r="DI138" s="16" t="str">
        <f t="shared" si="91"/>
        <v>n.a.</v>
      </c>
      <c r="DJ138" s="16" t="str">
        <f t="shared" si="92"/>
        <v>n.a.</v>
      </c>
      <c r="DK138" s="16" t="str">
        <f t="shared" si="93"/>
        <v>无数据</v>
      </c>
      <c r="DL138" s="57" t="e">
        <f t="shared" si="94"/>
        <v>#VALUE!</v>
      </c>
      <c r="DM138" s="57" t="e">
        <f t="shared" si="95"/>
        <v>#VALUE!</v>
      </c>
      <c r="DN138" s="58" t="str">
        <f t="shared" si="96"/>
        <v>n.a.</v>
      </c>
      <c r="DO138" s="16" t="e">
        <f t="shared" si="97"/>
        <v>#VALUE!</v>
      </c>
      <c r="DP138" s="16" t="e">
        <f t="shared" si="98"/>
        <v>#VALUE!</v>
      </c>
      <c r="DQ138" s="61"/>
      <c r="DR138" s="62">
        <f t="shared" si="99"/>
        <v>921586000</v>
      </c>
      <c r="DS138" s="62">
        <f t="shared" si="100"/>
        <v>-694832000</v>
      </c>
      <c r="DT138" s="62">
        <f t="shared" si="101"/>
        <v>-357572000</v>
      </c>
      <c r="DU138" s="62">
        <f t="shared" si="102"/>
        <v>-64342000</v>
      </c>
      <c r="DV138" s="62">
        <f t="shared" si="103"/>
        <v>-195160000</v>
      </c>
      <c r="DW138" s="63">
        <f t="shared" si="104"/>
        <v>-0.2117653696996265</v>
      </c>
      <c r="DX138" s="63">
        <f t="shared" si="105"/>
        <v>-0.17475773362967048</v>
      </c>
      <c r="DY138" s="64">
        <f t="shared" si="106"/>
        <v>-98026000</v>
      </c>
      <c r="DZ138" s="64">
        <f t="shared" si="107"/>
        <v>124275500</v>
      </c>
      <c r="EA138" s="64">
        <f t="shared" si="108"/>
        <v>43449000</v>
      </c>
      <c r="EB138" s="61"/>
      <c r="EC138" s="64">
        <f t="shared" si="109"/>
        <v>1128737000</v>
      </c>
      <c r="ED138" s="64">
        <f t="shared" si="110"/>
        <v>-794333000</v>
      </c>
      <c r="EE138" s="64">
        <f t="shared" si="111"/>
        <v>-302755000</v>
      </c>
      <c r="EF138" s="64">
        <f t="shared" si="112"/>
        <v>-67527000</v>
      </c>
      <c r="EG138" s="64">
        <f t="shared" si="113"/>
        <v>-35878000</v>
      </c>
      <c r="EH138" s="63">
        <f t="shared" si="114"/>
        <v>-3.1785969628000142E-2</v>
      </c>
      <c r="EI138" s="57">
        <f t="shared" si="115"/>
        <v>-3.0806747294170177E-2</v>
      </c>
      <c r="EJ138" s="64">
        <f t="shared" si="116"/>
        <v>-61354000</v>
      </c>
      <c r="EK138" s="64">
        <f t="shared" si="117"/>
        <v>131685000</v>
      </c>
      <c r="EL138" s="64">
        <f t="shared" si="118"/>
        <v>43020500</v>
      </c>
      <c r="EM138" s="61"/>
      <c r="EN138" s="66" t="e">
        <f t="shared" si="119"/>
        <v>#VALUE!</v>
      </c>
      <c r="EO138" s="66" t="e">
        <f t="shared" si="119"/>
        <v>#VALUE!</v>
      </c>
      <c r="EP138" s="66" t="e">
        <f t="shared" si="119"/>
        <v>#VALUE!</v>
      </c>
      <c r="EQ138" s="66" t="e">
        <f t="shared" si="119"/>
        <v>#VALUE!</v>
      </c>
      <c r="ER138" s="66" t="e">
        <f t="shared" si="120"/>
        <v>#VALUE!</v>
      </c>
      <c r="ES138" s="63" t="e">
        <f t="shared" si="121"/>
        <v>#VALUE!</v>
      </c>
      <c r="ET138" s="67" t="e">
        <f t="shared" si="122"/>
        <v>#VALUE!</v>
      </c>
      <c r="EU138" s="66" t="e">
        <f t="shared" si="123"/>
        <v>#VALUE!</v>
      </c>
      <c r="EV138" s="66" t="e">
        <f t="shared" si="124"/>
        <v>#VALUE!</v>
      </c>
      <c r="EW138" s="66" t="e">
        <f t="shared" si="124"/>
        <v>#VALUE!</v>
      </c>
      <c r="EX138" s="70"/>
      <c r="EY138" s="71" t="str">
        <f t="shared" si="125"/>
        <v>完整</v>
      </c>
      <c r="EZ138" s="71" t="str">
        <f t="shared" si="126"/>
        <v>完整</v>
      </c>
      <c r="FA138" s="71" t="str">
        <f t="shared" si="127"/>
        <v>无数据</v>
      </c>
      <c r="FB138" s="71" t="str">
        <f t="shared" si="128"/>
        <v>删除</v>
      </c>
      <c r="FC138" s="71" t="str">
        <f t="shared" si="129"/>
        <v>选择</v>
      </c>
    </row>
    <row r="139" spans="1:217" s="3" customFormat="1" ht="12.75" customHeight="1" x14ac:dyDescent="0.25">
      <c r="A139" s="28" t="s">
        <v>303</v>
      </c>
      <c r="B139" s="134" t="str">
        <f t="shared" si="87"/>
        <v>LUO LIH-FEN HOLDING CO., LTD.</v>
      </c>
      <c r="C139" s="29" t="s">
        <v>328</v>
      </c>
      <c r="D139" s="136" t="s">
        <v>309</v>
      </c>
      <c r="E139" s="29"/>
      <c r="F139" s="34"/>
      <c r="H139" s="31" t="str">
        <f t="shared" si="88"/>
        <v xml:space="preserve"> </v>
      </c>
      <c r="I139" s="29"/>
      <c r="J139" s="29" t="str">
        <f>VLOOKUP(Z:Z,'[1]AP 2022'!FD138:FF181,2,FALSE)</f>
        <v>exclude</v>
      </c>
      <c r="K139" s="47" t="str">
        <f>VLOOKUP(Z:Z,'[1]AP 2022'!FD138:FF181,3,0)</f>
        <v>Independence(A+, A, A-, U)</v>
      </c>
      <c r="L139" s="48"/>
      <c r="M139" s="125" t="s">
        <v>1375</v>
      </c>
      <c r="N139" s="125" t="s">
        <v>1376</v>
      </c>
      <c r="O139" s="125" t="s">
        <v>413</v>
      </c>
      <c r="P139" s="125" t="s">
        <v>1377</v>
      </c>
      <c r="Q139" s="125" t="s">
        <v>423</v>
      </c>
      <c r="R139" s="125" t="s">
        <v>1322</v>
      </c>
      <c r="S139" s="125" t="s">
        <v>1378</v>
      </c>
      <c r="T139" s="125" t="s">
        <v>365</v>
      </c>
      <c r="U139" s="125" t="s">
        <v>321</v>
      </c>
      <c r="V139" s="125" t="s">
        <v>1324</v>
      </c>
      <c r="W139" s="125" t="s">
        <v>1379</v>
      </c>
      <c r="X139" s="124"/>
      <c r="Y139" s="124"/>
      <c r="Z139" s="125" t="s">
        <v>1380</v>
      </c>
      <c r="AA139" s="128">
        <v>881176000</v>
      </c>
      <c r="AB139" s="128">
        <v>937742000</v>
      </c>
      <c r="AC139" s="128">
        <v>876790000</v>
      </c>
      <c r="AD139" s="128">
        <v>1458821000</v>
      </c>
      <c r="AE139" s="128">
        <v>865506000</v>
      </c>
      <c r="AF139" s="128">
        <v>916866000</v>
      </c>
      <c r="AG139" s="128">
        <v>844885000</v>
      </c>
      <c r="AH139" s="128">
        <v>1445695000</v>
      </c>
      <c r="AI139" s="125" t="s">
        <v>340</v>
      </c>
      <c r="AJ139" s="125" t="s">
        <v>340</v>
      </c>
      <c r="AK139" s="125" t="s">
        <v>340</v>
      </c>
      <c r="AL139" s="125" t="s">
        <v>340</v>
      </c>
      <c r="AM139" s="128">
        <v>865506000</v>
      </c>
      <c r="AN139" s="128">
        <v>916866000</v>
      </c>
      <c r="AO139" s="128">
        <v>844885000</v>
      </c>
      <c r="AP139" s="128">
        <v>1445695000</v>
      </c>
      <c r="AQ139" s="128">
        <v>15670000</v>
      </c>
      <c r="AR139" s="128">
        <v>20876000</v>
      </c>
      <c r="AS139" s="128">
        <v>31905000</v>
      </c>
      <c r="AT139" s="128">
        <v>13126000</v>
      </c>
      <c r="AU139" s="128">
        <v>-280839000</v>
      </c>
      <c r="AV139" s="128">
        <v>-323196000</v>
      </c>
      <c r="AW139" s="128">
        <v>-278355000</v>
      </c>
      <c r="AX139" s="128">
        <v>-430579000</v>
      </c>
      <c r="AY139" s="128">
        <v>-56570000</v>
      </c>
      <c r="AZ139" s="128">
        <v>-60173000</v>
      </c>
      <c r="BA139" s="128">
        <v>-69453000</v>
      </c>
      <c r="BB139" s="128">
        <v>-67273000</v>
      </c>
      <c r="BC139" s="128">
        <v>-422306000</v>
      </c>
      <c r="BD139" s="128">
        <v>-420569000</v>
      </c>
      <c r="BE139" s="128">
        <v>-389154000</v>
      </c>
      <c r="BF139" s="128">
        <v>-385280000</v>
      </c>
      <c r="BG139" s="128">
        <v>121461000</v>
      </c>
      <c r="BH139" s="128">
        <v>133804000</v>
      </c>
      <c r="BI139" s="128">
        <v>139828000</v>
      </c>
      <c r="BJ139" s="128">
        <v>575689000</v>
      </c>
      <c r="BK139" s="128">
        <v>-61661000</v>
      </c>
      <c r="BL139" s="128">
        <v>-59783000</v>
      </c>
      <c r="BM139" s="128">
        <v>-48705000</v>
      </c>
      <c r="BN139" s="128">
        <v>-35327000</v>
      </c>
      <c r="BO139" s="128">
        <v>-57661000</v>
      </c>
      <c r="BP139" s="128">
        <v>-55981000</v>
      </c>
      <c r="BQ139" s="128">
        <v>-46266000</v>
      </c>
      <c r="BR139" s="128">
        <v>-33961000</v>
      </c>
      <c r="BS139" s="128">
        <v>-4000000</v>
      </c>
      <c r="BT139" s="128">
        <v>-3802000</v>
      </c>
      <c r="BU139" s="128">
        <v>-2439000</v>
      </c>
      <c r="BV139" s="128">
        <v>-1366000</v>
      </c>
      <c r="BW139" s="128">
        <v>54814000</v>
      </c>
      <c r="BX139" s="128">
        <v>70240000</v>
      </c>
      <c r="BY139" s="128">
        <v>104147000</v>
      </c>
      <c r="BZ139" s="128">
        <v>497740000</v>
      </c>
      <c r="CA139" s="128">
        <v>1299970000</v>
      </c>
      <c r="CB139" s="128">
        <v>1224594000</v>
      </c>
      <c r="CC139" s="128">
        <v>1405878000</v>
      </c>
      <c r="CD139" s="128">
        <v>1681026000</v>
      </c>
      <c r="CE139" s="128">
        <v>75151000</v>
      </c>
      <c r="CF139" s="128">
        <v>72492000</v>
      </c>
      <c r="CG139" s="128">
        <v>104193000</v>
      </c>
      <c r="CH139" s="128">
        <v>77728000</v>
      </c>
      <c r="CI139" s="128">
        <v>2557000</v>
      </c>
      <c r="CJ139" s="128">
        <v>3829000</v>
      </c>
      <c r="CK139" s="128">
        <v>11440000</v>
      </c>
      <c r="CL139" s="128">
        <v>10696000</v>
      </c>
      <c r="CM139" s="128">
        <v>12665000</v>
      </c>
      <c r="CN139" s="128">
        <v>43164000</v>
      </c>
      <c r="CO139" s="128">
        <v>35658000</v>
      </c>
      <c r="CP139" s="128">
        <v>18839000</v>
      </c>
      <c r="CQ139" s="128">
        <v>1188923000</v>
      </c>
      <c r="CR139" s="128">
        <v>1083288000</v>
      </c>
      <c r="CS139" s="128">
        <v>1223011000</v>
      </c>
      <c r="CT139" s="128">
        <v>1534021000</v>
      </c>
      <c r="CU139" s="128">
        <v>572092000</v>
      </c>
      <c r="CV139" s="128">
        <v>615008000</v>
      </c>
      <c r="CW139" s="128">
        <v>632999000</v>
      </c>
      <c r="CX139" s="128">
        <v>690879000</v>
      </c>
      <c r="CY139" s="128">
        <v>201915000</v>
      </c>
      <c r="CZ139" s="128">
        <v>134144000</v>
      </c>
      <c r="DA139" s="128">
        <v>45083000</v>
      </c>
      <c r="DB139" s="128">
        <v>9457000</v>
      </c>
      <c r="DC139" s="128">
        <v>2129149000</v>
      </c>
      <c r="DD139" s="128">
        <v>2006728000</v>
      </c>
      <c r="DE139" s="128">
        <v>2079050000</v>
      </c>
      <c r="DF139" s="128">
        <v>2195479000</v>
      </c>
      <c r="DG139" s="16">
        <f t="shared" si="89"/>
        <v>865506000</v>
      </c>
      <c r="DH139" s="16">
        <f t="shared" si="90"/>
        <v>-280839000</v>
      </c>
      <c r="DI139" s="16">
        <f t="shared" si="91"/>
        <v>-478876000</v>
      </c>
      <c r="DJ139" s="16">
        <f t="shared" si="92"/>
        <v>-61661000</v>
      </c>
      <c r="DK139" s="16">
        <f t="shared" si="93"/>
        <v>44130000</v>
      </c>
      <c r="DL139" s="57">
        <f t="shared" si="94"/>
        <v>5.0987514817921541E-2</v>
      </c>
      <c r="DM139" s="57">
        <f t="shared" si="95"/>
        <v>5.3726916783543709E-2</v>
      </c>
      <c r="DN139" s="58">
        <f t="shared" si="96"/>
        <v>-56570000</v>
      </c>
      <c r="DO139" s="16">
        <f t="shared" si="97"/>
        <v>73821500</v>
      </c>
      <c r="DP139" s="16">
        <f t="shared" si="98"/>
        <v>168029500</v>
      </c>
      <c r="DQ139" s="61"/>
      <c r="DR139" s="62">
        <f t="shared" si="99"/>
        <v>916866000</v>
      </c>
      <c r="DS139" s="62">
        <f t="shared" si="100"/>
        <v>-323196000</v>
      </c>
      <c r="DT139" s="62">
        <f t="shared" si="101"/>
        <v>-480742000</v>
      </c>
      <c r="DU139" s="62">
        <f t="shared" si="102"/>
        <v>-59783000</v>
      </c>
      <c r="DV139" s="62">
        <f t="shared" si="103"/>
        <v>53145000</v>
      </c>
      <c r="DW139" s="63">
        <f t="shared" si="104"/>
        <v>5.7963759153464085E-2</v>
      </c>
      <c r="DX139" s="63">
        <f t="shared" si="105"/>
        <v>6.1530285821463179E-2</v>
      </c>
      <c r="DY139" s="64">
        <f t="shared" si="106"/>
        <v>-60173000</v>
      </c>
      <c r="DZ139" s="64">
        <f t="shared" si="107"/>
        <v>88342500</v>
      </c>
      <c r="EA139" s="64">
        <f t="shared" si="108"/>
        <v>89613500</v>
      </c>
      <c r="EB139" s="61"/>
      <c r="EC139" s="64">
        <f t="shared" si="109"/>
        <v>844885000</v>
      </c>
      <c r="ED139" s="64">
        <f t="shared" si="110"/>
        <v>-278355000</v>
      </c>
      <c r="EE139" s="64">
        <f t="shared" si="111"/>
        <v>-458607000</v>
      </c>
      <c r="EF139" s="64">
        <f t="shared" si="112"/>
        <v>-48705000</v>
      </c>
      <c r="EG139" s="64">
        <f t="shared" si="113"/>
        <v>59218000</v>
      </c>
      <c r="EH139" s="63">
        <f t="shared" si="114"/>
        <v>7.0090012250187891E-2</v>
      </c>
      <c r="EI139" s="57">
        <f t="shared" si="115"/>
        <v>7.5372899714510097E-2</v>
      </c>
      <c r="EJ139" s="64">
        <f t="shared" si="116"/>
        <v>-69453000</v>
      </c>
      <c r="EK139" s="64">
        <f t="shared" si="117"/>
        <v>90960500</v>
      </c>
      <c r="EL139" s="64">
        <f t="shared" si="118"/>
        <v>27270000</v>
      </c>
      <c r="EM139" s="61"/>
      <c r="EN139" s="66">
        <f t="shared" si="119"/>
        <v>875752333.33333337</v>
      </c>
      <c r="EO139" s="66">
        <f t="shared" si="119"/>
        <v>-294130000</v>
      </c>
      <c r="EP139" s="66">
        <f t="shared" si="119"/>
        <v>-472741666.66666669</v>
      </c>
      <c r="EQ139" s="66">
        <f t="shared" si="119"/>
        <v>-56716333.333333336</v>
      </c>
      <c r="ER139" s="66">
        <f t="shared" si="120"/>
        <v>52164333.333333351</v>
      </c>
      <c r="ES139" s="63">
        <f t="shared" si="121"/>
        <v>5.9565166255147496E-2</v>
      </c>
      <c r="ET139" s="67">
        <f t="shared" si="122"/>
        <v>6.3337898722824207E-2</v>
      </c>
      <c r="EU139" s="66">
        <f t="shared" si="123"/>
        <v>62065333.333333336</v>
      </c>
      <c r="EV139" s="66">
        <f t="shared" si="124"/>
        <v>84374833.333333328</v>
      </c>
      <c r="EW139" s="66">
        <f t="shared" si="124"/>
        <v>94971000</v>
      </c>
      <c r="EX139" s="70"/>
      <c r="EY139" s="71" t="str">
        <f t="shared" si="125"/>
        <v>完整</v>
      </c>
      <c r="EZ139" s="71" t="str">
        <f t="shared" si="126"/>
        <v>完整</v>
      </c>
      <c r="FA139" s="71" t="str">
        <f t="shared" si="127"/>
        <v>完整</v>
      </c>
      <c r="FB139" s="71" t="str">
        <f t="shared" si="128"/>
        <v>选择</v>
      </c>
      <c r="FC139" s="71" t="str">
        <f t="shared" si="129"/>
        <v>选择</v>
      </c>
      <c r="FD139" s="72"/>
      <c r="FE139" s="72"/>
      <c r="FF139" s="72"/>
      <c r="FG139" s="72"/>
      <c r="FH139" s="72"/>
      <c r="FI139" s="72"/>
      <c r="FJ139" s="72"/>
      <c r="FK139" s="72"/>
      <c r="FL139" s="72"/>
      <c r="FM139" s="72"/>
      <c r="FN139" s="72"/>
      <c r="FO139" s="72"/>
      <c r="FP139" s="72"/>
      <c r="FQ139" s="72"/>
      <c r="FR139" s="72"/>
      <c r="FS139" s="72"/>
      <c r="FT139" s="72"/>
      <c r="FU139" s="72"/>
      <c r="FV139" s="72"/>
      <c r="FW139" s="72"/>
      <c r="FX139" s="72"/>
      <c r="FY139" s="72"/>
      <c r="FZ139" s="72"/>
      <c r="GA139" s="72"/>
      <c r="GB139" s="72"/>
      <c r="GC139" s="72"/>
      <c r="GD139" s="72"/>
      <c r="GE139" s="72"/>
      <c r="GF139" s="72"/>
      <c r="GG139" s="72"/>
      <c r="GH139" s="72"/>
      <c r="GI139" s="72"/>
      <c r="GJ139" s="72"/>
      <c r="GK139" s="72"/>
      <c r="GL139" s="72"/>
      <c r="GM139" s="72"/>
      <c r="GN139" s="72"/>
      <c r="GO139" s="72"/>
      <c r="GP139" s="72"/>
      <c r="GQ139" s="72"/>
      <c r="GR139" s="72"/>
      <c r="GS139" s="72"/>
      <c r="GT139" s="72"/>
      <c r="GU139" s="72"/>
      <c r="GV139" s="72"/>
      <c r="GW139" s="72"/>
      <c r="GX139" s="72"/>
      <c r="GY139" s="72"/>
      <c r="GZ139" s="72"/>
      <c r="HA139" s="72"/>
      <c r="HB139" s="72"/>
      <c r="HC139" s="72"/>
      <c r="HD139" s="72"/>
      <c r="HE139" s="72"/>
      <c r="HF139" s="72"/>
      <c r="HG139" s="72"/>
      <c r="HH139" s="72"/>
      <c r="HI139" s="72"/>
    </row>
    <row r="140" spans="1:217" s="3" customFormat="1" ht="12.75" customHeight="1" x14ac:dyDescent="0.25">
      <c r="A140" s="28" t="s">
        <v>304</v>
      </c>
      <c r="B140" s="134" t="str">
        <f t="shared" si="87"/>
        <v>RENAISSANCE ASIA SILK ROAD GROUP LIMITED</v>
      </c>
      <c r="C140" s="29" t="s">
        <v>328</v>
      </c>
      <c r="D140" s="135" t="s">
        <v>311</v>
      </c>
      <c r="E140" s="29"/>
      <c r="H140" s="31" t="str">
        <f t="shared" si="88"/>
        <v xml:space="preserve"> </v>
      </c>
      <c r="I140" s="29"/>
      <c r="J140" s="29" t="str">
        <f>VLOOKUP(Z:Z,'[1]AP 2022'!FD139:FF181,2,FALSE)</f>
        <v>exclude</v>
      </c>
      <c r="K140" s="47" t="str">
        <f>VLOOKUP(Z:Z,'[1]AP 2022'!FD139:FF181,3,0)</f>
        <v>Consecutive loss</v>
      </c>
      <c r="L140" s="48"/>
      <c r="M140" s="125" t="s">
        <v>1381</v>
      </c>
      <c r="N140" s="125" t="s">
        <v>1382</v>
      </c>
      <c r="O140" s="125" t="s">
        <v>413</v>
      </c>
      <c r="P140" s="125" t="s">
        <v>1383</v>
      </c>
      <c r="Q140" s="125" t="s">
        <v>1067</v>
      </c>
      <c r="R140" s="125" t="s">
        <v>1322</v>
      </c>
      <c r="S140" s="125" t="s">
        <v>1384</v>
      </c>
      <c r="T140" s="125" t="s">
        <v>335</v>
      </c>
      <c r="U140" s="125" t="s">
        <v>321</v>
      </c>
      <c r="V140" s="125" t="s">
        <v>1385</v>
      </c>
      <c r="W140" s="125" t="s">
        <v>1386</v>
      </c>
      <c r="X140" s="125" t="s">
        <v>1387</v>
      </c>
      <c r="Y140" s="124"/>
      <c r="Z140" s="125" t="s">
        <v>1388</v>
      </c>
      <c r="AA140" s="128">
        <v>207711000</v>
      </c>
      <c r="AB140" s="128">
        <v>141067000</v>
      </c>
      <c r="AC140" s="128">
        <v>57981000</v>
      </c>
      <c r="AD140" s="128">
        <v>44565000</v>
      </c>
      <c r="AE140" s="128">
        <v>207435000</v>
      </c>
      <c r="AF140" s="128">
        <v>119066000</v>
      </c>
      <c r="AG140" s="128">
        <v>57152000</v>
      </c>
      <c r="AH140" s="128">
        <v>44556000</v>
      </c>
      <c r="AI140" s="125" t="s">
        <v>340</v>
      </c>
      <c r="AJ140" s="125" t="s">
        <v>340</v>
      </c>
      <c r="AK140" s="125" t="s">
        <v>340</v>
      </c>
      <c r="AL140" s="125" t="s">
        <v>340</v>
      </c>
      <c r="AM140" s="128">
        <v>207435000</v>
      </c>
      <c r="AN140" s="128">
        <v>119066000</v>
      </c>
      <c r="AO140" s="128">
        <v>57152000</v>
      </c>
      <c r="AP140" s="128">
        <v>44556000</v>
      </c>
      <c r="AQ140" s="128">
        <v>276000</v>
      </c>
      <c r="AR140" s="128">
        <v>22001000</v>
      </c>
      <c r="AS140" s="128">
        <v>829000</v>
      </c>
      <c r="AT140" s="128">
        <v>9000</v>
      </c>
      <c r="AU140" s="128">
        <v>-115792000</v>
      </c>
      <c r="AV140" s="128">
        <v>-49377000</v>
      </c>
      <c r="AW140" s="128">
        <v>-16222000</v>
      </c>
      <c r="AX140" s="128">
        <v>-19279000</v>
      </c>
      <c r="AY140" s="128">
        <v>0</v>
      </c>
      <c r="AZ140" s="128">
        <v>0</v>
      </c>
      <c r="BA140" s="128">
        <v>0</v>
      </c>
      <c r="BB140" s="128">
        <v>0</v>
      </c>
      <c r="BC140" s="128">
        <v>-48622000</v>
      </c>
      <c r="BD140" s="128">
        <v>-44206000</v>
      </c>
      <c r="BE140" s="128">
        <v>-33678000</v>
      </c>
      <c r="BF140" s="128">
        <v>-37340000</v>
      </c>
      <c r="BG140" s="128">
        <v>43297000</v>
      </c>
      <c r="BH140" s="128">
        <v>47484000</v>
      </c>
      <c r="BI140" s="128">
        <v>8081000</v>
      </c>
      <c r="BJ140" s="128">
        <v>-12054000</v>
      </c>
      <c r="BK140" s="128">
        <v>-51636000</v>
      </c>
      <c r="BL140" s="128">
        <v>-90711000</v>
      </c>
      <c r="BM140" s="128">
        <v>-128584000</v>
      </c>
      <c r="BN140" s="128">
        <v>-80617000</v>
      </c>
      <c r="BO140" s="128">
        <v>-43925000</v>
      </c>
      <c r="BP140" s="128">
        <v>-66960000</v>
      </c>
      <c r="BQ140" s="128">
        <v>-127540000</v>
      </c>
      <c r="BR140" s="128">
        <v>-36117000</v>
      </c>
      <c r="BS140" s="128">
        <v>-7711000</v>
      </c>
      <c r="BT140" s="128">
        <v>-23751000</v>
      </c>
      <c r="BU140" s="128">
        <v>-1044000</v>
      </c>
      <c r="BV140" s="128">
        <v>-44500000</v>
      </c>
      <c r="BW140" s="128">
        <v>-38572000</v>
      </c>
      <c r="BX140" s="128">
        <v>-55378000</v>
      </c>
      <c r="BY140" s="128">
        <v>-108567000</v>
      </c>
      <c r="BZ140" s="128">
        <v>-98434000</v>
      </c>
      <c r="CA140" s="128">
        <v>76952000</v>
      </c>
      <c r="CB140" s="128">
        <v>27374000</v>
      </c>
      <c r="CC140" s="128">
        <v>118710000</v>
      </c>
      <c r="CD140" s="128">
        <v>176728000</v>
      </c>
      <c r="CE140" s="125" t="s">
        <v>340</v>
      </c>
      <c r="CF140" s="125" t="s">
        <v>340</v>
      </c>
      <c r="CG140" s="125" t="s">
        <v>340</v>
      </c>
      <c r="CH140" s="125" t="s">
        <v>340</v>
      </c>
      <c r="CI140" s="128">
        <v>8465000</v>
      </c>
      <c r="CJ140" s="128">
        <v>10420000</v>
      </c>
      <c r="CK140" s="128">
        <v>7630000</v>
      </c>
      <c r="CL140" s="128">
        <v>27625000</v>
      </c>
      <c r="CM140" s="128">
        <v>5086000</v>
      </c>
      <c r="CN140" s="128">
        <v>4039000</v>
      </c>
      <c r="CO140" s="128">
        <v>92660000</v>
      </c>
      <c r="CP140" s="128">
        <v>97510000</v>
      </c>
      <c r="CQ140" s="128">
        <v>52388000</v>
      </c>
      <c r="CR140" s="128">
        <v>7274000</v>
      </c>
      <c r="CS140" s="128">
        <v>9307000</v>
      </c>
      <c r="CT140" s="128">
        <v>42497000</v>
      </c>
      <c r="CU140" s="125" t="s">
        <v>340</v>
      </c>
      <c r="CV140" s="125" t="s">
        <v>340</v>
      </c>
      <c r="CW140" s="125" t="s">
        <v>340</v>
      </c>
      <c r="CX140" s="125" t="s">
        <v>340</v>
      </c>
      <c r="CY140" s="128">
        <v>345636000</v>
      </c>
      <c r="CZ140" s="128">
        <v>325093000</v>
      </c>
      <c r="DA140" s="128">
        <v>265341000</v>
      </c>
      <c r="DB140" s="128">
        <v>192298000</v>
      </c>
      <c r="DC140" s="128">
        <v>298690000</v>
      </c>
      <c r="DD140" s="128">
        <v>290584000</v>
      </c>
      <c r="DE140" s="128">
        <v>373183000</v>
      </c>
      <c r="DF140" s="128">
        <v>379495000</v>
      </c>
      <c r="DG140" s="16">
        <f t="shared" si="89"/>
        <v>207435000</v>
      </c>
      <c r="DH140" s="16">
        <f t="shared" si="90"/>
        <v>-115792000</v>
      </c>
      <c r="DI140" s="16">
        <f t="shared" si="91"/>
        <v>-48622000</v>
      </c>
      <c r="DJ140" s="16">
        <f t="shared" si="92"/>
        <v>-51636000</v>
      </c>
      <c r="DK140" s="16">
        <f t="shared" si="93"/>
        <v>-8615000</v>
      </c>
      <c r="DL140" s="57">
        <f t="shared" si="94"/>
        <v>-4.1531082025694797E-2</v>
      </c>
      <c r="DM140" s="57">
        <f t="shared" si="95"/>
        <v>-3.9875028928488779E-2</v>
      </c>
      <c r="DN140" s="58">
        <f t="shared" si="96"/>
        <v>0</v>
      </c>
      <c r="DO140" s="16" t="e">
        <f t="shared" si="97"/>
        <v>#VALUE!</v>
      </c>
      <c r="DP140" s="16">
        <f t="shared" si="98"/>
        <v>335364500</v>
      </c>
      <c r="DQ140" s="61"/>
      <c r="DR140" s="62">
        <f t="shared" si="99"/>
        <v>119066000</v>
      </c>
      <c r="DS140" s="62">
        <f t="shared" si="100"/>
        <v>-49377000</v>
      </c>
      <c r="DT140" s="62">
        <f t="shared" si="101"/>
        <v>-44206000</v>
      </c>
      <c r="DU140" s="62">
        <f t="shared" si="102"/>
        <v>-90711000</v>
      </c>
      <c r="DV140" s="62">
        <f t="shared" si="103"/>
        <v>-65228000</v>
      </c>
      <c r="DW140" s="63">
        <f t="shared" si="104"/>
        <v>-0.5478306149530513</v>
      </c>
      <c r="DX140" s="63">
        <f t="shared" si="105"/>
        <v>-0.35393447426394781</v>
      </c>
      <c r="DY140" s="64">
        <f t="shared" si="106"/>
        <v>0</v>
      </c>
      <c r="DZ140" s="64" t="e">
        <f t="shared" si="107"/>
        <v>#VALUE!</v>
      </c>
      <c r="EA140" s="64">
        <f t="shared" si="108"/>
        <v>295217000</v>
      </c>
      <c r="EB140" s="61"/>
      <c r="EC140" s="64">
        <f t="shared" si="109"/>
        <v>57152000</v>
      </c>
      <c r="ED140" s="64">
        <f t="shared" si="110"/>
        <v>-16222000</v>
      </c>
      <c r="EE140" s="64">
        <f t="shared" si="111"/>
        <v>-33678000</v>
      </c>
      <c r="EF140" s="64">
        <f t="shared" si="112"/>
        <v>-128584000</v>
      </c>
      <c r="EG140" s="64">
        <f t="shared" si="113"/>
        <v>-121332000</v>
      </c>
      <c r="EH140" s="63">
        <f t="shared" si="114"/>
        <v>-2.1229703247480405</v>
      </c>
      <c r="EI140" s="57">
        <f t="shared" si="115"/>
        <v>-0.67979202617601575</v>
      </c>
      <c r="EJ140" s="64">
        <f t="shared" si="116"/>
        <v>0</v>
      </c>
      <c r="EK140" s="64" t="e">
        <f t="shared" si="117"/>
        <v>#VALUE!</v>
      </c>
      <c r="EL140" s="64">
        <f t="shared" si="118"/>
        <v>228819500</v>
      </c>
      <c r="EM140" s="61"/>
      <c r="EN140" s="66">
        <f t="shared" si="119"/>
        <v>127884333.33333333</v>
      </c>
      <c r="EO140" s="66">
        <f t="shared" si="119"/>
        <v>-60463666.666666664</v>
      </c>
      <c r="EP140" s="66">
        <f t="shared" si="119"/>
        <v>-42168666.666666664</v>
      </c>
      <c r="EQ140" s="66">
        <f t="shared" si="119"/>
        <v>-90310333.333333328</v>
      </c>
      <c r="ER140" s="66">
        <f t="shared" si="120"/>
        <v>-65058333.333333336</v>
      </c>
      <c r="ES140" s="63">
        <f t="shared" si="121"/>
        <v>-0.50872793904908864</v>
      </c>
      <c r="ET140" s="67">
        <f t="shared" si="122"/>
        <v>-0.33718997698798264</v>
      </c>
      <c r="EU140" s="66">
        <f t="shared" si="123"/>
        <v>0</v>
      </c>
      <c r="EV140" s="66" t="e">
        <f t="shared" si="124"/>
        <v>#VALUE!</v>
      </c>
      <c r="EW140" s="66">
        <f t="shared" si="124"/>
        <v>286467000</v>
      </c>
      <c r="EX140" s="70"/>
      <c r="EY140" s="151" t="str">
        <f t="shared" si="125"/>
        <v>完整</v>
      </c>
      <c r="EZ140" s="151" t="str">
        <f t="shared" si="126"/>
        <v>完整</v>
      </c>
      <c r="FA140" s="151" t="str">
        <f t="shared" si="127"/>
        <v>完整</v>
      </c>
      <c r="FB140" s="151" t="str">
        <f t="shared" si="128"/>
        <v>选择</v>
      </c>
      <c r="FC140" s="151" t="str">
        <f t="shared" si="129"/>
        <v>删除</v>
      </c>
    </row>
    <row r="141" spans="1:217" s="3" customFormat="1" ht="12.75" customHeight="1" x14ac:dyDescent="0.25">
      <c r="A141" s="28"/>
      <c r="B141" s="77"/>
      <c r="C141" s="49"/>
      <c r="E141" s="49"/>
      <c r="F141" s="34"/>
      <c r="G141" s="9"/>
      <c r="H141" s="31"/>
      <c r="I141" s="29"/>
      <c r="J141" s="29"/>
      <c r="K141" s="29"/>
      <c r="L141" s="48"/>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49"/>
      <c r="CJ141" s="49"/>
      <c r="CK141" s="49"/>
      <c r="CL141" s="49"/>
      <c r="CM141" s="49"/>
      <c r="CN141" s="49"/>
      <c r="CO141" s="49"/>
      <c r="CP141" s="49"/>
      <c r="CQ141" s="49"/>
      <c r="CR141" s="49"/>
      <c r="CS141" s="49"/>
      <c r="CT141" s="49"/>
      <c r="CU141" s="49"/>
      <c r="CV141" s="49"/>
      <c r="CW141" s="49"/>
      <c r="CX141" s="49"/>
      <c r="CY141" s="49"/>
      <c r="CZ141" s="49"/>
      <c r="DA141" s="49"/>
      <c r="DB141" s="49"/>
      <c r="DC141" s="49"/>
      <c r="DD141" s="49"/>
      <c r="DE141" s="49"/>
      <c r="DF141" s="49"/>
      <c r="DG141" s="78"/>
      <c r="DH141" s="78"/>
      <c r="DI141" s="78"/>
      <c r="DJ141" s="78"/>
      <c r="DK141" s="78"/>
      <c r="DL141" s="79"/>
      <c r="DM141" s="79"/>
      <c r="DN141" s="80"/>
      <c r="DO141" s="78"/>
      <c r="DP141" s="78"/>
      <c r="DQ141" s="81"/>
      <c r="DR141" s="82"/>
      <c r="DS141" s="82"/>
      <c r="DT141" s="82"/>
      <c r="DU141" s="82"/>
      <c r="DV141" s="82"/>
      <c r="DW141" s="83"/>
      <c r="DX141" s="83"/>
      <c r="DY141" s="81"/>
      <c r="DZ141" s="82"/>
      <c r="EA141" s="82"/>
      <c r="EB141" s="81"/>
      <c r="EC141" s="82"/>
      <c r="ED141" s="82"/>
      <c r="EE141" s="82"/>
      <c r="EF141" s="82"/>
      <c r="EG141" s="82"/>
      <c r="EH141" s="83"/>
      <c r="EI141" s="83"/>
      <c r="EJ141" s="81"/>
      <c r="EK141" s="82"/>
      <c r="EL141" s="82"/>
      <c r="EM141" s="81"/>
      <c r="EN141" s="84"/>
      <c r="EO141" s="84"/>
      <c r="EP141" s="84"/>
      <c r="EQ141" s="84"/>
      <c r="ER141" s="84"/>
      <c r="ES141" s="85"/>
      <c r="ET141" s="86"/>
      <c r="EU141" s="84"/>
      <c r="EV141" s="84"/>
      <c r="EW141" s="84"/>
      <c r="EX141" s="81"/>
      <c r="EY141" s="87"/>
      <c r="EZ141" s="87"/>
      <c r="FA141" s="87"/>
      <c r="FB141" s="87"/>
      <c r="FC141" s="87"/>
      <c r="FD141" s="72"/>
      <c r="FE141" s="72"/>
      <c r="FF141" s="72"/>
      <c r="FG141" s="72"/>
      <c r="FH141" s="72"/>
      <c r="FI141" s="72"/>
      <c r="FJ141" s="72"/>
      <c r="FK141" s="72"/>
      <c r="FL141" s="72"/>
      <c r="FM141" s="72"/>
      <c r="FN141" s="72"/>
      <c r="FO141" s="72"/>
      <c r="FP141" s="72"/>
      <c r="FQ141" s="72"/>
      <c r="FR141" s="72"/>
      <c r="FS141" s="72"/>
      <c r="FT141" s="72"/>
      <c r="FU141" s="72"/>
      <c r="FV141" s="72"/>
      <c r="FW141" s="72"/>
      <c r="FX141" s="72"/>
      <c r="FY141" s="72"/>
      <c r="FZ141" s="72"/>
      <c r="GA141" s="72"/>
      <c r="GB141" s="72"/>
      <c r="GC141" s="72"/>
      <c r="GD141" s="72"/>
      <c r="GE141" s="72"/>
      <c r="GF141" s="72"/>
      <c r="GG141" s="72"/>
      <c r="GH141" s="72"/>
      <c r="GI141" s="72"/>
      <c r="GJ141" s="72"/>
      <c r="GK141" s="72"/>
      <c r="GL141" s="72"/>
      <c r="GM141" s="72"/>
      <c r="GN141" s="72"/>
      <c r="GO141" s="72"/>
      <c r="GP141" s="72"/>
      <c r="GQ141" s="72"/>
      <c r="GR141" s="72"/>
      <c r="GS141" s="72"/>
      <c r="GT141" s="72"/>
      <c r="GU141" s="72"/>
      <c r="GV141" s="72"/>
      <c r="GW141" s="72"/>
      <c r="GX141" s="72"/>
      <c r="GY141" s="72"/>
      <c r="GZ141" s="72"/>
      <c r="HA141" s="72"/>
      <c r="HB141" s="72"/>
      <c r="HC141" s="72"/>
      <c r="HD141" s="72"/>
      <c r="HE141" s="72"/>
      <c r="HF141" s="72"/>
      <c r="HG141" s="72"/>
      <c r="HH141" s="72"/>
      <c r="HI141" s="72"/>
    </row>
    <row r="142" spans="1:217" s="3" customFormat="1" ht="12.75" customHeight="1" x14ac:dyDescent="0.25">
      <c r="A142" s="28"/>
      <c r="B142" s="77"/>
      <c r="C142" s="49"/>
      <c r="D142" s="49"/>
      <c r="E142" s="49"/>
      <c r="H142" s="31"/>
      <c r="I142" s="29"/>
      <c r="J142" s="29"/>
      <c r="K142" s="29"/>
      <c r="L142" s="48"/>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49"/>
      <c r="CJ142" s="49"/>
      <c r="CK142" s="49"/>
      <c r="CL142" s="49"/>
      <c r="CM142" s="49"/>
      <c r="CN142" s="49"/>
      <c r="CO142" s="49"/>
      <c r="CP142" s="49"/>
      <c r="CQ142" s="49"/>
      <c r="CR142" s="49"/>
      <c r="CS142" s="49"/>
      <c r="CT142" s="49"/>
      <c r="CU142" s="49"/>
      <c r="CV142" s="49"/>
      <c r="CW142" s="49"/>
      <c r="CX142" s="49"/>
      <c r="CY142" s="49"/>
      <c r="CZ142" s="49"/>
      <c r="DA142" s="49"/>
      <c r="DB142" s="49"/>
      <c r="DC142" s="49"/>
      <c r="DD142" s="49"/>
      <c r="DE142" s="49"/>
      <c r="DF142" s="49"/>
      <c r="DG142" s="78"/>
      <c r="DH142" s="78"/>
      <c r="DI142" s="78"/>
      <c r="DJ142" s="78"/>
      <c r="DK142" s="78"/>
      <c r="DL142" s="79"/>
      <c r="DM142" s="79"/>
      <c r="DN142" s="80"/>
      <c r="DO142" s="78"/>
      <c r="DP142" s="78"/>
      <c r="DQ142" s="81"/>
      <c r="DR142" s="82"/>
      <c r="DS142" s="82"/>
      <c r="DT142" s="82"/>
      <c r="DU142" s="82"/>
      <c r="DV142" s="82"/>
      <c r="DW142" s="83"/>
      <c r="DX142" s="83"/>
      <c r="DY142" s="81"/>
      <c r="DZ142" s="82"/>
      <c r="EA142" s="82"/>
      <c r="EB142" s="81"/>
      <c r="EC142" s="82"/>
      <c r="ED142" s="82"/>
      <c r="EE142" s="82"/>
      <c r="EF142" s="82"/>
      <c r="EG142" s="82"/>
      <c r="EH142" s="83"/>
      <c r="EI142" s="83"/>
      <c r="EJ142" s="81"/>
      <c r="EK142" s="82"/>
      <c r="EL142" s="82"/>
      <c r="EM142" s="81"/>
      <c r="EN142" s="84"/>
      <c r="EO142" s="84"/>
      <c r="EP142" s="84"/>
      <c r="EQ142" s="84"/>
      <c r="ER142" s="84"/>
      <c r="ES142" s="85"/>
      <c r="ET142" s="86"/>
      <c r="EU142" s="84"/>
      <c r="EV142" s="84"/>
      <c r="EW142" s="84"/>
      <c r="EX142" s="81"/>
      <c r="EY142" s="87"/>
      <c r="EZ142" s="87"/>
      <c r="FA142" s="87"/>
      <c r="FB142" s="87"/>
      <c r="FC142" s="87"/>
    </row>
    <row r="143" spans="1:217" s="3" customFormat="1" ht="12.75" customHeight="1" x14ac:dyDescent="0.25">
      <c r="A143" s="28"/>
      <c r="B143" s="77"/>
      <c r="C143" s="49"/>
      <c r="D143" s="49"/>
      <c r="E143" s="49"/>
      <c r="H143" s="31"/>
      <c r="I143" s="29"/>
      <c r="J143" s="29"/>
      <c r="K143" s="29"/>
      <c r="L143" s="48"/>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49"/>
      <c r="CJ143" s="49"/>
      <c r="CK143" s="49"/>
      <c r="CL143" s="49"/>
      <c r="CM143" s="49"/>
      <c r="CN143" s="49"/>
      <c r="CO143" s="49"/>
      <c r="CP143" s="49"/>
      <c r="CQ143" s="49"/>
      <c r="CR143" s="49"/>
      <c r="CS143" s="49"/>
      <c r="CT143" s="49"/>
      <c r="CU143" s="49"/>
      <c r="CV143" s="49"/>
      <c r="CW143" s="49"/>
      <c r="CX143" s="49"/>
      <c r="CY143" s="49"/>
      <c r="CZ143" s="49"/>
      <c r="DA143" s="49"/>
      <c r="DB143" s="49"/>
      <c r="DC143" s="49"/>
      <c r="DD143" s="49"/>
      <c r="DE143" s="49"/>
      <c r="DF143" s="49"/>
      <c r="DG143" s="78"/>
      <c r="DH143" s="78"/>
      <c r="DI143" s="78"/>
      <c r="DJ143" s="78"/>
      <c r="DK143" s="78"/>
      <c r="DL143" s="79"/>
      <c r="DM143" s="79"/>
      <c r="DN143" s="80"/>
      <c r="DO143" s="78"/>
      <c r="DP143" s="78"/>
      <c r="DQ143" s="81"/>
      <c r="DR143" s="82"/>
      <c r="DS143" s="82"/>
      <c r="DT143" s="82"/>
      <c r="DU143" s="82"/>
      <c r="DV143" s="82"/>
      <c r="DW143" s="83"/>
      <c r="DX143" s="83"/>
      <c r="DY143" s="81"/>
      <c r="DZ143" s="82"/>
      <c r="EA143" s="82"/>
      <c r="EB143" s="81"/>
      <c r="EC143" s="82"/>
      <c r="ED143" s="82"/>
      <c r="EE143" s="82"/>
      <c r="EF143" s="82"/>
      <c r="EG143" s="82"/>
      <c r="EH143" s="83"/>
      <c r="EI143" s="83"/>
      <c r="EJ143" s="81"/>
      <c r="EK143" s="82"/>
      <c r="EL143" s="82"/>
      <c r="EM143" s="81"/>
      <c r="EN143" s="84"/>
      <c r="EO143" s="84"/>
      <c r="EP143" s="84"/>
      <c r="EQ143" s="84"/>
      <c r="ER143" s="84"/>
      <c r="ES143" s="85"/>
      <c r="ET143" s="86"/>
      <c r="EU143" s="84"/>
      <c r="EV143" s="84"/>
      <c r="EW143" s="84"/>
      <c r="EX143" s="81"/>
      <c r="EY143" s="87"/>
      <c r="EZ143" s="87"/>
      <c r="FA143" s="87"/>
      <c r="FB143" s="87"/>
      <c r="FC143" s="87"/>
      <c r="FD143" s="72"/>
      <c r="FE143" s="72"/>
      <c r="FF143" s="72"/>
      <c r="FG143" s="72"/>
      <c r="FH143" s="72"/>
      <c r="FI143" s="72"/>
      <c r="FJ143" s="72"/>
      <c r="FK143" s="72"/>
      <c r="FL143" s="72"/>
      <c r="FM143" s="72"/>
      <c r="FN143" s="72"/>
      <c r="FO143" s="72"/>
      <c r="FP143" s="72"/>
      <c r="FQ143" s="72"/>
      <c r="FR143" s="72"/>
      <c r="FS143" s="72"/>
      <c r="FT143" s="72"/>
      <c r="FU143" s="72"/>
      <c r="FV143" s="72"/>
      <c r="FW143" s="72"/>
      <c r="FX143" s="72"/>
      <c r="FY143" s="72"/>
      <c r="FZ143" s="72"/>
      <c r="GA143" s="72"/>
      <c r="GB143" s="72"/>
      <c r="GC143" s="72"/>
      <c r="GD143" s="72"/>
      <c r="GE143" s="72"/>
      <c r="GF143" s="72"/>
      <c r="GG143" s="72"/>
      <c r="GH143" s="72"/>
      <c r="GI143" s="72"/>
      <c r="GJ143" s="72"/>
      <c r="GK143" s="72"/>
      <c r="GL143" s="72"/>
      <c r="GM143" s="72"/>
      <c r="GN143" s="72"/>
      <c r="GO143" s="72"/>
      <c r="GP143" s="72"/>
      <c r="GQ143" s="72"/>
      <c r="GR143" s="72"/>
      <c r="GS143" s="72"/>
      <c r="GT143" s="72"/>
      <c r="GU143" s="72"/>
      <c r="GV143" s="72"/>
      <c r="GW143" s="72"/>
      <c r="GX143" s="72"/>
      <c r="GY143" s="72"/>
      <c r="GZ143" s="72"/>
      <c r="HA143" s="72"/>
      <c r="HB143" s="72"/>
      <c r="HC143" s="72"/>
      <c r="HD143" s="72"/>
      <c r="HE143" s="72"/>
      <c r="HF143" s="72"/>
      <c r="HG143" s="72"/>
      <c r="HH143" s="72"/>
      <c r="HI143" s="72"/>
    </row>
  </sheetData>
  <protectedRanges>
    <protectedRange sqref="EY1:FC3" name="区域1_2"/>
    <protectedRange sqref="EY141:FC143" name="区域1_2_2"/>
    <protectedRange sqref="EY4:FA140" name="区域1_2_1_2"/>
    <protectedRange sqref="FB4:FC140" name="区域1_2_2_1_2"/>
  </protectedRanges>
  <autoFilter ref="A3:HJ140" xr:uid="{00000000-0009-0000-0000-000003000000}"/>
  <mergeCells count="8">
    <mergeCell ref="A1:I1"/>
    <mergeCell ref="EY1:FC1"/>
    <mergeCell ref="J2:L2"/>
    <mergeCell ref="EY2:FB2"/>
    <mergeCell ref="DG1:DP2"/>
    <mergeCell ref="DR1:EA2"/>
    <mergeCell ref="EC1:EL2"/>
    <mergeCell ref="EN1:EW2"/>
  </mergeCells>
  <phoneticPr fontId="35" type="noConversion"/>
  <conditionalFormatting sqref="M4:M140">
    <cfRule type="duplicateValues" dxfId="0" priority="1"/>
  </conditionalFormatting>
  <hyperlinks>
    <hyperlink ref="P13" r:id="rId1" xr:uid="{E335C84D-E56A-42BC-9522-DA216FB3DF51}"/>
    <hyperlink ref="P16" r:id="rId2" tooltip="http://www.alsglobal.com" xr:uid="{BA4A80AA-3FB9-455F-86FD-E2BED962C036}"/>
    <hyperlink ref="P23" r:id="rId3" xr:uid="{FB1229EA-3AED-475E-9C65-C4DACF9757E5}"/>
    <hyperlink ref="P17" r:id="rId4" tooltip="http://www.zzytech.com" xr:uid="{4AF62CC3-03EE-4187-A036-7518754E0974}"/>
    <hyperlink ref="P33" r:id="rId5" xr:uid="{6B91C0EA-2551-4BF1-8952-5B06ACF50EE5}"/>
    <hyperlink ref="P135" r:id="rId6" xr:uid="{422F4F61-0B12-41BC-994C-3A8D76061090}"/>
    <hyperlink ref="P5" r:id="rId7" xr:uid="{ABFF8A88-32DE-448F-9BAE-D7F17DE69A8F}"/>
    <hyperlink ref="P12" r:id="rId8" tooltip="http://www.kose.co.jp" xr:uid="{3AAB670F-400C-4B1D-BF1B-8300A8D3AC20}"/>
    <hyperlink ref="P52" r:id="rId9" tooltip="http://www.ams-life.com" xr:uid="{81CE462D-5594-458A-8096-FB71C172CF7D}"/>
    <hyperlink ref="P53" r:id="rId10" xr:uid="{D5F46858-29AF-4E3C-B6FE-045762568CB0}"/>
    <hyperlink ref="P69" r:id="rId11" xr:uid="{A03E0E12-BFC4-47CD-AF27-3B44B5F60C8A}"/>
    <hyperlink ref="P71" r:id="rId12" xr:uid="{92567B0A-CD89-4A01-BFDE-97D1F6AF9005}"/>
    <hyperlink ref="P80" r:id="rId13" xr:uid="{4DA0C4E8-D9E4-45EF-B126-CFB3EE6531B1}"/>
    <hyperlink ref="P90" r:id="rId14" xr:uid="{3DBC6012-D55F-46D1-A781-A8FA53AA825F}"/>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0" master=""/>
  <rangeList sheetStid="2" master=""/>
  <rangeList sheetStid="4" master=""/>
  <rangeList sheetStid="3" master="">
    <arrUserId title="区域1_2" rangeCreator="" othersAccessPermission="edit"/>
    <arrUserId title="区域1_2_2" rangeCreator="" othersAccessPermission="edit"/>
    <arrUserId title="区域1_2_1" rangeCreator="" othersAccessPermission="edit"/>
    <arrUserId title="区域1_2_2_1" rangeCreator="" othersAccessPermission="edit"/>
  </rangeList>
  <rangeList sheetStid="12" master=""/>
  <rangeList sheetStid="1" master=""/>
  <rangeList sheetStid="5" master=""/>
  <rangeList sheetStid="6" master=""/>
  <rangeList sheetStid="11" master=""/>
  <rangeList sheetStid="7" master=""/>
  <rangeList sheetStid="8" master=""/>
  <rangeList sheetStid="9" master="">
    <arrUserId title="区域1_2" rangeCreator="" othersAccessPermission="edit"/>
    <arrUserId title="区域1_2_2" rangeCreator="" othersAccessPermission="edit"/>
    <arrUserId title="区域1_2_1" rangeCreator="" othersAccessPermission="edit"/>
    <arrUserId title="区域1_2_2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数据表</vt:lpstr>
      <vt:lpstr>年度--&gt;</vt:lpstr>
      <vt:lpstr>SummaryYear</vt:lpstr>
      <vt:lpstr>AP Lead Sheet YEAR</vt:lpstr>
      <vt:lpstr>AP 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刘嘟嘟</dc:creator>
  <cp:lastModifiedBy>自豪 满</cp:lastModifiedBy>
  <dcterms:created xsi:type="dcterms:W3CDTF">2024-03-08T07:06:00Z</dcterms:created>
  <dcterms:modified xsi:type="dcterms:W3CDTF">2025-04-14T05:47:38Z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B746E9A35E60433886694DE66560434E_13</vt:lpwstr>
  </property>
  <property fmtid="{D5CDD505-2E9C-101B-9397-08002B2CF9AE}" pid="3" name="KSOProductBuildVer">
    <vt:lpwstr>2052-12.1.0.16929</vt:lpwstr>
  </property>
  <property fmtid="{D5CDD505-2E9C-101B-9397-08002B2CF9AE}" pid="4" name="KSOReadingLayout">
    <vt:bool>true</vt:bool>
  </property>
</Properties>
</file>