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OneDrive\Project R\TPD\tepmplate&amp;系统\TP系统模板\spx review\"/>
    </mc:Choice>
  </mc:AlternateContent>
  <bookViews>
    <workbookView xWindow="0" yWindow="0" windowWidth="28800" windowHeight="12380" tabRatio="823" activeTab="8"/>
  </bookViews>
  <sheets>
    <sheet name="数据表" sheetId="21" r:id="rId1"/>
    <sheet name="集团背景情况" sheetId="23" r:id="rId2"/>
    <sheet name="公司经营背景资料" sheetId="24" r:id="rId3"/>
    <sheet name="主要产品" sheetId="26" r:id="rId4"/>
    <sheet name="行业情况" sheetId="27" r:id="rId5"/>
    <sheet name="被测关联交易" sheetId="25" r:id="rId6"/>
    <sheet name="资料清单" sheetId="18" r:id="rId7"/>
    <sheet name="1 组织结构及管理架构" sheetId="16" r:id="rId8"/>
    <sheet name="2 关联公司信息" sheetId="7" r:id="rId9"/>
    <sheet name="关联方个人信息" sheetId="28" r:id="rId10"/>
    <sheet name="关联关系变化情况" sheetId="29" r:id="rId11"/>
    <sheet name="3 分部财务数据" sheetId="8" r:id="rId12"/>
    <sheet name="关联交易汇总表" sheetId="30" r:id="rId13"/>
    <sheet name="4 供应商清单" sheetId="12" r:id="rId14"/>
    <sheet name="5 客户清单" sheetId="13" r:id="rId15"/>
    <sheet name="6 劳务交易表" sheetId="20" r:id="rId16"/>
    <sheet name="劳务成本归集" sheetId="31" r:id="rId17"/>
    <sheet name="资金融通" sheetId="32" r:id="rId18"/>
    <sheet name="公司间资金融通交易总结" sheetId="36" r:id="rId19"/>
    <sheet name="有形资产信息" sheetId="33" r:id="rId20"/>
    <sheet name="功能风险汇总表" sheetId="34" r:id="rId21"/>
    <sheet name="PL" sheetId="19" r:id="rId22"/>
    <sheet name="PL含特殊因素调整" sheetId="35"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 localSheetId="21">#REF!</definedName>
    <definedName name="\A">#REF!</definedName>
    <definedName name="_">'[1]046 Fixed Ass. mov.'!#REF!</definedName>
    <definedName name="__PC1">'[2]Physical Count'!$A$1:$B$65536</definedName>
    <definedName name="_CRA" localSheetId="6">[3]U40!#REF!</definedName>
    <definedName name="_CRA">[3]U40!#REF!</definedName>
    <definedName name="_DAT5">[4]SFG_ND!#REF!</definedName>
    <definedName name="_DAT7">[4]SFG_ND!#REF!</definedName>
    <definedName name="_DAT8">[4]SFG_ND!#REF!</definedName>
    <definedName name="_ftn1" localSheetId="11">'3 分部财务数据'!#REF!</definedName>
    <definedName name="_ftnref1" localSheetId="11">'3 分部财务数据'!#REF!</definedName>
    <definedName name="_Order1" hidden="1">255</definedName>
    <definedName name="_Order2" hidden="1">255</definedName>
    <definedName name="_Table1_In1" localSheetId="21" hidden="1">#REF!</definedName>
    <definedName name="_Table1_In1" hidden="1">#REF!</definedName>
    <definedName name="_Table1_Out" localSheetId="21" hidden="1">#REF!</definedName>
    <definedName name="_Table1_Out" hidden="1">#REF!</definedName>
    <definedName name="_W_DMOP_Billing_report_Jul_02">#REF!</definedName>
    <definedName name="A" localSheetId="21">#REF!</definedName>
    <definedName name="A">#REF!</definedName>
    <definedName name="aa">#REF!</definedName>
    <definedName name="aaa">#REF!</definedName>
    <definedName name="ACCOUNT">[5]Bank!$C$2:$C$99</definedName>
    <definedName name="AccountDesc">[6]Accounts!$A$1:$A$386</definedName>
    <definedName name="APTTL">[7]BKD!$N$573</definedName>
    <definedName name="AR" localSheetId="21">#REF!</definedName>
    <definedName name="AR">#REF!</definedName>
    <definedName name="AR_Summary_SGD_Currency" localSheetId="21">#REF!</definedName>
    <definedName name="AR_Summary_SGD_Currency">#REF!</definedName>
    <definedName name="AR_Summary_Source_Currency" localSheetId="21">#REF!</definedName>
    <definedName name="AR_Summary_Source_Currency">#REF!</definedName>
    <definedName name="ARUTL" localSheetId="21">#REF!</definedName>
    <definedName name="ARUTL">#REF!</definedName>
    <definedName name="as">[8]Input!$D$4</definedName>
    <definedName name="AS2DocOpenMode" hidden="1">"AS2DocumentEdit"</definedName>
    <definedName name="Automobiles">#REF!</definedName>
    <definedName name="b" localSheetId="21">#REF!</definedName>
    <definedName name="b">#REF!</definedName>
    <definedName name="brec0396">[9]jun94!#REF!</definedName>
    <definedName name="building">#REF!</definedName>
    <definedName name="Category" localSheetId="21">#REF!</definedName>
    <definedName name="Category">#REF!</definedName>
    <definedName name="CC">#REF!</definedName>
    <definedName name="CLIENT_NAME">#REF!</definedName>
    <definedName name="CNAME">[5]Bank!$B$2:$B$99</definedName>
    <definedName name="COA">#REF!</definedName>
    <definedName name="cost1">[2]Cost!$A$1:$P$65536</definedName>
    <definedName name="Cr">#REF!</definedName>
    <definedName name="Custom1">'[10]Drill-Down Lists'!$H$2:$H$3</definedName>
    <definedName name="Custom2">'[10]Drill-Down Lists'!$I$2:$I$544</definedName>
    <definedName name="Custom3">'[10]Drill-Down Lists'!$J$2:$J$3</definedName>
    <definedName name="Custom4">'[10]Drill-Down Lists'!$K$2:$K$3</definedName>
    <definedName name="Customer_Master_File" localSheetId="21">#REF!</definedName>
    <definedName name="Customer_Master_File">#REF!</definedName>
    <definedName name="CYCLES">[11]JobDetails!$A$56:$A$90</definedName>
    <definedName name="DA_1990314306000000334" hidden="1">#REF!</definedName>
    <definedName name="DA_2302403568800003470" hidden="1">#REF!</definedName>
    <definedName name="DA_3187383536500002726" hidden="1">#REF!</definedName>
    <definedName name="DA_3187383536500002757" hidden="1">#REF!</definedName>
    <definedName name="DA_3187383536500002822" hidden="1">#REF!</definedName>
    <definedName name="DA_3187383536500002829" hidden="1">#REF!</definedName>
    <definedName name="DA_3572313671800000379" hidden="1">#REF!</definedName>
    <definedName name="DA_3584495742900000988" hidden="1">#REF!</definedName>
    <definedName name="DA_3584495742900000994" hidden="1">#REF!</definedName>
    <definedName name="DA_3584495742900000998" hidden="1">#REF!</definedName>
    <definedName name="DA_3584495742900001004" hidden="1">#REF!</definedName>
    <definedName name="DA_3586127595300001053" hidden="1">#REF!</definedName>
    <definedName name="DA_3586127595300001062" hidden="1">#REF!</definedName>
    <definedName name="DA_3586127595300001068" hidden="1">#REF!</definedName>
    <definedName name="DA_3586127595300001072" hidden="1">#REF!</definedName>
    <definedName name="DA_3586127595300001077" hidden="1">#REF!</definedName>
    <definedName name="DA_3586127595300001082" hidden="1">#REF!</definedName>
    <definedName name="DA_3586127595300001243" hidden="1">#REF!</definedName>
    <definedName name="DA_3586127595300001257" hidden="1">#REF!</definedName>
    <definedName name="DA_3586127595300001262" hidden="1">#REF!</definedName>
    <definedName name="DA_3586127595300001266" hidden="1">#REF!</definedName>
    <definedName name="DA_3586127595300001726" hidden="1">#REF!</definedName>
    <definedName name="DA_3586127595300001886" hidden="1">#REF!</definedName>
    <definedName name="DA_3586127595300001896" hidden="1">#REF!</definedName>
    <definedName name="DA_3586127595300001901" hidden="1">#REF!</definedName>
    <definedName name="DA_3586127595300001905" hidden="1">#REF!</definedName>
    <definedName name="DA_3705332064700000098" hidden="1">#REF!</definedName>
    <definedName name="DA_3705332064700000102" hidden="1">#REF!</definedName>
    <definedName name="DA_3705332064700000108" hidden="1">#REF!</definedName>
    <definedName name="DA_3705332064700000110" hidden="1">#REF!</definedName>
    <definedName name="_xlnm.Database">#REF!</definedName>
    <definedName name="dddddddddddddd" hidden="1">{#N/A,#N/A,FALSE,"Aging Summary";#N/A,#N/A,FALSE,"Ratio Analysis";#N/A,#N/A,FALSE,"Test 120 Day Accts";#N/A,#N/A,FALSE,"Tickmarks"}</definedName>
    <definedName name="dfd">#REF!</definedName>
    <definedName name="Doubt_Debt" localSheetId="21">#REF!</definedName>
    <definedName name="Doubt_Debt">#REF!</definedName>
    <definedName name="Dr">#REF!</definedName>
    <definedName name="e">#REF!</definedName>
    <definedName name="e_data">OFFSET(#REF!,1,0,COUNTA(#REF!)-1,2)</definedName>
    <definedName name="e_empindex">#REF!</definedName>
    <definedName name="ee">#REF!</definedName>
    <definedName name="eeeefffff">'[1]046 Fixed Ass. mov.'!#REF!</definedName>
    <definedName name="Electrical">#REF!</definedName>
    <definedName name="ENAME">[5]Bank!$A$2:$A$99</definedName>
    <definedName name="entities">[6]Entities!$B$2:$B$909</definedName>
    <definedName name="Entity">'[12]Dropdown List'!$A$2:$A$22</definedName>
    <definedName name="Equipment">#REF!</definedName>
    <definedName name="excel">#REF!</definedName>
    <definedName name="Exchange_Rate" localSheetId="21">#REF!</definedName>
    <definedName name="Exchange_Rate">#REF!</definedName>
    <definedName name="fdcperiod">[8]Input!$A$8</definedName>
    <definedName name="ff">#REF!</definedName>
    <definedName name="fff" hidden="1">{#N/A,#N/A,FALSE,"Aging Summary";#N/A,#N/A,FALSE,"Ratio Analysis";#N/A,#N/A,FALSE,"Test 120 Day Accts";#N/A,#N/A,FALSE,"Tickmarks"}</definedName>
    <definedName name="furniture">#REF!</definedName>
    <definedName name="HEADER">#REF!</definedName>
    <definedName name="Hyperlink186">#REF!</definedName>
    <definedName name="Hyperlink194">#REF!</definedName>
    <definedName name="Hyperlink195">#REF!</definedName>
    <definedName name="ICP">'[10]Drill-Down Lists'!$G$2:$G$3</definedName>
    <definedName name="icp_entities">[6]Entities!$C$1:$C$753</definedName>
    <definedName name="INDEXES">[11]JobDetails!$A$56:$C$90</definedName>
    <definedName name="InputPL">[8]Input!$G$10</definedName>
    <definedName name="intangibleassets">#REF!</definedName>
    <definedName name="intass">#REF!</definedName>
    <definedName name="io">'[1]046 Fixed Ass. mov.'!#REF!</definedName>
    <definedName name="ITT_Rate">[13]Property!$F$18:$H$26</definedName>
    <definedName name="Macro1">[14]Macro1!$A$1</definedName>
    <definedName name="Macro10" localSheetId="21">#REF!</definedName>
    <definedName name="Macro10">#REF!</definedName>
    <definedName name="Macro11" localSheetId="21">#REF!</definedName>
    <definedName name="Macro11">#REF!</definedName>
    <definedName name="Macro12" localSheetId="21">#REF!</definedName>
    <definedName name="Macro12">#REF!</definedName>
    <definedName name="Macro2">[14]Macro1!$A$8</definedName>
    <definedName name="Macro3">[14]Macro1!$A$15</definedName>
    <definedName name="Macro4">[14]Macro1!$A$22</definedName>
    <definedName name="Macro5">[14]Macro1!$A$29</definedName>
    <definedName name="Macro6" localSheetId="21">#REF!</definedName>
    <definedName name="Macro6">#REF!</definedName>
    <definedName name="Macro7" localSheetId="21">#REF!</definedName>
    <definedName name="Macro7">#REF!</definedName>
    <definedName name="Macro8" localSheetId="21">#REF!</definedName>
    <definedName name="Macro8">#REF!</definedName>
    <definedName name="Macro9" localSheetId="21">#REF!</definedName>
    <definedName name="Macro9">#REF!</definedName>
    <definedName name="Month">[8]Input!$D$5</definedName>
    <definedName name="N8aAccrual06" localSheetId="21">#REF!</definedName>
    <definedName name="N8aAccrual06">#REF!</definedName>
    <definedName name="Note3" localSheetId="21">#REF!</definedName>
    <definedName name="Note3">#REF!</definedName>
    <definedName name="note3c" localSheetId="21">#REF!</definedName>
    <definedName name="note3c">#REF!</definedName>
    <definedName name="o90077545fjkl">'[1]046 Fixed Ass. mov.'!#REF!</definedName>
    <definedName name="officeequipm">#REF!</definedName>
    <definedName name="OLE_LINK5" localSheetId="6">资料清单!#REF!</definedName>
    <definedName name="OUTPUT">#REF!</definedName>
    <definedName name="overview">#REF!</definedName>
    <definedName name="p_list">OFFSET(#REF!,1,0,COUNTA(#REF!)-1,2)</definedName>
    <definedName name="PC">'[15]Physical Count'!$A$1:$B$65536</definedName>
    <definedName name="Pd">[6]Pd!$A$1:$A$24</definedName>
    <definedName name="Period">[16]MasterData!$A$2:$A$368</definedName>
    <definedName name="PERIOD_END">#REF!</definedName>
    <definedName name="PM">[17]Masterdata!$A$1:$A$12</definedName>
    <definedName name="poiudncd">'[1]046 Fixed Ass. mov.'!#REF!</definedName>
    <definedName name="Pos._121.100">'[1]046 Fixed Ass. mov.'!#REF!</definedName>
    <definedName name="Pos._121.200">'[1]046 Fixed Ass. mov.'!#REF!</definedName>
    <definedName name="Pos._121.300">'[1]046 Fixed Ass. mov.'!#REF!</definedName>
    <definedName name="Pos._122.110">'[1]046 Fixed Ass. mov.'!#REF!</definedName>
    <definedName name="Pos._122.120">'[1]046 Fixed Ass. mov.'!#REF!</definedName>
    <definedName name="Pos._122.130">'[1]046 Fixed Ass. mov.'!#REF!</definedName>
    <definedName name="Pos._122.140">'[1]046 Fixed Ass. mov.'!#REF!</definedName>
    <definedName name="Pos._122.200">'[1]046 Fixed Ass. mov.'!#REF!</definedName>
    <definedName name="Pos._122.310">'[1]046 Fixed Ass. mov.'!#REF!</definedName>
    <definedName name="Pos._122.320">'[1]046 Fixed Ass. mov.'!#REF!</definedName>
    <definedName name="Pos._122.400">'[1]046 Fixed Ass. mov.'!#REF!</definedName>
    <definedName name="Pos._122.510">'[1]046 Fixed Ass. mov.'!#REF!</definedName>
    <definedName name="Pos._122.520">'[1]046 Fixed Ass. mov.'!#REF!</definedName>
    <definedName name="Pos._123.100">'[1]046 Fixed Ass. mov.'!#REF!</definedName>
    <definedName name="Pos._123.200">'[1]046 Fixed Ass. mov.'!#REF!</definedName>
    <definedName name="Pos._123.310">'[1]046 Fixed Ass. mov.'!#REF!</definedName>
    <definedName name="Pos._123.320">'[1]046 Fixed Ass. mov.'!#REF!</definedName>
    <definedName name="Pos._123.410">'[1]046 Fixed Ass. mov.'!#REF!</definedName>
    <definedName name="Pos._123.420">'[1]046 Fixed Ass. mov.'!#REF!</definedName>
    <definedName name="Pos._123.510">'[1]046 Fixed Ass. mov.'!#REF!</definedName>
    <definedName name="Pos._123.520">'[1]046 Fixed Ass. mov.'!#REF!</definedName>
    <definedName name="Pos._123.600">'[1]046 Fixed Ass. mov.'!#REF!</definedName>
    <definedName name="ppe">#REF!</definedName>
    <definedName name="PRC">[18]SUAD!$C$1:$O$45</definedName>
    <definedName name="PREPARED_BY">#REF!</definedName>
    <definedName name="PREPARED_DATE">#REF!</definedName>
    <definedName name="_xlnm.Print_Area" localSheetId="7">'1 组织结构及管理架构'!$A$1:$E$11</definedName>
    <definedName name="_xlnm.Print_Area" localSheetId="8">'2 关联公司信息'!$A$1:$J$18</definedName>
    <definedName name="_xlnm.Print_Area" localSheetId="11">'3 分部财务数据'!$A$1:$K$27</definedName>
    <definedName name="_xlnm.Print_Area" localSheetId="13">'4 供应商清单'!$A$1:$J$39</definedName>
    <definedName name="_xlnm.Print_Area" localSheetId="14">'5 客户清单'!$A$1:$J$40</definedName>
    <definedName name="_xlnm.Print_Area" localSheetId="6">资料清单!$A$1:$B$21</definedName>
    <definedName name="_xlnm.Print_Area">#REF!</definedName>
    <definedName name="Print_Area_MI" localSheetId="21">#REF!</definedName>
    <definedName name="Print_Area_MI">#REF!</definedName>
    <definedName name="_xlnm.Print_Titles" localSheetId="6">资料清单!$9:$9</definedName>
    <definedName name="Print_Titles_MI" localSheetId="21">#REF!</definedName>
    <definedName name="Print_Titles_MI">#REF!</definedName>
    <definedName name="Recover">[19]Macro1!$A$99</definedName>
    <definedName name="Rindx">MATCH("Grand Total",[20]AR3rd!1:1,0)</definedName>
    <definedName name="Scenario">'[12]Dropdown List'!$F$2:$F$14</definedName>
    <definedName name="Selection1">#REF!</definedName>
    <definedName name="Social_Benefit">[13]Property!$C$4:$O$15</definedName>
    <definedName name="software">#REF!</definedName>
    <definedName name="SRM" localSheetId="21">#REF!</definedName>
    <definedName name="SRM">#REF!</definedName>
    <definedName name="table2">'[21]ex.rate 07'!$B$5:$C$34</definedName>
    <definedName name="TableName">"Dummy"</definedName>
    <definedName name="tatcol" localSheetId="21">#REF!</definedName>
    <definedName name="tatcol">#REF!</definedName>
    <definedName name="tatpl" localSheetId="21">#REF!</definedName>
    <definedName name="tatpl">#REF!</definedName>
    <definedName name="tatrow" localSheetId="21">#REF!</definedName>
    <definedName name="tatrow">#REF!</definedName>
    <definedName name="TB054ebf94_076e_4b0c_a574_08c63ef03255" hidden="1">#REF!</definedName>
    <definedName name="TB055c7a7f_970d_4dd0_a99e_9fdcc214e267" hidden="1">#REF!</definedName>
    <definedName name="TB07993ad8_5e39_4554_8471_39e70c3d24b3" hidden="1">#REF!</definedName>
    <definedName name="TB09b176ce_809c_4e34_b083_fd761f002b32" hidden="1">#REF!</definedName>
    <definedName name="TB0c0e4d50_2708_403b_ab2a_1ebc2de23568" hidden="1">#REF!</definedName>
    <definedName name="TB0d989772_5550_43b4_aa86_4b25a8375563" hidden="1">#REF!</definedName>
    <definedName name="TB122e65ad_04c0_43a8_bb99_e4f3c36b0fa2" hidden="1">#REF!</definedName>
    <definedName name="TB14eaffb3_e29c_4b47_a7ef_c65625332e86" hidden="1">#REF!</definedName>
    <definedName name="TB1b978e21_5e1c_446a_ab4c_a55b9dfa176a" hidden="1">#REF!</definedName>
    <definedName name="TB22375bc3_1761_434b_8d68_b740d9fbc833" hidden="1">#REF!</definedName>
    <definedName name="TB346926fb_6e4e_44c5_9769_e54c1f63a4ef" hidden="1">#REF!</definedName>
    <definedName name="TB347391bd_3299_49da_8a6a_63a12cd1e003" hidden="1">#REF!</definedName>
    <definedName name="TB38c26054_18ed_4f47_b856_80a7fd6fb06e" hidden="1">#REF!</definedName>
    <definedName name="TB4d67d454_3754_478d_9a9a_df6ef34651c0" hidden="1">#REF!</definedName>
    <definedName name="TB54c1ad53_3bfc_4692_9967_68456daf4b9c" hidden="1">#REF!</definedName>
    <definedName name="TB560fd9e4_b094_4aba_bbed_a5dda5350ebb" hidden="1">#REF!</definedName>
    <definedName name="TB627f4597_8c48_42c3_8b82_8ebe27c6fda2" hidden="1">#REF!</definedName>
    <definedName name="TB6d9c4745_5177_4aa9_b4b1_004262cf0a87" hidden="1">#REF!</definedName>
    <definedName name="TB711bf41c_6045_43d1_a915_0f4daa3b61e4" hidden="1">#REF!</definedName>
    <definedName name="TB7914ea31_d061_479e_907f_08d1de792271" hidden="1">#REF!</definedName>
    <definedName name="TB8615ede6_a872_489f_9cf4_b683c30ea1fe" hidden="1">#REF!</definedName>
    <definedName name="TB89293879_027d_4180_a5fb_d97495a8ca88" hidden="1">#REF!</definedName>
    <definedName name="TB8ac11e84_f9d3_4b34_a94e_378beb11d3cf" hidden="1">#REF!</definedName>
    <definedName name="TBa3a32538_b413_4217_abd8_eecbafd6ef34" hidden="1">#REF!</definedName>
    <definedName name="TBa57f1364_b8f9_4ada_baf2_c0593dc120cf" hidden="1">#REF!</definedName>
    <definedName name="TBa63fbfbf_c509_4757_aa02_021e3749610d" hidden="1">#REF!</definedName>
    <definedName name="TBa6bba863_46a3_46fd_82bf_d3df08a60d17" hidden="1">#REF!</definedName>
    <definedName name="TBa9f4a28f_da14_4422_931e_012915b1873a" hidden="1">#REF!</definedName>
    <definedName name="TBbf0154d1_cbbb_4a64_ab3b_e0a227ad10b7" hidden="1">#REF!</definedName>
    <definedName name="TBdd29fd48_64d0_4f70_b462_5db84e34460f" hidden="1">#REF!</definedName>
    <definedName name="TBdeecaec3_eedb_49d3_9ee7_7db89ae669fd" hidden="1">#REF!</definedName>
    <definedName name="TBef357745_961c_4d3c_9d21_fb1848ec3ead" hidden="1">#REF!</definedName>
    <definedName name="TBf29de241_b68d_48b6_9ee3_496dd4c07272" hidden="1">#REF!</definedName>
    <definedName name="TBfecf5cc0_23f7_48fa_bd8c_926c232eefa9" hidden="1">#REF!</definedName>
    <definedName name="TextRefCopy1">#REF!</definedName>
    <definedName name="TextRefCopy10">'[22]Sales-Customer'!#REF!</definedName>
    <definedName name="TextRefCopy100">#REF!</definedName>
    <definedName name="TextRefCopy101">#REF!</definedName>
    <definedName name="TextRefCopy108">'[23]Staff adv.'!$E$35</definedName>
    <definedName name="TextRefCopy11">#REF!</definedName>
    <definedName name="TextRefCopy12">'[22]Sales-Customer'!#REF!</definedName>
    <definedName name="TextRefCopy13">#REF!</definedName>
    <definedName name="TextRefCopy14">'[22]Sales-Customer'!#REF!</definedName>
    <definedName name="TextRefCopy15">#REF!</definedName>
    <definedName name="TextRefCopy16">#REF!</definedName>
    <definedName name="TextRefCopy162">'[22]Sales-Product'!#REF!</definedName>
    <definedName name="TextRefCopy168">'[22]Sales-Product'!#REF!</definedName>
    <definedName name="TextRefCopy17">#REF!</definedName>
    <definedName name="TextRefCopy18">[24]建信置业!#REF!</definedName>
    <definedName name="TextRefCopy19">[24]杭州华健!#REF!</definedName>
    <definedName name="TextRefCopy2">#REF!</definedName>
    <definedName name="TextRefCopy20">[24]绍兴信达!#REF!</definedName>
    <definedName name="TextRefCopy21">#REF!</definedName>
    <definedName name="TextRefCopy22">#REF!</definedName>
    <definedName name="TextRefCopy23">[22]PBC!#REF!</definedName>
    <definedName name="TextRefCopy24">#REF!</definedName>
    <definedName name="TextRefCopy25">#REF!</definedName>
    <definedName name="TextRefCopy26">#REF!</definedName>
    <definedName name="TextRefCopy264">#REF!</definedName>
    <definedName name="TextRefCopy269">#REF!</definedName>
    <definedName name="TextRefCopy27">#REF!</definedName>
    <definedName name="TextRefCopy271">#REF!</definedName>
    <definedName name="TextRefCopy272">#REF!</definedName>
    <definedName name="TextRefCopy278">'[22]Sales-Product'!#REF!</definedName>
    <definedName name="TextRefCopy28">#REF!</definedName>
    <definedName name="TextRefCopy281">#REF!</definedName>
    <definedName name="TextRefCopy284">#REF!</definedName>
    <definedName name="TextRefCopy286">#REF!</definedName>
    <definedName name="TextRefCopy288">#REF!</definedName>
    <definedName name="TextRefCopy29">#REF!</definedName>
    <definedName name="TextRefCopy3">#REF!</definedName>
    <definedName name="TextRefCopy30">#REF!</definedName>
    <definedName name="TextRefCopy31">#REF!</definedName>
    <definedName name="TextRefCopy317">'[22]Sales-Customer'!#REF!</definedName>
    <definedName name="TextRefCopy319">'[22]Sales-Customer'!#REF!</definedName>
    <definedName name="TextRefCopy32">#REF!</definedName>
    <definedName name="TextRefCopy321">'[22]Sales-Customer'!#REF!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395">#REF!</definedName>
    <definedName name="TextRefCopy397">#REF!</definedName>
    <definedName name="TextRefCopy398">#REF!</definedName>
    <definedName name="TextRefCopy399">#REF!</definedName>
    <definedName name="TextRefCopy4">#REF!</definedName>
    <definedName name="TextRefCopy40">#REF!</definedName>
    <definedName name="TextRefCopy400">#REF!</definedName>
    <definedName name="TextRefCopy401">#REF!</definedName>
    <definedName name="TextRefCopy402">#REF!</definedName>
    <definedName name="TextRefCopy406">#REF!</definedName>
    <definedName name="TextRefCopy407">#REF!</definedName>
    <definedName name="TextRefCopy408">#REF!</definedName>
    <definedName name="TextRefCopy409">#REF!</definedName>
    <definedName name="TextRefCopy41">#REF!</definedName>
    <definedName name="TextRefCopy411">#REF!</definedName>
    <definedName name="TextRefCopy413">#REF!</definedName>
    <definedName name="TextRefCopy414">#REF!</definedName>
    <definedName name="TextRefCopy42">#REF!</definedName>
    <definedName name="TextRefCopy421">#REF!</definedName>
    <definedName name="TextRefCopy424">#REF!</definedName>
    <definedName name="TextRefCopy426">#REF!</definedName>
    <definedName name="TextRefCopy427">#REF!</definedName>
    <definedName name="TextRefCopy43">#REF!</definedName>
    <definedName name="TextRefCopy430">#REF!</definedName>
    <definedName name="TextRefCopy435">#REF!</definedName>
    <definedName name="TextRefCopy437">#REF!</definedName>
    <definedName name="TextRefCopy439">#REF!</definedName>
    <definedName name="TextRefCopy44">#REF!</definedName>
    <definedName name="TextRefCopy441">#REF!</definedName>
    <definedName name="TextRefCopy442">#REF!</definedName>
    <definedName name="TextRefCopy443">#REF!</definedName>
    <definedName name="TextRefCopy445">#REF!</definedName>
    <definedName name="TextRefCopy446">#REF!</definedName>
    <definedName name="TextRefCopy447">#REF!</definedName>
    <definedName name="TextRefCopy448">#REF!</definedName>
    <definedName name="TextRefCopy45">#REF!</definedName>
    <definedName name="TextRefCopy450">#REF!</definedName>
    <definedName name="TextRefCopy452">#REF!</definedName>
    <definedName name="TextRefCopy454">#REF!</definedName>
    <definedName name="TextRefCopy459">#REF!</definedName>
    <definedName name="TextRefCopy46">#REF!</definedName>
    <definedName name="TextRefCopy463">#REF!</definedName>
    <definedName name="TextRefCopy464">#REF!</definedName>
    <definedName name="TextRefCopy465">#REF!</definedName>
    <definedName name="TextRefCopy467">#REF!</definedName>
    <definedName name="TextRefCopy469">#REF!</definedName>
    <definedName name="TextRefCopy47">'[25]Tax Movement'!#REF!</definedName>
    <definedName name="TextRefCopy470">#REF!</definedName>
    <definedName name="TextRefCopy471">#REF!</definedName>
    <definedName name="TextRefCopy472">#REF!</definedName>
    <definedName name="TextRefCopy474">#REF!</definedName>
    <definedName name="TextRefCopy475">#REF!</definedName>
    <definedName name="TextRefCopy476">#REF!</definedName>
    <definedName name="TextRefCopy48">#REF!</definedName>
    <definedName name="TextRefCopy481">#REF!</definedName>
    <definedName name="TextRefCopy487">#REF!</definedName>
    <definedName name="TextRefCopy489">#REF!</definedName>
    <definedName name="TextRefCopy49">#REF!</definedName>
    <definedName name="TextRefCopy492">#REF!</definedName>
    <definedName name="TextRefCopy495">#REF!</definedName>
    <definedName name="TextRefCopy497">#REF!</definedName>
    <definedName name="TextRefCopy5">#REF!</definedName>
    <definedName name="TextRefCopy50">#REF!</definedName>
    <definedName name="TextRefCopy501">#REF!</definedName>
    <definedName name="TextRefCopy502">#REF!</definedName>
    <definedName name="TextRefCopy505">#REF!</definedName>
    <definedName name="TextRefCopy506">#REF!</definedName>
    <definedName name="TextRefCopy507">#REF!</definedName>
    <definedName name="TextRefCopy509">#REF!</definedName>
    <definedName name="TextRefCopy51">#REF!</definedName>
    <definedName name="TextRefCopy510">#REF!</definedName>
    <definedName name="TextRefCopy511">#REF!</definedName>
    <definedName name="TextRefCopy512">#REF!</definedName>
    <definedName name="TextRefCopy514">#REF!</definedName>
    <definedName name="TextRefCopy516">#REF!</definedName>
    <definedName name="TextRefCopy517">#REF!</definedName>
    <definedName name="TextRefCopy52">#REF!</definedName>
    <definedName name="TextRefCopy522">#REF!</definedName>
    <definedName name="TextRefCopy526">#REF!</definedName>
    <definedName name="TextRefCopy527">#REF!</definedName>
    <definedName name="TextRefCopy528">#REF!</definedName>
    <definedName name="TextRefCopy529">#REF!</definedName>
    <definedName name="TextRefCopy53">#REF!</definedName>
    <definedName name="TextRefCopy531">#REF!</definedName>
    <definedName name="TextRefCopy533">#REF!</definedName>
    <definedName name="TextRefCopy534">#REF!</definedName>
    <definedName name="TextRefCopy535">#REF!</definedName>
    <definedName name="TextRefCopy536">#REF!</definedName>
    <definedName name="TextRefCopy537">#REF!</definedName>
    <definedName name="TextRefCopy538">#REF!</definedName>
    <definedName name="TextRefCopy539">#REF!</definedName>
    <definedName name="TextRefCopy54">#REF!</definedName>
    <definedName name="TextRefCopy55">#REF!</definedName>
    <definedName name="TextRefCopy56">#REF!</definedName>
    <definedName name="TextRefCopy57">'[26]2-1 Confirmation Control'!$I$30</definedName>
    <definedName name="TextRefCopy578">#REF!</definedName>
    <definedName name="TextRefCopy58">#REF!</definedName>
    <definedName name="TextRefCopy59">'[22]Sales-Product'!#REF!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45">#REF!</definedName>
    <definedName name="TextRefCopy646">#REF!</definedName>
    <definedName name="TextRefCopy65">#REF!</definedName>
    <definedName name="TextRefCopy650">#REF!</definedName>
    <definedName name="TextRefCopy652">#REF!</definedName>
    <definedName name="TextRefCopy654">#REF!</definedName>
    <definedName name="TextRefCopy655">#REF!</definedName>
    <definedName name="TextRefCopy658">#REF!</definedName>
    <definedName name="TextRefCopy66">#REF!</definedName>
    <definedName name="TextRefCopy661">#REF!</definedName>
    <definedName name="TextRefCopy662">#REF!</definedName>
    <definedName name="TextRefCopy664">#REF!</definedName>
    <definedName name="TextRefCopy665">#REF!</definedName>
    <definedName name="TextRefCopy666">#REF!</definedName>
    <definedName name="TextRefCopy67">#REF!</definedName>
    <definedName name="TextRefCopy671">#REF!</definedName>
    <definedName name="TextRefCopy672">#REF!</definedName>
    <definedName name="TextRefCopy679">#REF!</definedName>
    <definedName name="TextRefCopy680">#REF!</definedName>
    <definedName name="TextRefCopy694">#REF!</definedName>
    <definedName name="TextRefCopy696">#REF!</definedName>
    <definedName name="TextRefCopy697">#REF!</definedName>
    <definedName name="TextRefCopy698">#REF!</definedName>
    <definedName name="TextRefCopy699">#REF!</definedName>
    <definedName name="TextRefCopy7">#REF!</definedName>
    <definedName name="TextRefCopy70">'[26]2-RPT Transactions and Balances'!$F$49</definedName>
    <definedName name="TextRefCopy700">#REF!</definedName>
    <definedName name="TextRefCopy701">#REF!</definedName>
    <definedName name="TextRefCopy706">#REF!</definedName>
    <definedName name="TextRefCopy709">#REF!</definedName>
    <definedName name="TextRefCopy71">'[26]2-1 Confirmation Control'!$R$46</definedName>
    <definedName name="TextRefCopy710">#REF!</definedName>
    <definedName name="TextRefCopy711">#REF!</definedName>
    <definedName name="TextRefCopy712">#REF!</definedName>
    <definedName name="TextRefCopy714">#REF!</definedName>
    <definedName name="TextRefCopy716">#REF!</definedName>
    <definedName name="TextRefCopy718">#REF!</definedName>
    <definedName name="TextRefCopy724">#REF!</definedName>
    <definedName name="TextRefCopy725">#REF!</definedName>
    <definedName name="TextRefCopy728">#REF!</definedName>
    <definedName name="TextRefCopy729">#REF!</definedName>
    <definedName name="TextRefCopy730">#REF!</definedName>
    <definedName name="TextRefCopy731">#REF!</definedName>
    <definedName name="TextRefCopy732">#REF!</definedName>
    <definedName name="TextRefCopy733">#REF!</definedName>
    <definedName name="TextRefCopy734">#REF!</definedName>
    <definedName name="TextRefCopy736">#REF!</definedName>
    <definedName name="TextRefCopy737">#REF!</definedName>
    <definedName name="TextRefCopy739">#REF!</definedName>
    <definedName name="TextRefCopy74">'[26]2-RPT Transactions and Balances'!$I$49</definedName>
    <definedName name="TextRefCopy741">#REF!</definedName>
    <definedName name="TextRefCopy743">#REF!</definedName>
    <definedName name="TextRefCopy744">#REF!</definedName>
    <definedName name="TextRefCopy75">'[26]2-1 Confirmation Control'!$S$46</definedName>
    <definedName name="TextRefCopy78">'[26]2-1 Confirmation Control'!$T$46</definedName>
    <definedName name="TextRefCopy79">'[26]2-RPT Transactions and Balances'!$L$49</definedName>
    <definedName name="TextRefCopy8">#REF!</definedName>
    <definedName name="TextRefCopy80">'[23]Staff adv.'!$E$29</definedName>
    <definedName name="TextRefCopy82">'[26]2-1 Confirmation Control'!$U$46</definedName>
    <definedName name="TextRefCopy83">'[26]2-RPT Transactions and Balances'!$N$49</definedName>
    <definedName name="TextRefCopy86">'[26]2-RPT Transactions and Balances'!$P$49</definedName>
    <definedName name="TextRefCopy87">'[26]2-1 Confirmation Control'!$V$46</definedName>
    <definedName name="TextRefCopy9">#REF!</definedName>
    <definedName name="TextRefCopy90">'[26]2-1 Confirmation Control'!$W$46</definedName>
    <definedName name="TextRefCopy91">'[26]2-RPT Transactions and Balances'!$R$49</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745</definedName>
    <definedName name="Toolkit">#REF!</definedName>
    <definedName name="transaction">#REF!</definedName>
    <definedName name="u">OFFSET(#REF!,1,0,COUNTA(#REF!)-1,2)</definedName>
    <definedName name="UFPrn20001129111535">#REF!</definedName>
    <definedName name="UFPrn20011121144933">#REF!</definedName>
    <definedName name="UFPrn20020614084457">#REF!</definedName>
    <definedName name="UnitName">[8]Input!$D$4</definedName>
    <definedName name="UnitNo">[8]Input!$D$3</definedName>
    <definedName name="Value">'[12]Dropdown List'!$C$2:$C$3</definedName>
    <definedName name="View">'[12]Dropdown List'!$B$2:$B$4</definedName>
    <definedName name="VOS_AR" localSheetId="21">#REF!</definedName>
    <definedName name="VOS_AR">#REF!</definedName>
    <definedName name="VOS_AR_SGD" localSheetId="21">#REF!</definedName>
    <definedName name="VOS_AR_SGD">#REF!</definedName>
    <definedName name="VTM_AR_RM" localSheetId="21">#REF!</definedName>
    <definedName name="VTM_AR_RM">#REF!</definedName>
    <definedName name="VTM_AR_Source" localSheetId="21">#REF!</definedName>
    <definedName name="VTM_AR_Source">#REF!</definedName>
    <definedName name="VTS" localSheetId="21">#REF!</definedName>
    <definedName name="VTS">#REF!</definedName>
    <definedName name="VTS_AR" localSheetId="21">#REF!</definedName>
    <definedName name="VTS_AR">#REF!</definedName>
    <definedName name="VTS_AR_SGD" localSheetId="21">#REF!</definedName>
    <definedName name="VTS_AR_SGD">#REF!</definedName>
    <definedName name="VTS_AR_USD" localSheetId="21">#REF!</definedName>
    <definedName name="VTS_AR_USD">#REF!</definedName>
    <definedName name="wrn.Aging._.and._.Trend._.Analysis." hidden="1">{#N/A,#N/A,FALSE,"Aging Summary";#N/A,#N/A,FALSE,"Ratio Analysis";#N/A,#N/A,FALSE,"Test 120 Day Accts";#N/A,#N/A,FALSE,"Tickmarks"}</definedName>
    <definedName name="XREF_COLUMN_1" hidden="1">#REF!</definedName>
    <definedName name="XREF_COLUMN_2" hidden="1">'[27]2009 Breakdown'!#REF!</definedName>
    <definedName name="XREF_COLUMN_3" hidden="1">#REF!</definedName>
    <definedName name="XREF_COLUMN_4"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definedName>
    <definedName name="xxx">[3]U40!#REF!</definedName>
    <definedName name="xxxx" localSheetId="21" hidden="1">#REF!</definedName>
    <definedName name="xxxx" hidden="1">#REF!</definedName>
    <definedName name="报表" localSheetId="21">#REF!</definedName>
    <definedName name="报表">#REF!</definedName>
    <definedName name="产品成本表">#REF!</definedName>
    <definedName name="存货表">#REF!</definedName>
    <definedName name="当前明细账" localSheetId="21">#REF!</definedName>
    <definedName name="当前明细账">#REF!</definedName>
    <definedName name="附件六" localSheetId="21">#REF!</definedName>
    <definedName name="附件六">#REF!</definedName>
    <definedName name="固定资产表">#REF!</definedName>
    <definedName name="管理费用明细表">#REF!</definedName>
    <definedName name="汇率">#N/A</definedName>
    <definedName name="利润分配表">#REF!</definedName>
    <definedName name="明细分类帐" localSheetId="21">#REF!</definedName>
    <definedName name="明细分类帐">#REF!</definedName>
    <definedName name="三月份">[28]ar!#REF!</definedName>
    <definedName name="生产列1">#N/A</definedName>
    <definedName name="生产列11">#N/A</definedName>
    <definedName name="生产列15">#N/A</definedName>
    <definedName name="生产列16">#N/A</definedName>
    <definedName name="生产列17">#N/A</definedName>
    <definedName name="生产列19">#N/A</definedName>
    <definedName name="生产列2">#N/A</definedName>
    <definedName name="生产列20">#N/A</definedName>
    <definedName name="生产列3">#N/A</definedName>
    <definedName name="生产列4">#N/A</definedName>
    <definedName name="生产列5">#REF!</definedName>
    <definedName name="生产列6">#N/A</definedName>
    <definedName name="生产列7">#N/A</definedName>
    <definedName name="生产列8">#N/A</definedName>
    <definedName name="生产列9">#N/A</definedName>
    <definedName name="生产期">#N/A</definedName>
    <definedName name="生产期1">#N/A</definedName>
    <definedName name="生产期11">#N/A</definedName>
    <definedName name="生产期15">#N/A</definedName>
    <definedName name="生产期16">#N/A</definedName>
    <definedName name="生产期17">#N/A</definedName>
    <definedName name="生产期19">#N/A</definedName>
    <definedName name="生产期2">#N/A</definedName>
    <definedName name="生产期20">#N/A</definedName>
    <definedName name="生产期3">#N/A</definedName>
    <definedName name="生产期4">#N/A</definedName>
    <definedName name="生产期5">#REF!</definedName>
    <definedName name="生产期6">#N/A</definedName>
    <definedName name="生产期7">#N/A</definedName>
    <definedName name="生产期8">#N/A</definedName>
    <definedName name="生产期9">#N/A</definedName>
    <definedName name="十月份">'[29]10-2121'!$L$78</definedName>
    <definedName name="是">#REF!</definedName>
    <definedName name="外币资金情况表">#REF!</definedName>
    <definedName name="无形资产表">#REF!</definedName>
    <definedName name="现金流量表旧二">#REF!</definedName>
    <definedName name="现金流量表旧一">#REF!</definedName>
    <definedName name="现金流量表新二">#REF!</definedName>
    <definedName name="现金流量表新一">[30]现金流量表!#REF!</definedName>
    <definedName name="销售费用明细表">#REF!</definedName>
    <definedName name="应交增值税明细表">#REF!</definedName>
    <definedName name="营业外收支明细表">#REF!</definedName>
    <definedName name="在建工程表">#REF!</definedName>
    <definedName name="制造费用明细表">#REF!</definedName>
    <definedName name="主要产品成本表">#REF!</definedName>
    <definedName name="总分类账">[31]overheads!#REF!</definedName>
  </definedNames>
  <calcPr calcId="152511"/>
  <customWorkbookViews>
    <customWorkbookView name="alayang - Personal View" guid="{5B30B4ED-5909-44BF-8D4E-FED9BA81E830}" personalView="1" maximized="1" windowWidth="1020" windowHeight="603" activeSheetId="0" showComments="commIndAndComment"/>
    <customWorkbookView name="gzheng - Personal View" guid="{03BC3F46-AF92-48CB-8A18-7E1111C99BC6}" personalView="1" maximized="1" windowWidth="1020" windowHeight="539" activeSheetId="0" showComments="commIndAndComment"/>
    <customWorkbookView name="mko - Personal View" guid="{77152DAA-79FA-49D9-B314-FC1D618B1E39}" personalView="1" maximized="1" windowWidth="1276" windowHeight="62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9" l="1"/>
  <c r="C10" i="19"/>
  <c r="C7" i="19"/>
  <c r="D3" i="30"/>
  <c r="B51" i="19" l="1"/>
  <c r="E31" i="19"/>
  <c r="E24" i="19"/>
  <c r="C12" i="19"/>
  <c r="E37" i="20"/>
  <c r="E30" i="20"/>
  <c r="E22" i="20"/>
  <c r="E15" i="20"/>
  <c r="G39" i="13"/>
  <c r="E39" i="13"/>
  <c r="G38" i="13"/>
  <c r="E38" i="13"/>
  <c r="G31" i="13"/>
  <c r="E31" i="13"/>
  <c r="E22" i="13"/>
  <c r="E15" i="13"/>
  <c r="E23" i="13" s="1"/>
  <c r="A1" i="13"/>
  <c r="E38" i="12"/>
  <c r="E37" i="12"/>
  <c r="E30" i="12"/>
  <c r="E21" i="12"/>
  <c r="E14" i="12"/>
  <c r="E22" i="12" s="1"/>
  <c r="A1" i="12"/>
  <c r="A1" i="8"/>
  <c r="A1" i="7"/>
  <c r="B23" i="16"/>
  <c r="B8" i="21"/>
  <c r="B7" i="21"/>
  <c r="B6" i="21"/>
  <c r="B5" i="21"/>
  <c r="B4" i="21"/>
  <c r="B3" i="21"/>
  <c r="G2" i="21"/>
  <c r="F2" i="21"/>
  <c r="E2" i="21"/>
  <c r="D2" i="21"/>
  <c r="C2" i="21"/>
  <c r="B2" i="21" a="1"/>
  <c r="B2" i="21"/>
  <c r="B1" i="21"/>
  <c r="G23" i="13" l="1"/>
  <c r="G22" i="13"/>
  <c r="E40" i="13"/>
  <c r="F23" i="13" s="1"/>
  <c r="G15" i="13"/>
  <c r="G22" i="12"/>
  <c r="G21" i="12"/>
  <c r="G14" i="12"/>
  <c r="E39" i="12"/>
  <c r="F15" i="13" l="1"/>
  <c r="F31" i="13"/>
  <c r="F22" i="13"/>
  <c r="F40" i="13"/>
  <c r="F39" i="13"/>
  <c r="F38" i="13"/>
  <c r="F37" i="12"/>
  <c r="F30" i="12"/>
  <c r="F21" i="12"/>
  <c r="F14" i="12"/>
  <c r="F39" i="12"/>
  <c r="F38" i="12"/>
  <c r="F22" i="1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<sst xmlns="http://schemas.openxmlformats.org/spreadsheetml/2006/main" count="361" uniqueCount="285">
  <si>
    <t>企业名称</t>
  </si>
  <si>
    <t>年度</t>
  </si>
  <si>
    <t>事务所名称</t>
  </si>
  <si>
    <t>事务所简称</t>
  </si>
  <si>
    <t>企业简称</t>
  </si>
  <si>
    <t>母公司全称</t>
  </si>
  <si>
    <t>集团情况描述</t>
  </si>
  <si>
    <t>公司经营背景资料</t>
  </si>
  <si>
    <t>使用kimi生成约500字的集团介绍</t>
  </si>
  <si>
    <t>根据企业访谈进行整理。</t>
  </si>
  <si>
    <t>产品</t>
  </si>
  <si>
    <t>销售额（万元）</t>
  </si>
  <si>
    <t>占比 (%)</t>
  </si>
  <si>
    <t>产品A</t>
  </si>
  <si>
    <t>产品B</t>
  </si>
  <si>
    <t>产品C</t>
  </si>
  <si>
    <t>3.1. 全球行业情况</t>
  </si>
  <si>
    <t>kimi自动生成2000字</t>
  </si>
  <si>
    <t>3.2. 中国行业情况</t>
  </si>
  <si>
    <t>3.3. 行业竞争情况</t>
  </si>
  <si>
    <t>3.4. 行业政策情况及未来趋势</t>
  </si>
  <si>
    <t>3.5. 小结</t>
  </si>
  <si>
    <t>kimi生成500字总结</t>
  </si>
  <si>
    <t>被测关联交易利润水平</t>
  </si>
  <si>
    <t>【年度】年度转让定价同期资料准备所需基础资料和文件清单</t>
  </si>
  <si>
    <r>
      <rPr>
        <sz val="11"/>
        <color theme="1"/>
        <rFont val="宋体"/>
        <family val="3"/>
        <charset val="134"/>
      </rPr>
      <t>敬请注意，该</t>
    </r>
    <r>
      <rPr>
        <sz val="11"/>
        <color theme="1"/>
        <rFont val="宋体"/>
        <family val="3"/>
        <charset val="134"/>
      </rPr>
      <t>“</t>
    </r>
    <r>
      <rPr>
        <sz val="11"/>
        <color theme="1"/>
        <rFont val="宋体"/>
        <family val="3"/>
        <charset val="134"/>
      </rPr>
      <t>提供资料清单</t>
    </r>
    <r>
      <rPr>
        <sz val="11"/>
        <color theme="1"/>
        <rFont val="宋体"/>
        <family val="3"/>
        <charset val="134"/>
      </rPr>
      <t>”</t>
    </r>
    <r>
      <rPr>
        <sz val="11"/>
        <color theme="1"/>
        <rFont val="宋体"/>
        <family val="3"/>
        <charset val="134"/>
      </rPr>
      <t>只适用于【企业名称】（以下简称</t>
    </r>
    <r>
      <rPr>
        <sz val="11"/>
        <color theme="1"/>
        <rFont val="宋体"/>
        <family val="3"/>
        <charset val="134"/>
      </rPr>
      <t>“</t>
    </r>
    <r>
      <rPr>
        <sz val="11"/>
        <color theme="1"/>
        <rFont val="宋体"/>
        <family val="3"/>
        <charset val="134"/>
      </rPr>
      <t>公司简称</t>
    </r>
    <r>
      <rPr>
        <sz val="11"/>
        <color theme="1"/>
        <rFont val="宋体"/>
        <family val="3"/>
        <charset val="134"/>
      </rPr>
      <t>”</t>
    </r>
    <r>
      <rPr>
        <sz val="11"/>
        <color theme="1"/>
        <rFont val="宋体"/>
        <family val="3"/>
        <charset val="134"/>
      </rPr>
      <t>）。贵公司需要提供截至【年度】会计年度</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日（以下简称</t>
    </r>
    <r>
      <rPr>
        <sz val="11"/>
        <color theme="1"/>
        <rFont val="宋体"/>
        <family val="3"/>
        <charset val="134"/>
      </rPr>
      <t>“</t>
    </r>
    <r>
      <rPr>
        <sz val="11"/>
        <color theme="1"/>
        <rFont val="宋体"/>
        <family val="3"/>
        <charset val="134"/>
      </rPr>
      <t>【年度】年度</t>
    </r>
    <r>
      <rPr>
        <sz val="11"/>
        <color theme="1"/>
        <rFont val="宋体"/>
        <family val="3"/>
        <charset val="134"/>
      </rPr>
      <t>”</t>
    </r>
    <r>
      <rPr>
        <sz val="11"/>
        <color theme="1"/>
        <rFont val="宋体"/>
        <family val="3"/>
        <charset val="134"/>
      </rPr>
      <t>）的信息与资料，敬请贵公司注意，该清单是基于本所目前对贵公司经营状况的理解，该</t>
    </r>
    <r>
      <rPr>
        <sz val="11"/>
        <color theme="1"/>
        <rFont val="宋体"/>
        <family val="3"/>
        <charset val="134"/>
      </rPr>
      <t>“</t>
    </r>
    <r>
      <rPr>
        <sz val="11"/>
        <color theme="1"/>
        <rFont val="宋体"/>
        <family val="3"/>
        <charset val="134"/>
      </rPr>
      <t>资料清单</t>
    </r>
    <r>
      <rPr>
        <sz val="11"/>
        <color theme="1"/>
        <rFont val="宋体"/>
        <family val="3"/>
        <charset val="134"/>
      </rPr>
      <t>”</t>
    </r>
    <r>
      <rPr>
        <sz val="11"/>
        <color theme="1"/>
        <rFont val="宋体"/>
        <family val="3"/>
        <charset val="134"/>
      </rPr>
      <t>并不是全面的或是最终的，必要时我们会继续要求贵公司提供额外的信息和资料。我们希望贵公司能够尽量以电子表格的形式提供数据。对于较难获得或者以现场讨论的方式更易获取的信息，我们将在访谈时与贵公司进行探讨。</t>
    </r>
    <r>
      <rPr>
        <sz val="11"/>
        <color theme="1"/>
        <rFont val="Times New Roman"/>
        <family val="1"/>
      </rPr>
      <t xml:space="preserve">
</t>
    </r>
    <r>
      <rPr>
        <sz val="11"/>
        <color theme="1"/>
        <rFont val="宋体"/>
        <family val="3"/>
        <charset val="134"/>
      </rPr>
      <t>如果贵公司有任何的问题或建议，请联系我们的团队成员：</t>
    </r>
    <r>
      <rPr>
        <sz val="11"/>
        <color theme="1"/>
        <rFont val="Times New Roman"/>
        <family val="1"/>
      </rPr>
      <t xml:space="preserve">
</t>
    </r>
    <r>
      <rPr>
        <sz val="11"/>
        <color theme="1"/>
        <rFont val="宋体"/>
        <family val="3"/>
        <charset val="134"/>
      </rPr>
      <t>【事务所名称】</t>
    </r>
    <r>
      <rPr>
        <sz val="11"/>
        <color theme="1"/>
        <rFont val="Times New Roman"/>
        <family val="1"/>
      </rPr>
      <t xml:space="preserve">
</t>
    </r>
    <r>
      <rPr>
        <sz val="11"/>
        <color theme="1"/>
        <rFont val="Times New Roman"/>
        <family val="1"/>
      </rPr>
      <t xml:space="preserve">Project Manager:
Tel:  | Email: 
Tax Senior Consultant: 
Tel: (086)  | Email: </t>
    </r>
  </si>
  <si>
    <t>立信税务师事务所有限公司</t>
  </si>
  <si>
    <t>立信税务</t>
  </si>
  <si>
    <t>斯必克流体</t>
  </si>
  <si>
    <t>斯必克投资</t>
  </si>
  <si>
    <r>
      <rPr>
        <b/>
        <sz val="11"/>
        <color indexed="9"/>
        <rFont val="华文楷体"/>
        <family val="3"/>
        <charset val="134"/>
      </rPr>
      <t>资料清单</t>
    </r>
  </si>
  <si>
    <r>
      <rPr>
        <b/>
        <sz val="11"/>
        <color indexed="9"/>
        <rFont val="华文楷体"/>
        <family val="3"/>
        <charset val="134"/>
      </rPr>
      <t>附注</t>
    </r>
  </si>
  <si>
    <r>
      <rPr>
        <b/>
        <sz val="11"/>
        <color theme="1"/>
        <rFont val="Times New Roman"/>
        <family val="1"/>
      </rPr>
      <t xml:space="preserve">I. </t>
    </r>
    <r>
      <rPr>
        <b/>
        <sz val="11"/>
        <color indexed="8"/>
        <rFont val="华文楷体"/>
        <family val="3"/>
        <charset val="134"/>
      </rPr>
      <t>基本信息</t>
    </r>
  </si>
  <si>
    <r>
      <rPr>
        <sz val="11"/>
        <color theme="1"/>
        <rFont val="Times New Roman"/>
        <family val="1"/>
      </rPr>
      <t xml:space="preserve">1. </t>
    </r>
    <r>
      <rPr>
        <sz val="11"/>
        <color indexed="8"/>
        <rFont val="华文楷体"/>
        <family val="3"/>
        <charset val="134"/>
      </rPr>
      <t>中华人民共和国企业法人营业执照</t>
    </r>
  </si>
  <si>
    <r>
      <rPr>
        <sz val="11"/>
        <color indexed="8"/>
        <rFont val="华文楷体"/>
        <family val="3"/>
        <charset val="134"/>
      </rPr>
      <t>如有更新请提供</t>
    </r>
  </si>
  <si>
    <t>2. 组织结构，包括企业各职能部门的设置、职责范围和雇员数量等（请提供截至【年度】年12月31日时点的组织结构图）</t>
  </si>
  <si>
    <r>
      <rPr>
        <sz val="11"/>
        <color theme="1"/>
        <rFont val="华文楷体"/>
        <family val="3"/>
        <charset val="134"/>
      </rPr>
      <t>请见附件</t>
    </r>
    <r>
      <rPr>
        <sz val="11"/>
        <color theme="1"/>
        <rFont val="Times New Roman"/>
        <family val="1"/>
      </rPr>
      <t>1</t>
    </r>
  </si>
  <si>
    <t>3. 管理架构，包括企业各级管理层的汇报对象以及汇报对象主要办公所在地等（请提供截至【年度】年12月31日时点的信息）</t>
  </si>
  <si>
    <t>4. 【年度】年度关联公司信息</t>
  </si>
  <si>
    <r>
      <rPr>
        <sz val="11"/>
        <color indexed="8"/>
        <rFont val="华文楷体"/>
        <family val="3"/>
        <charset val="134"/>
      </rPr>
      <t>请见附件</t>
    </r>
    <r>
      <rPr>
        <sz val="11"/>
        <color indexed="8"/>
        <rFont val="Times New Roman"/>
        <family val="1"/>
      </rPr>
      <t>2</t>
    </r>
  </si>
  <si>
    <r>
      <rPr>
        <b/>
        <sz val="11"/>
        <color theme="1"/>
        <rFont val="Times New Roman"/>
        <family val="1"/>
      </rPr>
      <t xml:space="preserve">II. </t>
    </r>
    <r>
      <rPr>
        <b/>
        <sz val="11"/>
        <color indexed="8"/>
        <rFont val="华文楷体"/>
        <family val="3"/>
        <charset val="134"/>
      </rPr>
      <t>财务信息</t>
    </r>
  </si>
  <si>
    <t>1. 【年度】年审计报告，包括经审计的财务报表及其附注</t>
  </si>
  <si>
    <r>
      <rPr>
        <sz val="11"/>
        <color indexed="8"/>
        <rFont val="华文楷体"/>
        <family val="3"/>
        <charset val="134"/>
      </rPr>
      <t>请提供</t>
    </r>
  </si>
  <si>
    <t>2. 【年度】年度分部财务数据分析表，需包括企业不同类型产品的收入、成本、费用及利润。</t>
  </si>
  <si>
    <r>
      <rPr>
        <sz val="11"/>
        <color theme="1"/>
        <rFont val="华文楷体"/>
        <family val="3"/>
        <charset val="134"/>
      </rPr>
      <t>请见附件</t>
    </r>
    <r>
      <rPr>
        <sz val="11"/>
        <color theme="1"/>
        <rFont val="Times New Roman"/>
        <family val="1"/>
      </rPr>
      <t>3</t>
    </r>
  </si>
  <si>
    <t>3. 【年度】年度《中华人民共和国企业年度关联业务往来报告表(2016年版)》</t>
  </si>
  <si>
    <t>请提供电子版</t>
  </si>
  <si>
    <t>4. 【年度】年度贵公司主要关联供应商名单</t>
  </si>
  <si>
    <r>
      <rPr>
        <sz val="11"/>
        <color theme="1"/>
        <rFont val="华文楷体"/>
        <family val="3"/>
        <charset val="134"/>
      </rPr>
      <t>请见附件</t>
    </r>
    <r>
      <rPr>
        <sz val="11"/>
        <color theme="1"/>
        <rFont val="Times New Roman"/>
        <family val="1"/>
      </rPr>
      <t>4</t>
    </r>
  </si>
  <si>
    <t>5. 【年度】年度的主要关联客户清单</t>
  </si>
  <si>
    <r>
      <rPr>
        <sz val="11"/>
        <color theme="1"/>
        <rFont val="华文楷体"/>
        <family val="3"/>
        <charset val="134"/>
      </rPr>
      <t>请见附件</t>
    </r>
    <r>
      <rPr>
        <sz val="11"/>
        <color theme="1"/>
        <rFont val="Times New Roman"/>
        <family val="1"/>
      </rPr>
      <t>5</t>
    </r>
  </si>
  <si>
    <t>6. 【年度】年度其他关联交易类型、金额（如涉及）</t>
  </si>
  <si>
    <t>如涉及，请提供</t>
  </si>
  <si>
    <t>斯必克（上海）流体技术有限公司</t>
  </si>
  <si>
    <r>
      <rPr>
        <sz val="11"/>
        <rFont val="华文楷体"/>
        <family val="3"/>
        <charset val="134"/>
      </rPr>
      <t>附件一：组织结构及管理架构</t>
    </r>
  </si>
  <si>
    <r>
      <rPr>
        <sz val="11"/>
        <color rgb="FFFF0000"/>
        <rFont val="华文楷体"/>
        <family val="3"/>
        <charset val="134"/>
      </rPr>
      <t>下表是我们根据</t>
    </r>
    <r>
      <rPr>
        <sz val="11"/>
        <color rgb="FFFF0000"/>
        <rFont val="宋体"/>
        <family val="3"/>
        <charset val="134"/>
      </rPr>
      <t>【上</t>
    </r>
    <r>
      <rPr>
        <sz val="11"/>
        <color rgb="FFFF0000"/>
        <rFont val="华文楷体"/>
        <family val="3"/>
        <charset val="134"/>
      </rPr>
      <t>年度】同期资料文档填写，还请贵公司更新截至</t>
    </r>
    <r>
      <rPr>
        <sz val="11"/>
        <color rgb="FFFF0000"/>
        <rFont val="宋体"/>
        <family val="3"/>
        <charset val="134"/>
      </rPr>
      <t>【年度】</t>
    </r>
    <r>
      <rPr>
        <sz val="11"/>
        <color rgb="FFFF0000"/>
        <rFont val="华文楷体"/>
        <family val="3"/>
        <charset val="134"/>
      </rPr>
      <t>年</t>
    </r>
    <r>
      <rPr>
        <sz val="11"/>
        <color rgb="FFFF0000"/>
        <rFont val="Times New Roman"/>
        <family val="1"/>
      </rPr>
      <t>12</t>
    </r>
    <r>
      <rPr>
        <sz val="11"/>
        <color rgb="FFFF0000"/>
        <rFont val="华文楷体"/>
        <family val="3"/>
        <charset val="134"/>
      </rPr>
      <t>月</t>
    </r>
    <r>
      <rPr>
        <sz val="11"/>
        <color rgb="FFFF0000"/>
        <rFont val="Times New Roman"/>
        <family val="1"/>
      </rPr>
      <t>31</t>
    </r>
    <r>
      <rPr>
        <sz val="11"/>
        <color rgb="FFFF0000"/>
        <rFont val="华文楷体"/>
        <family val="3"/>
        <charset val="134"/>
      </rPr>
      <t>日的部门信息和组织架构信息</t>
    </r>
  </si>
  <si>
    <r>
      <rPr>
        <b/>
        <sz val="11"/>
        <color theme="0"/>
        <rFont val="华文楷体"/>
        <family val="3"/>
        <charset val="134"/>
      </rPr>
      <t>主要部门</t>
    </r>
  </si>
  <si>
    <r>
      <rPr>
        <b/>
        <sz val="11"/>
        <color theme="0"/>
        <rFont val="华文楷体"/>
        <family val="3"/>
        <charset val="134"/>
      </rPr>
      <t>人数
（截至</t>
    </r>
    <r>
      <rPr>
        <b/>
        <sz val="11"/>
        <color theme="0"/>
        <rFont val="宋体"/>
        <family val="3"/>
        <charset val="134"/>
      </rPr>
      <t>【年度】</t>
    </r>
    <r>
      <rPr>
        <b/>
        <sz val="11"/>
        <color theme="0"/>
        <rFont val="华文楷体"/>
        <family val="3"/>
        <charset val="134"/>
      </rPr>
      <t>年</t>
    </r>
    <r>
      <rPr>
        <b/>
        <sz val="11"/>
        <color theme="0"/>
        <rFont val="Times New Roman"/>
        <family val="1"/>
      </rPr>
      <t>12</t>
    </r>
    <r>
      <rPr>
        <b/>
        <sz val="11"/>
        <color theme="0"/>
        <rFont val="华文楷体"/>
        <family val="3"/>
        <charset val="134"/>
      </rPr>
      <t>月</t>
    </r>
    <r>
      <rPr>
        <b/>
        <sz val="11"/>
        <color theme="0"/>
        <rFont val="Times New Roman"/>
        <family val="1"/>
      </rPr>
      <t>31</t>
    </r>
    <r>
      <rPr>
        <b/>
        <sz val="11"/>
        <color theme="0"/>
        <rFont val="华文楷体"/>
        <family val="3"/>
        <charset val="134"/>
      </rPr>
      <t>日）</t>
    </r>
  </si>
  <si>
    <r>
      <rPr>
        <b/>
        <sz val="11"/>
        <color theme="0"/>
        <rFont val="华文楷体"/>
        <family val="3"/>
        <charset val="134"/>
      </rPr>
      <t>主要职责范围</t>
    </r>
  </si>
  <si>
    <r>
      <rPr>
        <b/>
        <sz val="11"/>
        <color theme="0"/>
        <rFont val="华文楷体"/>
        <family val="3"/>
        <charset val="134"/>
      </rPr>
      <t>部门负责人汇报对象</t>
    </r>
  </si>
  <si>
    <r>
      <rPr>
        <b/>
        <sz val="11"/>
        <color theme="0"/>
        <rFont val="华文楷体"/>
        <family val="3"/>
        <charset val="134"/>
      </rPr>
      <t>汇报对象</t>
    </r>
  </si>
  <si>
    <r>
      <rPr>
        <b/>
        <sz val="11"/>
        <color theme="0"/>
        <rFont val="华文楷体"/>
        <family val="3"/>
        <charset val="134"/>
      </rPr>
      <t>汇报对象主要办公所在地</t>
    </r>
  </si>
  <si>
    <t>新增</t>
  </si>
  <si>
    <r>
      <rPr>
        <b/>
        <sz val="11"/>
        <color theme="1"/>
        <rFont val="华文楷体"/>
        <family val="3"/>
        <charset val="134"/>
      </rPr>
      <t>总计</t>
    </r>
  </si>
  <si>
    <r>
      <rPr>
        <sz val="11"/>
        <color rgb="FFFF0000"/>
        <rFont val="华文楷体"/>
        <family val="3"/>
        <charset val="134"/>
      </rPr>
      <t>请在此提供组织架构图：</t>
    </r>
  </si>
  <si>
    <r>
      <rPr>
        <sz val="10"/>
        <rFont val="华文楷体"/>
        <family val="3"/>
        <charset val="134"/>
      </rPr>
      <t>附件二：关联方相关信息</t>
    </r>
  </si>
  <si>
    <r>
      <rPr>
        <sz val="10"/>
        <color rgb="FFFF0000"/>
        <rFont val="华文楷体"/>
        <family val="3"/>
        <charset val="134"/>
      </rPr>
      <t>下表是我们根据</t>
    </r>
    <r>
      <rPr>
        <sz val="10"/>
        <color rgb="FFFF0000"/>
        <rFont val="宋体"/>
        <family val="3"/>
        <charset val="134"/>
      </rPr>
      <t>【上</t>
    </r>
    <r>
      <rPr>
        <sz val="10"/>
        <color rgb="FFFF0000"/>
        <rFont val="华文楷体"/>
        <family val="3"/>
        <charset val="134"/>
      </rPr>
      <t>年度】同期资料文档填写，请贵公司就</t>
    </r>
    <r>
      <rPr>
        <sz val="10"/>
        <color rgb="FFFF0000"/>
        <rFont val="宋体"/>
        <family val="3"/>
        <charset val="134"/>
      </rPr>
      <t>【年度】</t>
    </r>
    <r>
      <rPr>
        <sz val="10"/>
        <color rgb="FFFF0000"/>
        <rFont val="华文楷体"/>
        <family val="3"/>
        <charset val="134"/>
      </rPr>
      <t>年度情况对以下描述进行确认或更新。</t>
    </r>
  </si>
  <si>
    <r>
      <rPr>
        <b/>
        <sz val="10"/>
        <color theme="0"/>
        <rFont val="华文楷体"/>
        <family val="3"/>
        <charset val="134"/>
      </rPr>
      <t>行次</t>
    </r>
  </si>
  <si>
    <r>
      <rPr>
        <b/>
        <sz val="10"/>
        <color theme="0"/>
        <rFont val="华文楷体"/>
        <family val="3"/>
        <charset val="134"/>
      </rPr>
      <t>关联方名称</t>
    </r>
  </si>
  <si>
    <r>
      <rPr>
        <b/>
        <sz val="10"/>
        <color theme="0"/>
        <rFont val="华文楷体"/>
        <family val="3"/>
        <charset val="134"/>
      </rPr>
      <t>关联方类型</t>
    </r>
  </si>
  <si>
    <r>
      <rPr>
        <b/>
        <sz val="10"/>
        <color theme="0"/>
        <rFont val="华文楷体"/>
        <family val="3"/>
        <charset val="134"/>
      </rPr>
      <t>国家（地区）</t>
    </r>
  </si>
  <si>
    <t>纳税人证件类型</t>
  </si>
  <si>
    <t>证件号</t>
  </si>
  <si>
    <r>
      <rPr>
        <b/>
        <sz val="10"/>
        <color theme="0"/>
        <rFont val="华文楷体"/>
        <family val="3"/>
        <charset val="134"/>
      </rPr>
      <t>关联关系类型</t>
    </r>
  </si>
  <si>
    <r>
      <rPr>
        <b/>
        <sz val="10"/>
        <color theme="0"/>
        <rFont val="华文楷体"/>
        <family val="3"/>
        <charset val="134"/>
      </rPr>
      <t>起始日期</t>
    </r>
  </si>
  <si>
    <r>
      <rPr>
        <b/>
        <sz val="10"/>
        <color theme="0"/>
        <rFont val="华文楷体"/>
        <family val="3"/>
        <charset val="134"/>
      </rPr>
      <t>截止日期</t>
    </r>
  </si>
  <si>
    <r>
      <rPr>
        <b/>
        <sz val="10"/>
        <color theme="0"/>
        <rFont val="华文楷体"/>
        <family val="3"/>
        <charset val="134"/>
      </rPr>
      <t>法定税率</t>
    </r>
  </si>
  <si>
    <t>是否享受税收优惠</t>
  </si>
  <si>
    <t>注：</t>
  </si>
  <si>
    <t xml:space="preserve">“关联关系类型”：根据实际情况按以下关联关系标准选填代码A、B、C等，有多个关联关系类型的，应当选填多个代码。关联关系标准如下：
A．一方直接或者间接持有另一方的股份总和达到25%以上；双方直接或者间接同为第三方所持有的股份达到25%以上。
如果一方通过中间方对另一方间接持有股份，只要其对中间方持股比例达到25%以上，则其对另一方的持股比例按照中间方对另一方的持股比例计算。
两个以上具有夫妻、直系血亲、兄弟姐妹以及其他抚养、赡养关系的自然人共同持股同一企业，持股比例合并计算。
B.双方存在持股关系或者同为第三方持股，虽持股比例未达到A项规定，但双方之间借贷资金总额占任一方实收资本比例达到50%以上，或者一方全部借贷资金总额的10%以上由另一方担保，与独立金融机构之间的借贷或者担保除外。
借贷资金总额占实收资本比例=年度加权平均借贷资金/年度加权平均实收资本，其中：
 - 年度加权平均借贷资金=   i笔借入或者贷出资金账面金额×i笔借入或者贷出资金年度实际占用天数/365
 - 年度加权平均实收资本=  i笔实收资本账面金额×i笔实收资本年度实际占用天数/365
C.双方存在持股关系或者同为第三方持股，虽持股比例未达到A项规定，但一方的生产经营活动必须由另一方提供专利权、非专利技术、商标权、著作权等特许权才能正常进行。
D.双方存在持股关系或者同为第三方持股，虽持股比例未达到A项规定，但一方的购买、销售、接受劳务、提供劳务等经营活动由另一方控制。
上述控制是指一方有权决定另一方的财务和经营政策，并能据以从另一方的经营活动中获取利益。
E.一方半数以上董事或者半数以上高级管理人员（包括上市公司董事会秘书、经理、副经理、财务负责人和公司章程规定的其他人员）由另一方任命或者委派，或者同时担任另一方的董事或者高级管理人员；或者双方各自半数以上董事或者半数以上高级管理人员同为第三方任命或者委派。
F.具有夫妻、直系血亲、兄弟姐妹以及其他抚养、赡养关系的两个自然人分别与双方具有A至E项关系之一。
G.双方在实质上具有其他共同利益的关系。
除B项规定外，上述关联关系年度内发生变化的，按照实际关联关系存续期间认定。
仅因国家持股或者由国有资产管理部门委派董事、高级管理人员而存在A至E项关系的，不构成关联关系。
另外第7列“起始日期”和第8列“截止日期”：本报告年度所属期间内关联关系发生变化的，填报实际变化的日期；未发生变化的，填报本报告年度起始和截止日期。
</t>
  </si>
  <si>
    <t>个人关联方</t>
  </si>
  <si>
    <t>国籍</t>
  </si>
  <si>
    <t>关联关系类型</t>
  </si>
  <si>
    <t>居住地址</t>
  </si>
  <si>
    <t>关联方名称</t>
  </si>
  <si>
    <t>国家/地区</t>
  </si>
  <si>
    <t>起止日期</t>
  </si>
  <si>
    <t>变化原因</t>
  </si>
  <si>
    <t>新增，自【清单模板-数据表B2】年3月1日起，XX有限公司收购本企业51%股权，与本企业构成关联关系</t>
  </si>
  <si>
    <t>减少，自【清单模板-数据表B2】年6月15日起，YY公司出售本企业全部股权，与本企业不构成关联关系</t>
  </si>
  <si>
    <r>
      <rPr>
        <sz val="11"/>
        <rFont val="华文楷体"/>
        <family val="3"/>
        <charset val="134"/>
      </rPr>
      <t>附件三：分部财务数据</t>
    </r>
  </si>
  <si>
    <t>请贵公司就【24年度】情况对以下描述进行确认或更新。</t>
  </si>
  <si>
    <r>
      <rPr>
        <b/>
        <sz val="11"/>
        <rFont val="华文楷体"/>
        <family val="3"/>
        <charset val="134"/>
      </rPr>
      <t>单位：人民币元</t>
    </r>
  </si>
  <si>
    <r>
      <rPr>
        <b/>
        <sz val="11"/>
        <color theme="0"/>
        <rFont val="Times New Roman"/>
        <family val="1"/>
      </rPr>
      <t xml:space="preserve">
</t>
    </r>
    <r>
      <rPr>
        <b/>
        <sz val="11"/>
        <color theme="0"/>
        <rFont val="华文楷体"/>
        <family val="3"/>
        <charset val="134"/>
      </rPr>
      <t>项目</t>
    </r>
  </si>
  <si>
    <r>
      <rPr>
        <b/>
        <sz val="11"/>
        <color theme="0"/>
        <rFont val="华文楷体"/>
        <family val="3"/>
        <charset val="134"/>
      </rPr>
      <t>备注</t>
    </r>
  </si>
  <si>
    <r>
      <rPr>
        <b/>
        <sz val="11"/>
        <color theme="0"/>
        <rFont val="华文楷体"/>
        <family val="3"/>
        <charset val="134"/>
      </rPr>
      <t>贸易业务</t>
    </r>
  </si>
  <si>
    <r>
      <rPr>
        <b/>
        <sz val="11"/>
        <color theme="0"/>
        <rFont val="华文楷体"/>
        <family val="3"/>
        <charset val="134"/>
      </rPr>
      <t>其他业务（如有）</t>
    </r>
  </si>
  <si>
    <r>
      <rPr>
        <b/>
        <sz val="11"/>
        <color theme="0"/>
        <rFont val="华文楷体"/>
        <family val="3"/>
        <charset val="134"/>
      </rPr>
      <t>合计</t>
    </r>
  </si>
  <si>
    <r>
      <rPr>
        <b/>
        <sz val="11"/>
        <color theme="0"/>
        <rFont val="华文楷体"/>
        <family val="3"/>
        <charset val="134"/>
      </rPr>
      <t>境外</t>
    </r>
  </si>
  <si>
    <r>
      <rPr>
        <b/>
        <sz val="11"/>
        <color theme="0"/>
        <rFont val="华文楷体"/>
        <family val="3"/>
        <charset val="134"/>
      </rPr>
      <t>境内</t>
    </r>
  </si>
  <si>
    <r>
      <rPr>
        <b/>
        <sz val="11"/>
        <color theme="0"/>
        <rFont val="华文楷体"/>
        <family val="3"/>
        <charset val="134"/>
      </rPr>
      <t>关联方</t>
    </r>
  </si>
  <si>
    <r>
      <rPr>
        <b/>
        <sz val="11"/>
        <color theme="0"/>
        <rFont val="华文楷体"/>
        <family val="3"/>
        <charset val="134"/>
      </rPr>
      <t>非关联方</t>
    </r>
  </si>
  <si>
    <r>
      <rPr>
        <sz val="11"/>
        <color indexed="8"/>
        <rFont val="华文楷体"/>
        <family val="3"/>
        <charset val="134"/>
      </rPr>
      <t>一、营业收入</t>
    </r>
  </si>
  <si>
    <r>
      <rPr>
        <sz val="11"/>
        <color indexed="8"/>
        <rFont val="华文楷体"/>
        <family val="3"/>
        <charset val="134"/>
      </rPr>
      <t>　　　　其中：主营业务收入</t>
    </r>
  </si>
  <si>
    <r>
      <rPr>
        <sz val="11"/>
        <color indexed="8"/>
        <rFont val="华文楷体"/>
        <family val="3"/>
        <charset val="134"/>
      </rPr>
      <t>　减：营业成本</t>
    </r>
  </si>
  <si>
    <r>
      <rPr>
        <sz val="11"/>
        <color indexed="8"/>
        <rFont val="华文楷体"/>
        <family val="3"/>
        <charset val="134"/>
      </rPr>
      <t>　　　　其中：主营业务成本</t>
    </r>
  </si>
  <si>
    <r>
      <rPr>
        <sz val="11"/>
        <color indexed="8"/>
        <rFont val="华文楷体"/>
        <family val="3"/>
        <charset val="134"/>
      </rPr>
      <t>　　　营业税金及附加</t>
    </r>
  </si>
  <si>
    <r>
      <rPr>
        <sz val="11"/>
        <color indexed="8"/>
        <rFont val="华文楷体"/>
        <family val="3"/>
        <charset val="134"/>
      </rPr>
      <t>　　　　其中：主营业务税金及附加</t>
    </r>
  </si>
  <si>
    <r>
      <rPr>
        <sz val="11"/>
        <color indexed="8"/>
        <rFont val="华文楷体"/>
        <family val="3"/>
        <charset val="134"/>
      </rPr>
      <t>　　　销售费用</t>
    </r>
  </si>
  <si>
    <r>
      <rPr>
        <sz val="11"/>
        <color indexed="8"/>
        <rFont val="华文楷体"/>
        <family val="3"/>
        <charset val="134"/>
      </rPr>
      <t>　　　管理费用</t>
    </r>
  </si>
  <si>
    <r>
      <rPr>
        <sz val="11"/>
        <color indexed="8"/>
        <rFont val="华文楷体"/>
        <family val="3"/>
        <charset val="134"/>
      </rPr>
      <t>　　　财务费用</t>
    </r>
  </si>
  <si>
    <r>
      <rPr>
        <sz val="11"/>
        <rFont val="华文楷体"/>
        <family val="3"/>
        <charset val="134"/>
      </rPr>
      <t>　　　资产减值损失</t>
    </r>
  </si>
  <si>
    <r>
      <rPr>
        <sz val="11"/>
        <color indexed="8"/>
        <rFont val="华文楷体"/>
        <family val="3"/>
        <charset val="134"/>
      </rPr>
      <t>　加：公允价值变动收益（损失以</t>
    </r>
    <r>
      <rPr>
        <sz val="11"/>
        <color indexed="8"/>
        <rFont val="Times New Roman"/>
        <family val="1"/>
      </rPr>
      <t>“-”</t>
    </r>
    <r>
      <rPr>
        <sz val="11"/>
        <color indexed="8"/>
        <rFont val="华文楷体"/>
        <family val="3"/>
        <charset val="134"/>
      </rPr>
      <t>号填列）</t>
    </r>
  </si>
  <si>
    <r>
      <rPr>
        <sz val="11"/>
        <color indexed="8"/>
        <rFont val="华文楷体"/>
        <family val="3"/>
        <charset val="134"/>
      </rPr>
      <t>　　　投资收益（损失以</t>
    </r>
    <r>
      <rPr>
        <sz val="11"/>
        <color indexed="8"/>
        <rFont val="Times New Roman"/>
        <family val="1"/>
      </rPr>
      <t>“-”</t>
    </r>
    <r>
      <rPr>
        <sz val="11"/>
        <color indexed="8"/>
        <rFont val="华文楷体"/>
        <family val="3"/>
        <charset val="134"/>
      </rPr>
      <t>号填列）</t>
    </r>
  </si>
  <si>
    <r>
      <rPr>
        <sz val="11"/>
        <color indexed="8"/>
        <rFont val="华文楷体"/>
        <family val="3"/>
        <charset val="134"/>
      </rPr>
      <t>　　</t>
    </r>
    <r>
      <rPr>
        <sz val="11"/>
        <color indexed="8"/>
        <rFont val="Times New Roman"/>
        <family val="1"/>
      </rPr>
      <t xml:space="preserve">   </t>
    </r>
    <r>
      <rPr>
        <sz val="11"/>
        <color indexed="8"/>
        <rFont val="华文楷体"/>
        <family val="3"/>
        <charset val="134"/>
      </rPr>
      <t>　其中：对联营企业和合营企业的投资收益</t>
    </r>
  </si>
  <si>
    <r>
      <rPr>
        <sz val="11"/>
        <color indexed="8"/>
        <rFont val="华文楷体"/>
        <family val="3"/>
        <charset val="134"/>
      </rPr>
      <t>二、营业利润（亏损以</t>
    </r>
    <r>
      <rPr>
        <sz val="11"/>
        <color indexed="8"/>
        <rFont val="Times New Roman"/>
        <family val="1"/>
      </rPr>
      <t>“-”</t>
    </r>
    <r>
      <rPr>
        <sz val="11"/>
        <color indexed="8"/>
        <rFont val="华文楷体"/>
        <family val="3"/>
        <charset val="134"/>
      </rPr>
      <t>号填列）＝</t>
    </r>
  </si>
  <si>
    <r>
      <rPr>
        <sz val="11"/>
        <rFont val="华文楷体"/>
        <family val="3"/>
        <charset val="134"/>
      </rPr>
      <t>说明：分别披露关联交易和非关联交易的收入、成本、费用和利润，不能直接归集的，按照合理比例划分，并说明该划分比例的依据。</t>
    </r>
  </si>
  <si>
    <t>关联交易类型</t>
  </si>
  <si>
    <t>境外交易金额</t>
  </si>
  <si>
    <t>境内交易金额</t>
  </si>
  <si>
    <t>交易总额</t>
  </si>
  <si>
    <t>A</t>
  </si>
  <si>
    <t>B</t>
  </si>
  <si>
    <t>C=A+B</t>
  </si>
  <si>
    <t>{有形资产所有权出让}</t>
  </si>
  <si>
    <t>{有形资产所有权受让}</t>
  </si>
  <si>
    <t>{提供关联劳务}</t>
  </si>
  <si>
    <t>{接受关联劳务}</t>
  </si>
  <si>
    <t>……</t>
  </si>
  <si>
    <t>{关联融资利息收入/支出}</t>
  </si>
  <si>
    <t>合计</t>
  </si>
  <si>
    <t>附件四： 供应商清单</t>
  </si>
  <si>
    <r>
      <rPr>
        <sz val="12"/>
        <color rgb="FFFF0000"/>
        <rFont val="华文楷体"/>
        <family val="3"/>
        <charset val="134"/>
      </rPr>
      <t>请贵公司提供截至</t>
    </r>
    <r>
      <rPr>
        <sz val="12"/>
        <color rgb="FFFF0000"/>
        <rFont val="宋体"/>
        <family val="3"/>
        <charset val="134"/>
      </rPr>
      <t>【年度】</t>
    </r>
    <r>
      <rPr>
        <sz val="12"/>
        <color rgb="FFFF0000"/>
        <rFont val="华文楷体"/>
        <family val="3"/>
        <charset val="134"/>
      </rPr>
      <t>年</t>
    </r>
    <r>
      <rPr>
        <sz val="12"/>
        <color rgb="FFFF0000"/>
        <rFont val="Times New Roman"/>
        <family val="1"/>
      </rPr>
      <t>12</t>
    </r>
    <r>
      <rPr>
        <sz val="12"/>
        <color rgb="FFFF0000"/>
        <rFont val="华文楷体"/>
        <family val="3"/>
        <charset val="134"/>
      </rPr>
      <t>月</t>
    </r>
    <r>
      <rPr>
        <sz val="12"/>
        <color rgb="FFFF0000"/>
        <rFont val="Times New Roman"/>
        <family val="1"/>
      </rPr>
      <t>31</t>
    </r>
    <r>
      <rPr>
        <sz val="12"/>
        <color rgb="FFFF0000"/>
        <rFont val="华文楷体"/>
        <family val="3"/>
        <charset val="134"/>
      </rPr>
      <t>日包括关联方在内的贵公司的主要供应商详情。</t>
    </r>
    <r>
      <rPr>
        <sz val="12"/>
        <color rgb="FFFF0000"/>
        <rFont val="Times New Roman"/>
        <family val="1"/>
      </rPr>
      <t xml:space="preserve"> </t>
    </r>
    <r>
      <rPr>
        <sz val="12"/>
        <color rgb="FFFF0000"/>
        <rFont val="华文楷体"/>
        <family val="3"/>
        <charset val="134"/>
      </rPr>
      <t>请注明供应商位于境内还是境外、采购的产品类型、采购金额及每个供应商的采购金额占贵公司采购总金额的比例等。</t>
    </r>
  </si>
  <si>
    <r>
      <rPr>
        <b/>
        <sz val="10"/>
        <color theme="0"/>
        <rFont val="华文楷体"/>
        <family val="3"/>
        <charset val="134"/>
      </rPr>
      <t>项目</t>
    </r>
  </si>
  <si>
    <r>
      <rPr>
        <b/>
        <sz val="10"/>
        <color theme="0"/>
        <rFont val="华文楷体"/>
        <family val="3"/>
        <charset val="134"/>
      </rPr>
      <t>编号</t>
    </r>
  </si>
  <si>
    <r>
      <rPr>
        <b/>
        <sz val="10"/>
        <color theme="0"/>
        <rFont val="华文楷体"/>
        <family val="3"/>
        <charset val="134"/>
      </rPr>
      <t>供应商名称</t>
    </r>
  </si>
  <si>
    <r>
      <rPr>
        <b/>
        <sz val="10"/>
        <color theme="0"/>
        <rFont val="华文楷体"/>
        <family val="3"/>
        <charset val="134"/>
      </rPr>
      <t>产品类型（例如原材料，半成品或成品）</t>
    </r>
  </si>
  <si>
    <r>
      <rPr>
        <b/>
        <sz val="10"/>
        <color theme="0"/>
        <rFont val="华文楷体"/>
        <family val="3"/>
        <charset val="134"/>
      </rPr>
      <t>会计年度</t>
    </r>
    <r>
      <rPr>
        <b/>
        <sz val="10"/>
        <color theme="0"/>
        <rFont val="宋体"/>
        <family val="3"/>
        <charset val="134"/>
      </rPr>
      <t>【年度】</t>
    </r>
  </si>
  <si>
    <r>
      <rPr>
        <b/>
        <sz val="10"/>
        <color theme="0"/>
        <rFont val="华文楷体"/>
        <family val="3"/>
        <charset val="134"/>
      </rPr>
      <t>运输条款（例如</t>
    </r>
    <r>
      <rPr>
        <b/>
        <sz val="10"/>
        <color theme="0"/>
        <rFont val="Times New Roman"/>
        <family val="1"/>
      </rPr>
      <t>FOB</t>
    </r>
    <r>
      <rPr>
        <b/>
        <sz val="10"/>
        <color theme="0"/>
        <rFont val="华文楷体"/>
        <family val="3"/>
        <charset val="134"/>
      </rPr>
      <t>，</t>
    </r>
    <r>
      <rPr>
        <b/>
        <sz val="10"/>
        <color theme="0"/>
        <rFont val="Times New Roman"/>
        <family val="1"/>
      </rPr>
      <t>CIF</t>
    </r>
    <r>
      <rPr>
        <b/>
        <sz val="10"/>
        <color theme="0"/>
        <rFont val="华文楷体"/>
        <family val="3"/>
        <charset val="134"/>
      </rPr>
      <t>等）</t>
    </r>
  </si>
  <si>
    <r>
      <rPr>
        <b/>
        <sz val="10"/>
        <color theme="0"/>
        <rFont val="华文楷体"/>
        <family val="3"/>
        <charset val="134"/>
      </rPr>
      <t>支付货币</t>
    </r>
    <r>
      <rPr>
        <b/>
        <sz val="10"/>
        <color theme="0"/>
        <rFont val="Times New Roman"/>
        <family val="1"/>
      </rPr>
      <t xml:space="preserve"> </t>
    </r>
    <r>
      <rPr>
        <b/>
        <sz val="10"/>
        <color theme="0"/>
        <rFont val="华文楷体"/>
        <family val="3"/>
        <charset val="134"/>
      </rPr>
      <t>（例如美元）</t>
    </r>
  </si>
  <si>
    <r>
      <rPr>
        <b/>
        <sz val="10"/>
        <color theme="0"/>
        <rFont val="华文楷体"/>
        <family val="3"/>
        <charset val="134"/>
      </rPr>
      <t>支付条款（例如发票开具日期</t>
    </r>
    <r>
      <rPr>
        <b/>
        <sz val="10"/>
        <color theme="0"/>
        <rFont val="Times New Roman"/>
        <family val="1"/>
      </rPr>
      <t>30</t>
    </r>
    <r>
      <rPr>
        <b/>
        <sz val="10"/>
        <color theme="0"/>
        <rFont val="华文楷体"/>
        <family val="3"/>
        <charset val="134"/>
      </rPr>
      <t>天内）</t>
    </r>
  </si>
  <si>
    <r>
      <rPr>
        <b/>
        <sz val="10"/>
        <color theme="0"/>
        <rFont val="华文楷体"/>
        <family val="3"/>
        <charset val="134"/>
      </rPr>
      <t>金额
（人民币）</t>
    </r>
  </si>
  <si>
    <r>
      <rPr>
        <b/>
        <sz val="10"/>
        <color theme="0"/>
        <rFont val="华文楷体"/>
        <family val="3"/>
        <charset val="134"/>
      </rPr>
      <t>占采购总金额比例</t>
    </r>
  </si>
  <si>
    <r>
      <rPr>
        <b/>
        <sz val="10"/>
        <color theme="0"/>
        <rFont val="华文楷体"/>
        <family val="3"/>
        <charset val="134"/>
      </rPr>
      <t>占关联采购总金额比例</t>
    </r>
  </si>
  <si>
    <r>
      <rPr>
        <b/>
        <sz val="10"/>
        <rFont val="华文楷体"/>
        <family val="3"/>
        <charset val="134"/>
      </rPr>
      <t>关联供应商</t>
    </r>
  </si>
  <si>
    <r>
      <rPr>
        <sz val="10"/>
        <rFont val="华文楷体"/>
        <family val="3"/>
        <charset val="134"/>
      </rPr>
      <t>境外关联采购</t>
    </r>
  </si>
  <si>
    <r>
      <rPr>
        <sz val="10"/>
        <rFont val="华文楷体"/>
        <family val="3"/>
        <charset val="134"/>
      </rPr>
      <t>其他</t>
    </r>
  </si>
  <si>
    <r>
      <rPr>
        <sz val="10"/>
        <rFont val="华文楷体"/>
        <family val="3"/>
        <charset val="134"/>
      </rPr>
      <t>境外关联采购小计</t>
    </r>
  </si>
  <si>
    <r>
      <rPr>
        <sz val="10"/>
        <rFont val="华文楷体"/>
        <family val="3"/>
        <charset val="134"/>
      </rPr>
      <t>境内关联采购</t>
    </r>
  </si>
  <si>
    <r>
      <rPr>
        <b/>
        <sz val="10"/>
        <rFont val="华文楷体"/>
        <family val="3"/>
        <charset val="134"/>
      </rPr>
      <t>境内关联采购小计</t>
    </r>
  </si>
  <si>
    <r>
      <rPr>
        <b/>
        <sz val="10"/>
        <rFont val="华文楷体"/>
        <family val="3"/>
        <charset val="134"/>
      </rPr>
      <t>关联采购小计</t>
    </r>
  </si>
  <si>
    <r>
      <rPr>
        <b/>
        <sz val="10"/>
        <rFont val="华文楷体"/>
        <family val="3"/>
        <charset val="134"/>
      </rPr>
      <t>非关联供应商</t>
    </r>
  </si>
  <si>
    <r>
      <rPr>
        <sz val="10"/>
        <rFont val="华文楷体"/>
        <family val="3"/>
        <charset val="134"/>
      </rPr>
      <t>境外非关联采购</t>
    </r>
  </si>
  <si>
    <r>
      <rPr>
        <b/>
        <sz val="10"/>
        <rFont val="华文楷体"/>
        <family val="3"/>
        <charset val="134"/>
      </rPr>
      <t>境外非关联采购小计</t>
    </r>
  </si>
  <si>
    <r>
      <rPr>
        <sz val="10"/>
        <rFont val="华文楷体"/>
        <family val="3"/>
        <charset val="134"/>
      </rPr>
      <t>境内非关联采购</t>
    </r>
  </si>
  <si>
    <r>
      <rPr>
        <b/>
        <sz val="10"/>
        <rFont val="华文楷体"/>
        <family val="3"/>
        <charset val="134"/>
      </rPr>
      <t>境内非关联采购小计</t>
    </r>
  </si>
  <si>
    <r>
      <rPr>
        <b/>
        <sz val="10"/>
        <rFont val="华文楷体"/>
        <family val="3"/>
        <charset val="134"/>
      </rPr>
      <t>非关联采购小计</t>
    </r>
  </si>
  <si>
    <r>
      <rPr>
        <b/>
        <sz val="10"/>
        <rFont val="华文楷体"/>
        <family val="3"/>
        <charset val="134"/>
      </rPr>
      <t>合计</t>
    </r>
  </si>
  <si>
    <r>
      <rPr>
        <sz val="12"/>
        <rFont val="华文楷体"/>
        <family val="3"/>
        <charset val="134"/>
      </rPr>
      <t>附件五：客户清单</t>
    </r>
  </si>
  <si>
    <r>
      <rPr>
        <sz val="12"/>
        <color rgb="FFFF0000"/>
        <rFont val="华文楷体"/>
        <family val="3"/>
        <charset val="134"/>
      </rPr>
      <t>请贵公司提供截至【</t>
    </r>
    <r>
      <rPr>
        <sz val="12"/>
        <color rgb="FFFF0000"/>
        <rFont val="宋体"/>
        <family val="3"/>
        <charset val="134"/>
      </rPr>
      <t>年度】</t>
    </r>
    <r>
      <rPr>
        <sz val="12"/>
        <color rgb="FFFF0000"/>
        <rFont val="华文楷体"/>
        <family val="3"/>
        <charset val="134"/>
      </rPr>
      <t>年</t>
    </r>
    <r>
      <rPr>
        <sz val="12"/>
        <color rgb="FFFF0000"/>
        <rFont val="Times New Roman"/>
        <family val="1"/>
      </rPr>
      <t>12</t>
    </r>
    <r>
      <rPr>
        <sz val="12"/>
        <color rgb="FFFF0000"/>
        <rFont val="华文楷体"/>
        <family val="3"/>
        <charset val="134"/>
      </rPr>
      <t>月</t>
    </r>
    <r>
      <rPr>
        <sz val="12"/>
        <color rgb="FFFF0000"/>
        <rFont val="Times New Roman"/>
        <family val="1"/>
      </rPr>
      <t>31</t>
    </r>
    <r>
      <rPr>
        <sz val="12"/>
        <color rgb="FFFF0000"/>
        <rFont val="华文楷体"/>
        <family val="3"/>
        <charset val="134"/>
      </rPr>
      <t>日包括关联方在内的贵公司的主要客户详情。</t>
    </r>
    <r>
      <rPr>
        <sz val="12"/>
        <color rgb="FFFF0000"/>
        <rFont val="Times New Roman"/>
        <family val="1"/>
      </rPr>
      <t xml:space="preserve"> </t>
    </r>
    <r>
      <rPr>
        <sz val="12"/>
        <color rgb="FFFF0000"/>
        <rFont val="华文楷体"/>
        <family val="3"/>
        <charset val="134"/>
      </rPr>
      <t>请注明客户位于境内还是境外、相关的产品类型、销售收入及每个客户的销售收入占贵公司销售总收入的比例等。</t>
    </r>
  </si>
  <si>
    <r>
      <rPr>
        <b/>
        <sz val="10"/>
        <color theme="0"/>
        <rFont val="华文楷体"/>
        <family val="3"/>
        <charset val="134"/>
      </rPr>
      <t>客户名称</t>
    </r>
  </si>
  <si>
    <r>
      <rPr>
        <b/>
        <sz val="10"/>
        <color theme="0"/>
        <rFont val="华文楷体"/>
        <family val="3"/>
        <charset val="134"/>
      </rPr>
      <t>产品以及产品细分（例如</t>
    </r>
    <r>
      <rPr>
        <b/>
        <sz val="10"/>
        <color theme="0"/>
        <rFont val="Times New Roman"/>
        <family val="1"/>
      </rPr>
      <t>A1</t>
    </r>
    <r>
      <rPr>
        <b/>
        <sz val="10"/>
        <color theme="0"/>
        <rFont val="华文楷体"/>
        <family val="3"/>
        <charset val="134"/>
      </rPr>
      <t>，</t>
    </r>
    <r>
      <rPr>
        <b/>
        <sz val="10"/>
        <color theme="0"/>
        <rFont val="Times New Roman"/>
        <family val="1"/>
      </rPr>
      <t>B2</t>
    </r>
    <r>
      <rPr>
        <b/>
        <sz val="10"/>
        <color theme="0"/>
        <rFont val="华文楷体"/>
        <family val="3"/>
        <charset val="134"/>
      </rPr>
      <t>等）</t>
    </r>
  </si>
  <si>
    <t>金额
（人民币）</t>
  </si>
  <si>
    <r>
      <rPr>
        <b/>
        <sz val="10"/>
        <color theme="0"/>
        <rFont val="华文楷体"/>
        <family val="3"/>
        <charset val="134"/>
      </rPr>
      <t>占销售总收入比例</t>
    </r>
  </si>
  <si>
    <r>
      <rPr>
        <b/>
        <sz val="10"/>
        <color theme="0"/>
        <rFont val="华文楷体"/>
        <family val="3"/>
        <charset val="134"/>
      </rPr>
      <t>占关联销售总收入比例</t>
    </r>
  </si>
  <si>
    <r>
      <rPr>
        <b/>
        <sz val="10"/>
        <rFont val="华文楷体"/>
        <family val="3"/>
        <charset val="134"/>
      </rPr>
      <t>关联客户</t>
    </r>
  </si>
  <si>
    <r>
      <rPr>
        <sz val="10"/>
        <rFont val="华文楷体"/>
        <family val="3"/>
        <charset val="134"/>
      </rPr>
      <t>境外关联销售</t>
    </r>
  </si>
  <si>
    <r>
      <rPr>
        <sz val="10"/>
        <rFont val="华文楷体"/>
        <family val="3"/>
        <charset val="134"/>
      </rPr>
      <t>境外关联销售小计</t>
    </r>
  </si>
  <si>
    <r>
      <rPr>
        <sz val="10"/>
        <rFont val="华文楷体"/>
        <family val="3"/>
        <charset val="134"/>
      </rPr>
      <t>境内关联销售</t>
    </r>
  </si>
  <si>
    <r>
      <rPr>
        <b/>
        <sz val="10"/>
        <rFont val="华文楷体"/>
        <family val="3"/>
        <charset val="134"/>
      </rPr>
      <t>境内关联销售小计</t>
    </r>
  </si>
  <si>
    <r>
      <rPr>
        <b/>
        <sz val="10"/>
        <rFont val="华文楷体"/>
        <family val="3"/>
        <charset val="134"/>
      </rPr>
      <t>关联销售小计</t>
    </r>
  </si>
  <si>
    <r>
      <rPr>
        <b/>
        <sz val="10"/>
        <rFont val="华文楷体"/>
        <family val="3"/>
        <charset val="134"/>
      </rPr>
      <t>非关联客户</t>
    </r>
  </si>
  <si>
    <r>
      <rPr>
        <sz val="10"/>
        <rFont val="华文楷体"/>
        <family val="3"/>
        <charset val="134"/>
      </rPr>
      <t>境外非关联销售</t>
    </r>
  </si>
  <si>
    <r>
      <rPr>
        <b/>
        <sz val="10"/>
        <rFont val="华文楷体"/>
        <family val="3"/>
        <charset val="134"/>
      </rPr>
      <t>境外非关联销售小计</t>
    </r>
  </si>
  <si>
    <r>
      <rPr>
        <sz val="10"/>
        <rFont val="华文楷体"/>
        <family val="3"/>
        <charset val="134"/>
      </rPr>
      <t>境内非关联销售</t>
    </r>
  </si>
  <si>
    <r>
      <rPr>
        <b/>
        <sz val="10"/>
        <rFont val="华文楷体"/>
        <family val="3"/>
        <charset val="134"/>
      </rPr>
      <t>境内非关联销售小计</t>
    </r>
  </si>
  <si>
    <r>
      <rPr>
        <b/>
        <sz val="10"/>
        <rFont val="华文楷体"/>
        <family val="3"/>
        <charset val="134"/>
      </rPr>
      <t>非关联销售小计</t>
    </r>
  </si>
  <si>
    <t>附件六：劳务交易表</t>
  </si>
  <si>
    <t>请贵公司提供截至2019年12月31日贵公司的关联劳务交易详情。</t>
  </si>
  <si>
    <t>行次</t>
  </si>
  <si>
    <t>关联交易内容</t>
  </si>
  <si>
    <t>交易金额</t>
  </si>
  <si>
    <t>比例</t>
  </si>
  <si>
    <t>占总劳务收入比重（%）</t>
  </si>
  <si>
    <t xml:space="preserve">境外关联
劳务收入
</t>
  </si>
  <si>
    <t>────</t>
  </si>
  <si>
    <t>其他关联方</t>
  </si>
  <si>
    <t>境外关联劳务收入小计</t>
  </si>
  <si>
    <t xml:space="preserve">境内关联
劳务收入
</t>
  </si>
  <si>
    <t>境内关联劳务收入小计</t>
  </si>
  <si>
    <t>境内外关联和非关联劳务收入合计</t>
  </si>
  <si>
    <t xml:space="preserve">境外关联
劳务支出
</t>
  </si>
  <si>
    <t>境外关联劳务支出小计</t>
  </si>
  <si>
    <t xml:space="preserve">境内关联
劳务支出
</t>
  </si>
  <si>
    <t>境内关联劳务支出小计</t>
  </si>
  <si>
    <t>境内外关联和非关联劳务支出合计</t>
  </si>
  <si>
    <t>劳务内容</t>
  </si>
  <si>
    <t>分配方法</t>
  </si>
  <si>
    <t>总成本费用</t>
  </si>
  <si>
    <t>【清单模板-数据表B5】</t>
  </si>
  <si>
    <t>所需承担的比例</t>
  </si>
  <si>
    <t>市场营销服务</t>
  </si>
  <si>
    <t>销售额</t>
  </si>
  <si>
    <t>XX,XXX</t>
  </si>
  <si>
    <t>XX%</t>
  </si>
  <si>
    <t>行政支持服务</t>
  </si>
  <si>
    <t>信息技术服务</t>
  </si>
  <si>
    <t>人数</t>
  </si>
  <si>
    <t>关联方</t>
  </si>
  <si>
    <t>金额</t>
  </si>
  <si>
    <t>缔约方</t>
  </si>
  <si>
    <t>公司间资金融通交易性质</t>
  </si>
  <si>
    <t>货币</t>
  </si>
  <si>
    <t>本金</t>
  </si>
  <si>
    <t>到期期限</t>
  </si>
  <si>
    <t>利率</t>
  </si>
  <si>
    <t>利息收入/利息支出</t>
  </si>
  <si>
    <t>（原币）</t>
  </si>
  <si>
    <t>（人民币）</t>
  </si>
  <si>
    <t>借款/贷款</t>
  </si>
  <si>
    <t>资产净值</t>
  </si>
  <si>
    <t>年初数</t>
  </si>
  <si>
    <t>年末数</t>
  </si>
  <si>
    <t>房屋及建筑物</t>
  </si>
  <si>
    <t>电脑设备</t>
  </si>
  <si>
    <t>机器设备</t>
  </si>
  <si>
    <t>办公设备</t>
  </si>
  <si>
    <t>家具</t>
  </si>
  <si>
    <t>运输设备</t>
  </si>
  <si>
    <t>生产设备</t>
  </si>
  <si>
    <t>其他</t>
  </si>
  <si>
    <t>序号</t>
  </si>
  <si>
    <t>风险</t>
  </si>
  <si>
    <r>
      <rPr>
        <b/>
        <sz val="11"/>
        <color rgb="FFFFFFFF"/>
        <rFont val="微软雅黑"/>
        <family val="2"/>
        <charset val="134"/>
      </rPr>
      <t>项目</t>
    </r>
  </si>
  <si>
    <r>
      <rPr>
        <b/>
        <sz val="11"/>
        <color rgb="FFFFFFFF"/>
        <rFont val="微软雅黑"/>
        <family val="2"/>
        <charset val="134"/>
      </rPr>
      <t>公式</t>
    </r>
  </si>
  <si>
    <t>【年度】</t>
  </si>
  <si>
    <r>
      <rPr>
        <sz val="11"/>
        <color rgb="FF000000"/>
        <rFont val="微软雅黑"/>
        <family val="2"/>
        <charset val="134"/>
      </rPr>
      <t>营业收入</t>
    </r>
  </si>
  <si>
    <t>a</t>
  </si>
  <si>
    <r>
      <rPr>
        <sz val="11"/>
        <rFont val="微软雅黑"/>
        <family val="2"/>
        <charset val="134"/>
      </rPr>
      <t>减：</t>
    </r>
    <r>
      <rPr>
        <sz val="11"/>
        <color rgb="FF000000"/>
        <rFont val="微软雅黑"/>
        <family val="2"/>
        <charset val="134"/>
      </rPr>
      <t>营业成本</t>
    </r>
  </si>
  <si>
    <t>b</t>
  </si>
  <si>
    <r>
      <rPr>
        <sz val="11"/>
        <color rgb="FF000000"/>
        <rFont val="微软雅黑"/>
        <family val="2"/>
        <charset val="134"/>
      </rPr>
      <t>税金及附加</t>
    </r>
  </si>
  <si>
    <t>c</t>
  </si>
  <si>
    <r>
      <rPr>
        <sz val="11"/>
        <color rgb="FF000000"/>
        <rFont val="微软雅黑"/>
        <family val="2"/>
        <charset val="134"/>
      </rPr>
      <t>营业利润</t>
    </r>
  </si>
  <si>
    <t>d = a-b-c</t>
  </si>
  <si>
    <r>
      <rPr>
        <sz val="11"/>
        <rFont val="微软雅黑"/>
        <family val="2"/>
        <charset val="134"/>
      </rPr>
      <t>减：销售费用</t>
    </r>
  </si>
  <si>
    <t>e</t>
  </si>
  <si>
    <r>
      <rPr>
        <sz val="11"/>
        <color rgb="FF000000"/>
        <rFont val="微软雅黑"/>
        <family val="2"/>
        <charset val="134"/>
      </rPr>
      <t>管理费用</t>
    </r>
  </si>
  <si>
    <t>f</t>
  </si>
  <si>
    <r>
      <rPr>
        <sz val="11"/>
        <rFont val="微软雅黑"/>
        <family val="2"/>
        <charset val="134"/>
      </rPr>
      <t>息税前利润</t>
    </r>
  </si>
  <si>
    <t>g = a-b-c-e-f</t>
  </si>
  <si>
    <r>
      <rPr>
        <sz val="11"/>
        <rFont val="微软雅黑"/>
        <family val="2"/>
        <charset val="134"/>
      </rPr>
      <t>营业成本及费用</t>
    </r>
  </si>
  <si>
    <t>h = b+c+e+f</t>
  </si>
  <si>
    <r>
      <rPr>
        <sz val="11"/>
        <rFont val="微软雅黑"/>
        <family val="2"/>
        <charset val="134"/>
      </rPr>
      <t>完全成本加成率</t>
    </r>
  </si>
  <si>
    <t>i= g/h</t>
  </si>
  <si>
    <t>根据访谈，关联销售以审计报告为准</t>
  </si>
  <si>
    <t>关联采购</t>
  </si>
  <si>
    <t>关联销售</t>
  </si>
  <si>
    <t>总计</t>
  </si>
  <si>
    <r>
      <rPr>
        <b/>
        <sz val="11"/>
        <color rgb="FFFFFFFF"/>
        <rFont val="仿宋_GB2312"/>
        <charset val="134"/>
      </rPr>
      <t>占采购、销售总额比例</t>
    </r>
    <r>
      <rPr>
        <b/>
        <sz val="11"/>
        <color rgb="FFFFFFFF"/>
        <rFont val="Arial Narrow"/>
        <family val="2"/>
      </rPr>
      <t>(%)</t>
    </r>
  </si>
  <si>
    <t>关联</t>
  </si>
  <si>
    <t>采购</t>
  </si>
  <si>
    <t>关联采购总计</t>
  </si>
  <si>
    <t>销售</t>
  </si>
  <si>
    <t>关联销售总计</t>
  </si>
  <si>
    <t>AAA</t>
  </si>
  <si>
    <t>CCC</t>
  </si>
  <si>
    <t>EEE</t>
  </si>
  <si>
    <t>BBB</t>
  </si>
  <si>
    <t>DDD</t>
  </si>
  <si>
    <t>FFF</t>
  </si>
  <si>
    <t>KKKK</t>
    <phoneticPr fontId="91" type="noConversion"/>
  </si>
  <si>
    <t>A</t>
    <phoneticPr fontId="91" type="noConversion"/>
  </si>
  <si>
    <t>B</t>
    <phoneticPr fontId="91" type="noConversion"/>
  </si>
  <si>
    <t>否</t>
    <phoneticPr fontId="91" type="noConversion"/>
  </si>
  <si>
    <t>KKK</t>
    <phoneticPr fontId="91" type="noConversion"/>
  </si>
  <si>
    <t>sss</t>
    <phoneticPr fontId="91" type="noConversion"/>
  </si>
  <si>
    <t>BBB</t>
    <phoneticPr fontId="91" type="noConversion"/>
  </si>
  <si>
    <t>CC</t>
    <phoneticPr fontId="91" type="noConversion"/>
  </si>
  <si>
    <t>SPX AA</t>
    <phoneticPr fontId="91" type="noConversion"/>
  </si>
  <si>
    <t>ss</t>
    <phoneticPr fontId="91" type="noConversion"/>
  </si>
  <si>
    <t>UIUIUIU</t>
    <phoneticPr fontId="91" type="noConversion"/>
  </si>
  <si>
    <t>US</t>
    <phoneticPr fontId="91" type="noConversion"/>
  </si>
  <si>
    <t>EU</t>
    <phoneticPr fontId="91" type="noConversion"/>
  </si>
  <si>
    <t>AA</t>
    <phoneticPr fontId="91" type="noConversion"/>
  </si>
  <si>
    <t>BB</t>
    <phoneticPr fontId="9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</si>
</sst>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76" formatCode="_ * #,##0.00_ ;_ * \-#,##0.00_ ;_ * &quot;-&quot;??_ ;_ @_ "/>
    <numFmt numFmtId="177" formatCode="_-* #,##0.00_-;\-* #,##0.00_-;_-* &quot;-&quot;??_-;_-@_-"/>
    <numFmt numFmtId="178" formatCode="0.0%"/>
    <numFmt numFmtId="179" formatCode="0.00_ "/>
    <numFmt numFmtId="180" formatCode="#,##0.00_ "/>
    <numFmt numFmtId="181" formatCode="_(* #,##0_);_(* \(#,##0\);_(* &quot;-&quot;??_);_(@_)"/>
  </numFmts>
  <fonts count="93">
    <font>
      <sz val="12"/>
      <name val="宋体"/>
      <charset val="134"/>
    </font>
    <font>
      <sz val="11"/>
      <color theme="1"/>
      <name val="Arial"/>
      <family val="2"/>
    </font>
    <font>
      <b/>
      <sz val="11"/>
      <color rgb="FFFFFFFF"/>
      <name val="Arial"/>
      <family val="2"/>
    </font>
    <font>
      <b/>
      <sz val="11"/>
      <color rgb="FFFFFFFF"/>
      <name val="宋体"/>
      <family val="3"/>
      <charset val="134"/>
    </font>
    <font>
      <sz val="11"/>
      <color rgb="FF000000"/>
      <name val="Arial"/>
      <family val="2"/>
    </font>
    <font>
      <sz val="11"/>
      <name val="Arial"/>
      <family val="2"/>
    </font>
    <font>
      <sz val="11"/>
      <color theme="1"/>
      <name val="宋体"/>
      <family val="3"/>
      <charset val="134"/>
    </font>
    <font>
      <sz val="10"/>
      <name val="Times New Roman"/>
      <family val="1"/>
    </font>
    <font>
      <sz val="10"/>
      <name val="宋体"/>
      <family val="3"/>
      <charset val="134"/>
    </font>
    <font>
      <b/>
      <sz val="10"/>
      <name val="Times New Roman"/>
      <family val="1"/>
    </font>
    <font>
      <b/>
      <sz val="11"/>
      <color rgb="FFFFFFFF"/>
      <name val="仿宋_GB2312"/>
      <charset val="134"/>
    </font>
    <font>
      <b/>
      <sz val="11"/>
      <color rgb="FFFFFFFF"/>
      <name val="Arial Narrow"/>
      <family val="2"/>
    </font>
    <font>
      <sz val="11"/>
      <name val="仿宋_GB2312"/>
      <charset val="134"/>
    </font>
    <font>
      <sz val="11"/>
      <name val="Arial Narrow"/>
      <family val="2"/>
    </font>
    <font>
      <b/>
      <sz val="11"/>
      <name val="仿宋_GB2312"/>
      <charset val="134"/>
    </font>
    <font>
      <b/>
      <sz val="11"/>
      <name val="Arial Narrow"/>
      <family val="2"/>
    </font>
    <font>
      <sz val="11"/>
      <color rgb="FF000000"/>
      <name val="仿宋_GB2312"/>
      <charset val="134"/>
    </font>
    <font>
      <sz val="11"/>
      <color rgb="FF000000"/>
      <name val="Arial Narrow"/>
      <family val="2"/>
    </font>
    <font>
      <b/>
      <sz val="11"/>
      <color rgb="FF000000"/>
      <name val="仿宋_GB2312"/>
      <charset val="134"/>
    </font>
    <font>
      <b/>
      <sz val="11"/>
      <color rgb="FF000000"/>
      <name val="Arial Narrow"/>
      <family val="2"/>
    </font>
    <font>
      <sz val="11"/>
      <color rgb="FFFF0000"/>
      <name val="Arial"/>
      <family val="2"/>
    </font>
    <font>
      <sz val="11"/>
      <color indexed="8"/>
      <name val="宋体"/>
      <family val="3"/>
      <charset val="134"/>
    </font>
    <font>
      <b/>
      <sz val="10"/>
      <color rgb="FF000000"/>
      <name val="微软雅黑"/>
      <family val="2"/>
      <charset val="134"/>
    </font>
    <font>
      <sz val="10"/>
      <name val="微软雅黑"/>
      <family val="2"/>
      <charset val="134"/>
    </font>
    <font>
      <b/>
      <sz val="10"/>
      <name val="微软雅黑"/>
      <family val="2"/>
      <charset val="134"/>
    </font>
    <font>
      <sz val="11"/>
      <name val="微软雅黑"/>
      <family val="2"/>
      <charset val="134"/>
    </font>
    <font>
      <sz val="12"/>
      <name val="微软雅黑"/>
      <family val="2"/>
      <charset val="134"/>
    </font>
    <font>
      <b/>
      <sz val="10"/>
      <color theme="0"/>
      <name val="微软雅黑"/>
      <family val="2"/>
      <charset val="134"/>
    </font>
    <font>
      <b/>
      <sz val="12"/>
      <color theme="0"/>
      <name val="微软雅黑"/>
      <family val="2"/>
      <charset val="134"/>
    </font>
    <font>
      <sz val="10"/>
      <color indexed="8"/>
      <name val="宋体"/>
      <family val="3"/>
      <charset val="134"/>
    </font>
    <font>
      <sz val="10"/>
      <color indexed="8"/>
      <name val="Times New Roman"/>
      <family val="1"/>
    </font>
    <font>
      <b/>
      <sz val="10"/>
      <color indexed="8"/>
      <name val="宋体"/>
      <family val="3"/>
      <charset val="134"/>
    </font>
    <font>
      <b/>
      <sz val="10"/>
      <color indexed="8"/>
      <name val="Times New Roman"/>
      <family val="1"/>
    </font>
    <font>
      <b/>
      <sz val="12"/>
      <name val="宋体"/>
      <family val="3"/>
      <charset val="134"/>
    </font>
    <font>
      <sz val="12"/>
      <name val="Times New Roman"/>
      <family val="1"/>
    </font>
    <font>
      <sz val="11"/>
      <name val="Times New Roman"/>
      <family val="1"/>
    </font>
    <font>
      <b/>
      <sz val="12"/>
      <color rgb="FF000000"/>
      <name val="华文楷体"/>
      <family val="3"/>
      <charset val="134"/>
    </font>
    <font>
      <b/>
      <sz val="12"/>
      <color rgb="FF000000"/>
      <name val="Times New Roman"/>
      <family val="1"/>
    </font>
    <font>
      <b/>
      <sz val="12"/>
      <name val="Times New Roman"/>
      <family val="1"/>
    </font>
    <font>
      <sz val="12"/>
      <color rgb="FFFF0000"/>
      <name val="Times New Roman"/>
      <family val="1"/>
    </font>
    <font>
      <b/>
      <sz val="10"/>
      <color theme="0"/>
      <name val="Times New Roman"/>
      <family val="1"/>
    </font>
    <font>
      <sz val="9"/>
      <color theme="0"/>
      <name val="Times New Roman"/>
      <family val="1"/>
    </font>
    <font>
      <b/>
      <sz val="10"/>
      <color theme="0"/>
      <name val="华文楷体"/>
      <family val="3"/>
      <charset val="134"/>
    </font>
    <font>
      <i/>
      <sz val="10"/>
      <color rgb="FFFF0000"/>
      <name val="Arial"/>
      <family val="2"/>
    </font>
    <font>
      <sz val="10"/>
      <color rgb="FFFF0000"/>
      <name val="宋体"/>
      <family val="3"/>
      <charset val="134"/>
    </font>
    <font>
      <sz val="12"/>
      <name val="华文楷体"/>
      <family val="3"/>
      <charset val="134"/>
    </font>
    <font>
      <sz val="10"/>
      <name val="华文楷体"/>
      <family val="3"/>
      <charset val="134"/>
    </font>
    <font>
      <b/>
      <sz val="12"/>
      <name val="华文楷体"/>
      <family val="3"/>
      <charset val="134"/>
    </font>
    <font>
      <sz val="10"/>
      <color rgb="FFFF0000"/>
      <name val="华文楷体"/>
      <family val="3"/>
      <charset val="134"/>
    </font>
    <font>
      <sz val="11"/>
      <color rgb="FFFF0000"/>
      <name val="Times New Roman"/>
      <family val="1"/>
    </font>
    <font>
      <b/>
      <sz val="11"/>
      <name val="Times New Roman"/>
      <family val="1"/>
    </font>
    <font>
      <sz val="11"/>
      <color rgb="FFFF0000"/>
      <name val="华文楷体"/>
      <family val="3"/>
      <charset val="134"/>
    </font>
    <font>
      <b/>
      <sz val="11"/>
      <color theme="0"/>
      <name val="Times New Roman"/>
      <family val="1"/>
    </font>
    <font>
      <sz val="11"/>
      <color theme="0"/>
      <name val="Times New Roman"/>
      <family val="1"/>
    </font>
    <font>
      <sz val="11"/>
      <color indexed="8"/>
      <name val="Times New Roman"/>
      <family val="1"/>
    </font>
    <font>
      <sz val="11"/>
      <color indexed="9"/>
      <name val="Times New Roman"/>
      <family val="1"/>
    </font>
    <font>
      <b/>
      <sz val="10"/>
      <color rgb="FF000000"/>
      <name val="华文楷体"/>
      <family val="3"/>
      <charset val="134"/>
    </font>
    <font>
      <b/>
      <sz val="10"/>
      <name val="华文楷体"/>
      <family val="3"/>
      <charset val="134"/>
    </font>
    <font>
      <sz val="10"/>
      <color rgb="FFFF0000"/>
      <name val="Times New Roman"/>
      <family val="1"/>
    </font>
    <font>
      <sz val="9"/>
      <name val="华文楷体"/>
      <family val="3"/>
      <charset val="134"/>
    </font>
    <font>
      <b/>
      <sz val="11"/>
      <color rgb="FF000000"/>
      <name val="华文楷体"/>
      <family val="3"/>
      <charset val="134"/>
    </font>
    <font>
      <b/>
      <sz val="11"/>
      <color theme="0"/>
      <name val="Times New Roman"/>
      <family val="1"/>
    </font>
    <font>
      <b/>
      <sz val="11"/>
      <color rgb="FFFFFFFF"/>
      <name val="Times New Roman"/>
      <family val="1"/>
    </font>
    <font>
      <sz val="11"/>
      <color theme="1"/>
      <name val="Times New Roman"/>
      <family val="1"/>
    </font>
    <font>
      <sz val="11"/>
      <name val="华文楷体"/>
      <family val="3"/>
      <charset val="134"/>
    </font>
    <font>
      <sz val="11"/>
      <color rgb="FF000000"/>
      <name val="Times New Roman"/>
      <family val="1"/>
    </font>
    <font>
      <sz val="11"/>
      <color theme="1"/>
      <name val="华文楷体"/>
      <family val="3"/>
      <charset val="134"/>
    </font>
    <font>
      <sz val="11"/>
      <color rgb="FFFF0000"/>
      <name val="宋体"/>
      <family val="3"/>
      <charset val="134"/>
    </font>
    <font>
      <b/>
      <sz val="11"/>
      <color theme="1"/>
      <name val="Times New Roman"/>
      <family val="1"/>
    </font>
    <font>
      <b/>
      <sz val="11"/>
      <color rgb="FF000000"/>
      <name val="Times New Roman"/>
      <family val="1"/>
    </font>
    <font>
      <b/>
      <sz val="12"/>
      <color theme="1"/>
      <name val="Times New Roman"/>
      <family val="1"/>
    </font>
    <font>
      <b/>
      <sz val="11"/>
      <color theme="1"/>
      <name val="华文楷体"/>
      <family val="3"/>
      <charset val="134"/>
    </font>
    <font>
      <sz val="11"/>
      <color theme="1"/>
      <name val="Times New Roman"/>
      <family val="1"/>
    </font>
    <font>
      <sz val="11"/>
      <color theme="1"/>
      <name val="宋体"/>
      <family val="3"/>
      <charset val="134"/>
    </font>
    <font>
      <sz val="12"/>
      <color rgb="FFFF0000"/>
      <name val="宋体"/>
      <family val="3"/>
      <charset val="134"/>
    </font>
    <font>
      <b/>
      <sz val="11"/>
      <color indexed="9"/>
      <name val="Times New Roman"/>
      <family val="1"/>
    </font>
    <font>
      <sz val="11"/>
      <color indexed="8"/>
      <name val="华文楷体"/>
      <family val="3"/>
      <charset val="134"/>
    </font>
    <font>
      <sz val="12"/>
      <name val="宋体"/>
      <family val="3"/>
      <charset val="134"/>
    </font>
    <font>
      <sz val="10"/>
      <name val="Arial"/>
      <family val="2"/>
    </font>
    <font>
      <sz val="9"/>
      <name val="Times New Roman"/>
      <family val="1"/>
    </font>
    <font>
      <sz val="11"/>
      <color theme="1"/>
      <name val="宋体"/>
      <family val="3"/>
      <charset val="134"/>
      <scheme val="minor"/>
    </font>
    <font>
      <sz val="11"/>
      <color indexed="8"/>
      <name val="Calibri"/>
      <family val="2"/>
    </font>
    <font>
      <b/>
      <sz val="11"/>
      <color theme="0"/>
      <name val="华文楷体"/>
      <family val="3"/>
      <charset val="134"/>
    </font>
    <font>
      <b/>
      <sz val="11"/>
      <color indexed="9"/>
      <name val="华文楷体"/>
      <family val="3"/>
      <charset val="134"/>
    </font>
    <font>
      <b/>
      <sz val="11"/>
      <color rgb="FFFFFFFF"/>
      <name val="微软雅黑"/>
      <family val="2"/>
      <charset val="134"/>
    </font>
    <font>
      <sz val="11"/>
      <color rgb="FF000000"/>
      <name val="微软雅黑"/>
      <family val="2"/>
      <charset val="134"/>
    </font>
    <font>
      <b/>
      <sz val="11"/>
      <name val="华文楷体"/>
      <family val="3"/>
      <charset val="134"/>
    </font>
    <font>
      <b/>
      <sz val="11"/>
      <color indexed="8"/>
      <name val="华文楷体"/>
      <family val="3"/>
      <charset val="134"/>
    </font>
    <font>
      <sz val="12"/>
      <color rgb="FFFF0000"/>
      <name val="华文楷体"/>
      <family val="3"/>
      <charset val="134"/>
    </font>
    <font>
      <b/>
      <sz val="11"/>
      <color theme="0"/>
      <name val="宋体"/>
      <family val="3"/>
      <charset val="134"/>
    </font>
    <font>
      <b/>
      <sz val="10"/>
      <color theme="0"/>
      <name val="宋体"/>
      <family val="3"/>
      <charset val="134"/>
    </font>
    <font>
      <sz val="9"/>
      <name val="宋体"/>
      <family val="3"/>
      <charset val="134"/>
    </font>
    <font>
      <sz val="9"/>
      <name val="Arial"/>
      <family val="2"/>
    </font>
  </fonts>
  <fills count="14">
    <fill>
      <patternFill patternType="none"/>
    </fill>
    <fill>
      <patternFill patternType="gray125"/>
    </fill>
    <fill>
      <patternFill patternType="solid">
        <fgColor theme="8" tint="-0.499984740745262"/>
        <bgColor indexed="64"/>
      </patternFill>
    </fill>
    <fill>
      <patternFill patternType="solid">
        <fgColor theme="9"/>
        <bgColor indexed="64"/>
      </patternFill>
    </fill>
    <fill>
      <patternFill patternType="solid">
        <fgColor rgb="FF00A7E1"/>
        <bgColor indexed="64"/>
      </patternFill>
    </fill>
    <fill>
      <patternFill patternType="solid">
        <fgColor theme="0"/>
        <bgColor indexed="64"/>
      </patternFill>
    </fill>
    <fill>
      <patternFill patternType="solid">
        <fgColor theme="2" tint="-0.14990691854609822"/>
        <bgColor indexed="64"/>
      </patternFill>
    </fill>
    <fill>
      <patternFill patternType="solid">
        <fgColor rgb="FF002060"/>
        <bgColor indexed="64"/>
      </patternFill>
    </fill>
    <fill>
      <patternFill patternType="solid">
        <fgColor theme="0" tint="-0.14993743705557422"/>
        <bgColor indexed="64"/>
      </patternFill>
    </fill>
    <fill>
      <patternFill patternType="solid">
        <fgColor theme="9" tint="0.79992065187536243"/>
        <bgColor indexed="64"/>
      </patternFill>
    </fill>
    <fill>
      <patternFill patternType="solid">
        <fgColor theme="0" tint="-0.14990691854609822"/>
        <bgColor indexed="64"/>
      </patternFill>
    </fill>
    <fill>
      <patternFill patternType="solid">
        <fgColor rgb="FFFFFF00"/>
        <bgColor indexed="64"/>
      </patternFill>
    </fill>
    <fill>
      <patternFill patternType="solid">
        <fgColor theme="4"/>
        <bgColor indexed="64"/>
      </patternFill>
    </fill>
    <fill>
      <patternFill patternType="solid">
        <fgColor theme="2" tint="-0.249977111117893"/>
        <bgColor indexed="64"/>
      </patternFill>
    </fill>
  </fills>
  <borders count="4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rgb="FF3C8A2E"/>
      </left>
      <right/>
      <top style="medium">
        <color rgb="FF3C8A2E"/>
      </top>
      <bottom style="medium">
        <color rgb="FF3C8A2E"/>
      </bottom>
      <diagonal/>
    </border>
    <border>
      <left style="medium">
        <color auto="1"/>
      </left>
      <right/>
      <top style="medium">
        <color rgb="FF3C8A2E"/>
      </top>
      <bottom/>
      <diagonal/>
    </border>
    <border>
      <left style="medium">
        <color auto="1"/>
      </left>
      <right style="medium">
        <color rgb="FF3C8A2E"/>
      </right>
      <top style="medium">
        <color rgb="FF3C8A2E"/>
      </top>
      <bottom/>
      <diagonal/>
    </border>
    <border>
      <left style="medium">
        <color auto="1"/>
      </left>
      <right/>
      <top/>
      <bottom style="medium">
        <color rgb="FF3C8A2E"/>
      </bottom>
      <diagonal/>
    </border>
    <border>
      <left style="medium">
        <color auto="1"/>
      </left>
      <right style="medium">
        <color rgb="FF3C8A2E"/>
      </right>
      <top/>
      <bottom style="medium">
        <color rgb="FF3C8A2E"/>
      </bottom>
      <diagonal/>
    </border>
    <border>
      <left style="medium">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top style="thin">
        <color auto="1"/>
      </top>
      <bottom style="double">
        <color auto="1"/>
      </bottom>
      <diagonal/>
    </border>
    <border>
      <left style="medium">
        <color auto="1"/>
      </left>
      <right style="thin">
        <color auto="1"/>
      </right>
      <top/>
      <bottom/>
      <diagonal/>
    </border>
    <border>
      <left style="medium">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thin">
        <color auto="1"/>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23">
    <xf numFmtId="0" fontId="0" fillId="0" borderId="0">
      <alignment vertical="center"/>
    </xf>
    <xf numFmtId="177" fontId="77" fillId="0" borderId="0" applyFont="0" applyFill="0" applyBorder="0" applyAlignment="0" applyProtection="0"/>
    <xf numFmtId="9" fontId="77" fillId="0" borderId="0" applyFont="0" applyFill="0" applyBorder="0" applyAlignment="0" applyProtection="0">
      <alignment vertical="center"/>
    </xf>
    <xf numFmtId="176" fontId="78" fillId="0" borderId="0" applyFont="0" applyFill="0" applyBorder="0" applyAlignment="0" applyProtection="0">
      <alignment vertical="center"/>
    </xf>
    <xf numFmtId="43" fontId="79" fillId="0" borderId="0" applyFont="0" applyFill="0" applyBorder="0" applyAlignment="0" applyProtection="0">
      <alignment vertical="center"/>
    </xf>
    <xf numFmtId="0" fontId="78" fillId="0" borderId="0"/>
    <xf numFmtId="0" fontId="79" fillId="0" borderId="0">
      <alignment vertical="center"/>
    </xf>
    <xf numFmtId="0" fontId="77" fillId="0" borderId="0">
      <alignment vertical="center"/>
    </xf>
    <xf numFmtId="0" fontId="78" fillId="0" borderId="0"/>
    <xf numFmtId="0" fontId="80" fillId="0" borderId="0"/>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8" fillId="0" borderId="0"/>
    <xf numFmtId="9" fontId="80" fillId="0" borderId="0" applyFont="0" applyFill="0" applyBorder="0" applyAlignment="0" applyProtection="0">
      <alignment vertical="center"/>
    </xf>
    <xf numFmtId="9" fontId="81" fillId="0" borderId="0" applyFont="0" applyFill="0" applyBorder="0" applyAlignment="0" applyProtection="0"/>
    <xf numFmtId="0" fontId="78" fillId="0" borderId="0"/>
    <xf numFmtId="0" fontId="80" fillId="0" borderId="0">
      <alignment vertical="center"/>
    </xf>
    <xf numFmtId="0" fontId="77" fillId="0" borderId="0">
      <alignment vertical="center"/>
    </xf>
    <xf numFmtId="177" fontId="77" fillId="0" borderId="0" applyFont="0" applyFill="0" applyBorder="0" applyAlignment="0" applyProtection="0"/>
    <xf numFmtId="176" fontId="77" fillId="0" borderId="0" applyFont="0" applyFill="0" applyBorder="0" applyAlignment="0" applyProtection="0"/>
  </cellStyleXfs>
  <cellXfs count="375">
    <xf numFmtId="0" fontId="0" fillId="0" borderId="0" xfId="0">
      <alignment vertical="center"/>
    </xf>
    <xf numFmtId="0" fontId="1" fillId="0" borderId="0" xfId="5" applyFont="1" applyAlignment="1">
      <alignment vertical="center"/>
    </xf>
    <xf numFmtId="0" fontId="3" fillId="2" borderId="3" xfId="5" applyFont="1" applyFill="1" applyBorder="1" applyAlignment="1">
      <alignment horizontal="center" vertical="center" wrapText="1"/>
    </xf>
    <xf numFmtId="0" fontId="2" fillId="2" borderId="7" xfId="5" applyFont="1" applyFill="1" applyBorder="1" applyAlignment="1">
      <alignment horizontal="center" vertical="center" wrapText="1"/>
    </xf>
    <xf numFmtId="0" fontId="2" fillId="4" borderId="7" xfId="5" applyFont="1" applyFill="1" applyBorder="1" applyAlignment="1">
      <alignment horizontal="center" vertical="center" wrapText="1"/>
    </xf>
    <xf numFmtId="0" fontId="4" fillId="0" borderId="6" xfId="5" applyFont="1" applyBorder="1" applyAlignment="1">
      <alignment vertical="center" wrapText="1"/>
    </xf>
    <xf numFmtId="0" fontId="4" fillId="0" borderId="7" xfId="5" applyFont="1" applyBorder="1" applyAlignment="1">
      <alignment horizontal="center" vertical="center" wrapText="1"/>
    </xf>
    <xf numFmtId="176" fontId="4" fillId="0" borderId="7" xfId="5" applyNumberFormat="1" applyFont="1" applyBorder="1" applyAlignment="1">
      <alignment horizontal="center" vertical="center" wrapText="1"/>
    </xf>
    <xf numFmtId="176" fontId="4" fillId="0" borderId="7" xfId="5" applyNumberFormat="1" applyFont="1" applyBorder="1" applyAlignment="1">
      <alignment horizontal="right" vertical="center" wrapText="1"/>
    </xf>
    <xf numFmtId="0" fontId="5" fillId="0" borderId="6" xfId="5" applyFont="1" applyBorder="1" applyAlignment="1">
      <alignment vertical="center" wrapText="1"/>
    </xf>
    <xf numFmtId="0" fontId="4" fillId="0" borderId="6" xfId="5" applyFont="1" applyBorder="1" applyAlignment="1">
      <alignment horizontal="left" vertical="center" wrapText="1" indent="2"/>
    </xf>
    <xf numFmtId="0" fontId="5" fillId="0" borderId="7" xfId="5" applyFont="1" applyBorder="1" applyAlignment="1">
      <alignment horizontal="center" vertical="center" wrapText="1"/>
    </xf>
    <xf numFmtId="176" fontId="5" fillId="0" borderId="7" xfId="5" applyNumberFormat="1" applyFont="1" applyBorder="1" applyAlignment="1">
      <alignment horizontal="center" vertical="center" wrapText="1"/>
    </xf>
    <xf numFmtId="0" fontId="5" fillId="0" borderId="8" xfId="5" applyFont="1" applyBorder="1" applyAlignment="1">
      <alignment vertical="center" wrapText="1"/>
    </xf>
    <xf numFmtId="0" fontId="5" fillId="0" borderId="9" xfId="5" applyFont="1" applyBorder="1" applyAlignment="1">
      <alignment horizontal="center" vertical="center" wrapText="1"/>
    </xf>
    <xf numFmtId="10" fontId="5" fillId="0" borderId="9" xfId="2" applyNumberFormat="1" applyFont="1" applyFill="1" applyBorder="1" applyAlignment="1" applyProtection="1">
      <alignment horizontal="right" vertical="center" wrapText="1"/>
    </xf>
    <xf numFmtId="10" fontId="4" fillId="0" borderId="9" xfId="16" applyNumberFormat="1" applyFont="1" applyBorder="1" applyAlignment="1">
      <alignment horizontal="right" vertical="center" wrapText="1"/>
    </xf>
    <xf numFmtId="10" fontId="5" fillId="0" borderId="9" xfId="16" applyNumberFormat="1" applyFont="1" applyBorder="1" applyAlignment="1">
      <alignment horizontal="right" vertical="center" wrapText="1"/>
    </xf>
    <xf numFmtId="0" fontId="1" fillId="0" borderId="0" xfId="5" applyFont="1" applyAlignment="1">
      <alignment horizontal="center" vertical="center"/>
    </xf>
    <xf numFmtId="10" fontId="1" fillId="0" borderId="0" xfId="16" applyNumberFormat="1" applyFont="1">
      <alignment vertical="center"/>
    </xf>
    <xf numFmtId="0" fontId="6" fillId="0" borderId="0" xfId="5" applyFont="1" applyAlignment="1">
      <alignment vertical="center"/>
    </xf>
    <xf numFmtId="0" fontId="7" fillId="5" borderId="7" xfId="13" applyFont="1" applyFill="1" applyBorder="1" applyAlignment="1">
      <alignment horizontal="center" vertical="center"/>
    </xf>
    <xf numFmtId="0" fontId="7" fillId="0" borderId="11" xfId="13" applyFont="1" applyBorder="1">
      <alignment vertical="center"/>
    </xf>
    <xf numFmtId="0" fontId="8" fillId="0" borderId="7" xfId="14" applyFont="1" applyBorder="1" applyAlignment="1">
      <alignment vertical="center" wrapText="1"/>
    </xf>
    <xf numFmtId="177" fontId="7" fillId="0" borderId="7" xfId="1" applyFont="1" applyFill="1" applyBorder="1" applyAlignment="1">
      <alignment vertical="center"/>
    </xf>
    <xf numFmtId="177" fontId="7" fillId="5" borderId="7" xfId="1" applyFont="1" applyFill="1" applyBorder="1" applyAlignment="1">
      <alignment vertical="center"/>
    </xf>
    <xf numFmtId="0" fontId="7" fillId="5" borderId="11" xfId="13" applyFont="1" applyFill="1" applyBorder="1">
      <alignment vertical="center"/>
    </xf>
    <xf numFmtId="0" fontId="7" fillId="5" borderId="7" xfId="14" applyFont="1" applyFill="1" applyBorder="1" applyAlignment="1">
      <alignment vertical="center" wrapText="1"/>
    </xf>
    <xf numFmtId="0" fontId="7" fillId="5" borderId="7" xfId="13" applyFont="1" applyFill="1" applyBorder="1">
      <alignment vertical="center"/>
    </xf>
    <xf numFmtId="0" fontId="7" fillId="6" borderId="7" xfId="13" applyFont="1" applyFill="1" applyBorder="1">
      <alignment vertical="center"/>
    </xf>
    <xf numFmtId="0" fontId="7" fillId="6" borderId="11" xfId="13" applyFont="1" applyFill="1" applyBorder="1">
      <alignment vertical="center"/>
    </xf>
    <xf numFmtId="0" fontId="7" fillId="6" borderId="7" xfId="14" applyFont="1" applyFill="1" applyBorder="1" applyAlignment="1">
      <alignment vertical="center" wrapText="1"/>
    </xf>
    <xf numFmtId="177" fontId="7" fillId="6" borderId="7" xfId="1" applyFont="1" applyFill="1" applyBorder="1" applyAlignment="1">
      <alignment vertical="center"/>
    </xf>
    <xf numFmtId="0" fontId="9" fillId="6" borderId="7" xfId="13" applyFont="1" applyFill="1" applyBorder="1">
      <alignment vertical="center"/>
    </xf>
    <xf numFmtId="0" fontId="9" fillId="6" borderId="11" xfId="13" applyFont="1" applyFill="1" applyBorder="1">
      <alignment vertical="center"/>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2" fillId="0" borderId="19" xfId="0" applyFont="1" applyBorder="1" applyAlignment="1">
      <alignment horizontal="center" vertical="center" wrapText="1"/>
    </xf>
    <xf numFmtId="4" fontId="13" fillId="0" borderId="19" xfId="0" applyNumberFormat="1" applyFont="1" applyBorder="1" applyAlignment="1">
      <alignment horizontal="right" vertical="center" wrapText="1"/>
    </xf>
    <xf numFmtId="0" fontId="13" fillId="0" borderId="19" xfId="0" applyFont="1" applyBorder="1" applyAlignment="1">
      <alignment horizontal="right" vertical="center" wrapText="1"/>
    </xf>
    <xf numFmtId="0" fontId="14" fillId="0" borderId="19" xfId="0" applyFont="1" applyBorder="1" applyAlignment="1">
      <alignment horizontal="center" vertical="center" wrapText="1"/>
    </xf>
    <xf numFmtId="4" fontId="15" fillId="0" borderId="19" xfId="0" applyNumberFormat="1" applyFont="1" applyBorder="1" applyAlignment="1">
      <alignment horizontal="right" vertical="center" wrapText="1"/>
    </xf>
    <xf numFmtId="176" fontId="1" fillId="0" borderId="0" xfId="5" applyNumberFormat="1" applyFont="1" applyAlignment="1">
      <alignment vertical="center"/>
    </xf>
    <xf numFmtId="0" fontId="10" fillId="7"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17" fillId="0" borderId="7" xfId="0" applyFont="1" applyBorder="1" applyAlignment="1">
      <alignment horizontal="justify" vertical="center" wrapText="1"/>
    </xf>
    <xf numFmtId="4" fontId="17" fillId="0" borderId="7" xfId="0" applyNumberFormat="1" applyFont="1" applyBorder="1" applyAlignment="1">
      <alignment horizontal="right" vertical="center" wrapText="1"/>
    </xf>
    <xf numFmtId="10" fontId="17" fillId="0" borderId="7" xfId="0" applyNumberFormat="1" applyFont="1" applyBorder="1" applyAlignment="1">
      <alignment horizontal="right" vertical="center" wrapText="1"/>
    </xf>
    <xf numFmtId="4" fontId="19" fillId="0" borderId="7" xfId="0" applyNumberFormat="1" applyFont="1" applyBorder="1" applyAlignment="1">
      <alignment horizontal="right" vertical="center" wrapText="1"/>
    </xf>
    <xf numFmtId="0" fontId="0" fillId="0" borderId="7" xfId="0" applyBorder="1">
      <alignment vertical="center"/>
    </xf>
    <xf numFmtId="0" fontId="16" fillId="0" borderId="7" xfId="0" applyFont="1" applyBorder="1" applyAlignment="1">
      <alignment horizontal="justify" vertical="center" wrapText="1"/>
    </xf>
    <xf numFmtId="4" fontId="17" fillId="0" borderId="7" xfId="0" applyNumberFormat="1" applyFont="1" applyBorder="1" applyAlignment="1">
      <alignment horizontal="right" vertical="center"/>
    </xf>
    <xf numFmtId="0" fontId="2" fillId="4" borderId="2" xfId="5" applyFont="1" applyFill="1" applyBorder="1" applyAlignment="1">
      <alignment horizontal="center" vertical="center" wrapText="1"/>
    </xf>
    <xf numFmtId="10" fontId="1" fillId="0" borderId="21" xfId="16" applyNumberFormat="1" applyFont="1" applyBorder="1">
      <alignment vertical="center"/>
    </xf>
    <xf numFmtId="0" fontId="1" fillId="0" borderId="21" xfId="16" applyNumberFormat="1" applyFont="1" applyBorder="1">
      <alignment vertical="center"/>
    </xf>
    <xf numFmtId="10" fontId="20" fillId="0" borderId="9" xfId="16" applyNumberFormat="1" applyFont="1" applyBorder="1" applyAlignment="1">
      <alignment horizontal="right" vertical="center" wrapText="1"/>
    </xf>
    <xf numFmtId="10" fontId="1" fillId="0" borderId="22" xfId="16" applyNumberFormat="1" applyFont="1" applyBorder="1">
      <alignment vertical="center"/>
    </xf>
    <xf numFmtId="10" fontId="20" fillId="0" borderId="0" xfId="16" applyNumberFormat="1" applyFont="1">
      <alignment vertical="center"/>
    </xf>
    <xf numFmtId="0" fontId="21" fillId="0" borderId="0" xfId="19" applyFont="1" applyProtection="1">
      <alignment vertical="center"/>
      <protection locked="0"/>
    </xf>
    <xf numFmtId="0" fontId="0" fillId="0" borderId="0" xfId="19" applyFont="1" applyProtection="1">
      <alignment vertical="center"/>
      <protection locked="0"/>
    </xf>
    <xf numFmtId="0" fontId="22" fillId="5" borderId="0" xfId="0" applyFont="1" applyFill="1">
      <alignment vertical="center"/>
    </xf>
    <xf numFmtId="0" fontId="22" fillId="5" borderId="0" xfId="19" applyFont="1" applyFill="1" applyAlignment="1">
      <alignment horizontal="left" vertical="center"/>
    </xf>
    <xf numFmtId="0" fontId="23" fillId="5" borderId="0" xfId="11" applyFont="1" applyFill="1">
      <alignment vertical="center"/>
    </xf>
    <xf numFmtId="0" fontId="22" fillId="5" borderId="0" xfId="19" applyFont="1" applyFill="1">
      <alignment vertical="center"/>
    </xf>
    <xf numFmtId="0" fontId="24" fillId="5" borderId="0" xfId="19" applyFont="1" applyFill="1" applyAlignment="1">
      <alignment horizontal="left" vertical="center"/>
    </xf>
    <xf numFmtId="0" fontId="25" fillId="5" borderId="0" xfId="11" applyFont="1" applyFill="1" applyAlignment="1">
      <alignment horizontal="left" vertical="center"/>
    </xf>
    <xf numFmtId="0" fontId="26" fillId="5" borderId="0" xfId="11" applyFont="1" applyFill="1" applyAlignment="1">
      <alignment horizontal="left" vertical="center"/>
    </xf>
    <xf numFmtId="0" fontId="23" fillId="5" borderId="0" xfId="11" applyFont="1" applyFill="1" applyAlignment="1">
      <alignment horizontal="left" vertical="center"/>
    </xf>
    <xf numFmtId="0" fontId="23" fillId="5" borderId="0" xfId="11" applyFont="1" applyFill="1" applyAlignment="1">
      <alignment horizontal="left" vertical="center" wrapText="1"/>
    </xf>
    <xf numFmtId="0" fontId="27" fillId="4" borderId="7" xfId="19" applyFont="1" applyFill="1" applyBorder="1" applyAlignment="1" applyProtection="1">
      <alignment horizontal="center" vertical="center" wrapText="1"/>
      <protection locked="0"/>
    </xf>
    <xf numFmtId="0" fontId="28" fillId="4" borderId="7" xfId="19" applyFont="1" applyFill="1" applyBorder="1" applyAlignment="1" applyProtection="1">
      <alignment horizontal="center" vertical="center"/>
      <protection locked="0"/>
    </xf>
    <xf numFmtId="0" fontId="29" fillId="0" borderId="7" xfId="19" applyFont="1" applyBorder="1" applyAlignment="1" applyProtection="1">
      <alignment horizontal="center" vertical="center"/>
      <protection locked="0"/>
    </xf>
    <xf numFmtId="0" fontId="30" fillId="0" borderId="7" xfId="19" applyFont="1" applyBorder="1" applyAlignment="1" applyProtection="1">
      <alignment horizontal="center" vertical="center" wrapText="1"/>
      <protection locked="0"/>
    </xf>
    <xf numFmtId="10" fontId="30" fillId="5" borderId="7" xfId="2" applyNumberFormat="1" applyFont="1" applyFill="1" applyBorder="1" applyAlignment="1" applyProtection="1">
      <alignment horizontal="center" vertical="center" wrapText="1"/>
    </xf>
    <xf numFmtId="0" fontId="0" fillId="0" borderId="7" xfId="19" applyFont="1" applyBorder="1" applyProtection="1">
      <alignment vertical="center"/>
      <protection locked="0"/>
    </xf>
    <xf numFmtId="0" fontId="29" fillId="0" borderId="7" xfId="19" applyFont="1" applyBorder="1" applyAlignment="1" applyProtection="1">
      <alignment horizontal="center" vertical="center" wrapText="1"/>
      <protection locked="0"/>
    </xf>
    <xf numFmtId="0" fontId="29" fillId="8" borderId="7" xfId="19" applyFont="1" applyFill="1" applyBorder="1" applyAlignment="1" applyProtection="1">
      <alignment horizontal="center" vertical="center"/>
      <protection locked="0"/>
    </xf>
    <xf numFmtId="0" fontId="30" fillId="8" borderId="7" xfId="19" applyFont="1" applyFill="1" applyBorder="1" applyAlignment="1">
      <alignment horizontal="center" vertical="center" wrapText="1"/>
    </xf>
    <xf numFmtId="10" fontId="30" fillId="8" borderId="7" xfId="2" applyNumberFormat="1" applyFont="1" applyFill="1" applyBorder="1" applyAlignment="1" applyProtection="1">
      <alignment horizontal="center" vertical="center" wrapText="1"/>
    </xf>
    <xf numFmtId="0" fontId="0" fillId="8" borderId="7" xfId="19" applyFont="1" applyFill="1" applyBorder="1" applyProtection="1">
      <alignment vertical="center"/>
      <protection locked="0"/>
    </xf>
    <xf numFmtId="0" fontId="29" fillId="0" borderId="25" xfId="19" applyFont="1" applyBorder="1" applyAlignment="1" applyProtection="1">
      <alignment horizontal="center" vertical="center" wrapText="1"/>
      <protection locked="0"/>
    </xf>
    <xf numFmtId="0" fontId="0" fillId="0" borderId="0" xfId="19" applyFont="1">
      <alignment vertical="center"/>
    </xf>
    <xf numFmtId="0" fontId="30" fillId="0" borderId="25" xfId="19" applyFont="1" applyBorder="1" applyAlignment="1" applyProtection="1">
      <alignment horizontal="center" vertical="center" wrapText="1"/>
      <protection locked="0"/>
    </xf>
    <xf numFmtId="0" fontId="30" fillId="8" borderId="7" xfId="19" applyFont="1" applyFill="1" applyBorder="1" applyAlignment="1" applyProtection="1">
      <alignment horizontal="center" vertical="center" wrapText="1"/>
      <protection locked="0"/>
    </xf>
    <xf numFmtId="9" fontId="30" fillId="8" borderId="7" xfId="19" applyNumberFormat="1" applyFont="1" applyFill="1" applyBorder="1" applyAlignment="1" applyProtection="1">
      <alignment horizontal="center" vertical="center"/>
      <protection locked="0"/>
    </xf>
    <xf numFmtId="0" fontId="31" fillId="8" borderId="7" xfId="19" applyFont="1" applyFill="1" applyBorder="1" applyAlignment="1" applyProtection="1">
      <alignment horizontal="center" vertical="center"/>
      <protection locked="0"/>
    </xf>
    <xf numFmtId="0" fontId="32" fillId="8" borderId="7" xfId="19" applyFont="1" applyFill="1" applyBorder="1" applyAlignment="1">
      <alignment horizontal="center" vertical="center" wrapText="1"/>
    </xf>
    <xf numFmtId="10" fontId="32" fillId="8" borderId="7" xfId="2" applyNumberFormat="1" applyFont="1" applyFill="1" applyBorder="1" applyAlignment="1" applyProtection="1">
      <alignment horizontal="center" vertical="center" wrapText="1"/>
    </xf>
    <xf numFmtId="0" fontId="33" fillId="8" borderId="7" xfId="19" applyFont="1" applyFill="1" applyBorder="1" applyProtection="1">
      <alignment vertical="center"/>
      <protection locked="0"/>
    </xf>
    <xf numFmtId="0" fontId="29" fillId="9" borderId="7" xfId="19" applyFont="1" applyFill="1" applyBorder="1" applyAlignment="1" applyProtection="1">
      <alignment horizontal="center" vertical="center"/>
      <protection locked="0"/>
    </xf>
    <xf numFmtId="0" fontId="34" fillId="5" borderId="0" xfId="14" applyFont="1" applyFill="1">
      <alignment vertical="center"/>
    </xf>
    <xf numFmtId="0" fontId="35" fillId="5" borderId="0" xfId="14" applyFont="1" applyFill="1">
      <alignment vertical="center"/>
    </xf>
    <xf numFmtId="0" fontId="9" fillId="5" borderId="0" xfId="14" applyFont="1" applyFill="1" applyAlignment="1">
      <alignment horizontal="center" vertical="center" wrapText="1"/>
    </xf>
    <xf numFmtId="0" fontId="7" fillId="5" borderId="0" xfId="14" applyFont="1" applyFill="1" applyAlignment="1">
      <alignment horizontal="center" vertical="center"/>
    </xf>
    <xf numFmtId="0" fontId="7" fillId="5" borderId="0" xfId="14" applyFont="1" applyFill="1">
      <alignment vertical="center"/>
    </xf>
    <xf numFmtId="177" fontId="7" fillId="5" borderId="0" xfId="1" applyFont="1" applyFill="1" applyAlignment="1">
      <alignment vertical="center"/>
    </xf>
    <xf numFmtId="0" fontId="36" fillId="5" borderId="0" xfId="0" applyFont="1" applyFill="1">
      <alignment vertical="center"/>
    </xf>
    <xf numFmtId="0" fontId="37" fillId="5" borderId="0" xfId="0" applyFont="1" applyFill="1">
      <alignment vertical="center"/>
    </xf>
    <xf numFmtId="0" fontId="38" fillId="5" borderId="0" xfId="14" applyFont="1" applyFill="1" applyAlignment="1">
      <alignment horizontal="left" vertical="center"/>
    </xf>
    <xf numFmtId="177" fontId="34" fillId="5" borderId="0" xfId="1" applyFont="1" applyFill="1" applyAlignment="1">
      <alignment vertical="center"/>
    </xf>
    <xf numFmtId="0" fontId="38" fillId="5" borderId="0" xfId="0" applyFont="1" applyFill="1" applyAlignment="1">
      <alignment horizontal="left" vertical="center"/>
    </xf>
    <xf numFmtId="0" fontId="34" fillId="5" borderId="0" xfId="14" applyFont="1" applyFill="1" applyAlignment="1">
      <alignment horizontal="left" vertical="center"/>
    </xf>
    <xf numFmtId="0" fontId="40" fillId="7" borderId="7" xfId="14" applyFont="1" applyFill="1" applyBorder="1" applyAlignment="1">
      <alignment horizontal="center" vertical="center" wrapText="1"/>
    </xf>
    <xf numFmtId="177" fontId="42" fillId="7" borderId="7" xfId="1" applyFont="1" applyFill="1" applyBorder="1" applyAlignment="1">
      <alignment horizontal="center" vertical="center" wrapText="1"/>
    </xf>
    <xf numFmtId="0" fontId="7" fillId="11" borderId="11" xfId="13" applyFont="1" applyFill="1" applyBorder="1">
      <alignment vertical="center"/>
    </xf>
    <xf numFmtId="0" fontId="8" fillId="11" borderId="7" xfId="14" applyFont="1" applyFill="1" applyBorder="1" applyAlignment="1">
      <alignment vertical="center" wrapText="1"/>
    </xf>
    <xf numFmtId="177" fontId="7" fillId="11" borderId="7" xfId="1" applyFont="1" applyFill="1" applyBorder="1" applyAlignment="1">
      <alignment vertical="center"/>
    </xf>
    <xf numFmtId="178" fontId="7" fillId="5" borderId="7" xfId="2" applyNumberFormat="1" applyFont="1" applyFill="1" applyBorder="1">
      <alignment vertical="center"/>
    </xf>
    <xf numFmtId="0" fontId="7" fillId="5" borderId="7" xfId="14" applyFont="1" applyFill="1" applyBorder="1">
      <alignment vertical="center"/>
    </xf>
    <xf numFmtId="178" fontId="7" fillId="6" borderId="7" xfId="2" applyNumberFormat="1" applyFont="1" applyFill="1" applyBorder="1">
      <alignment vertical="center"/>
    </xf>
    <xf numFmtId="0" fontId="7" fillId="6" borderId="7" xfId="14" applyFont="1" applyFill="1" applyBorder="1">
      <alignment vertical="center"/>
    </xf>
    <xf numFmtId="0" fontId="9" fillId="6" borderId="28" xfId="13" applyFont="1" applyFill="1" applyBorder="1" applyAlignment="1">
      <alignment horizontal="left" vertical="center"/>
    </xf>
    <xf numFmtId="0" fontId="7" fillId="6" borderId="29" xfId="13" applyFont="1" applyFill="1" applyBorder="1" applyAlignment="1">
      <alignment horizontal="left" vertical="center"/>
    </xf>
    <xf numFmtId="0" fontId="7" fillId="6" borderId="28" xfId="13" applyFont="1" applyFill="1" applyBorder="1">
      <alignment vertical="center"/>
    </xf>
    <xf numFmtId="177" fontId="7" fillId="6" borderId="28" xfId="1" applyFont="1" applyFill="1" applyBorder="1" applyAlignment="1">
      <alignment vertical="center"/>
    </xf>
    <xf numFmtId="178" fontId="7" fillId="6" borderId="28" xfId="2" applyNumberFormat="1" applyFont="1" applyFill="1" applyBorder="1">
      <alignment vertical="center"/>
    </xf>
    <xf numFmtId="178" fontId="7" fillId="5" borderId="7" xfId="2" applyNumberFormat="1" applyFont="1" applyFill="1" applyBorder="1" applyAlignment="1">
      <alignment vertical="center"/>
    </xf>
    <xf numFmtId="178" fontId="7" fillId="6" borderId="7" xfId="2" applyNumberFormat="1" applyFont="1" applyFill="1" applyBorder="1" applyAlignment="1">
      <alignment vertical="center"/>
    </xf>
    <xf numFmtId="0" fontId="9" fillId="6" borderId="23" xfId="13" applyFont="1" applyFill="1" applyBorder="1" applyAlignment="1">
      <alignment horizontal="left" vertical="center"/>
    </xf>
    <xf numFmtId="0" fontId="9" fillId="6" borderId="29" xfId="13" applyFont="1" applyFill="1" applyBorder="1">
      <alignment vertical="center"/>
    </xf>
    <xf numFmtId="0" fontId="7" fillId="6" borderId="28" xfId="14" applyFont="1" applyFill="1" applyBorder="1" applyAlignment="1">
      <alignment vertical="center" wrapText="1"/>
    </xf>
    <xf numFmtId="178" fontId="7" fillId="6" borderId="28" xfId="2" applyNumberFormat="1" applyFont="1" applyFill="1" applyBorder="1" applyAlignment="1">
      <alignment vertical="center"/>
    </xf>
    <xf numFmtId="0" fontId="7" fillId="6" borderId="28" xfId="14" applyFont="1" applyFill="1" applyBorder="1">
      <alignment vertical="center"/>
    </xf>
    <xf numFmtId="0" fontId="9" fillId="6" borderId="7" xfId="14" applyFont="1" applyFill="1" applyBorder="1" applyAlignment="1">
      <alignment horizontal="left" vertical="center"/>
    </xf>
    <xf numFmtId="0" fontId="9" fillId="6" borderId="30" xfId="14" applyFont="1" applyFill="1" applyBorder="1" applyAlignment="1">
      <alignment horizontal="left" vertical="center"/>
    </xf>
    <xf numFmtId="0" fontId="7" fillId="6" borderId="25" xfId="14" applyFont="1" applyFill="1" applyBorder="1" applyAlignment="1">
      <alignment horizontal="left" vertical="center"/>
    </xf>
    <xf numFmtId="0" fontId="7" fillId="6" borderId="25" xfId="14" applyFont="1" applyFill="1" applyBorder="1" applyAlignment="1">
      <alignment vertical="center" wrapText="1"/>
    </xf>
    <xf numFmtId="177" fontId="7" fillId="6" borderId="31" xfId="1" applyFont="1" applyFill="1" applyBorder="1" applyAlignment="1">
      <alignment vertical="center"/>
    </xf>
    <xf numFmtId="178" fontId="7" fillId="6" borderId="31" xfId="2" applyNumberFormat="1" applyFont="1" applyFill="1" applyBorder="1" applyAlignment="1">
      <alignment vertical="center"/>
    </xf>
    <xf numFmtId="178" fontId="7" fillId="6" borderId="25" xfId="2" applyNumberFormat="1" applyFont="1" applyFill="1" applyBorder="1" applyAlignment="1">
      <alignment vertical="center"/>
    </xf>
    <xf numFmtId="0" fontId="7" fillId="6" borderId="25" xfId="14" applyFont="1" applyFill="1" applyBorder="1">
      <alignment vertical="center"/>
    </xf>
    <xf numFmtId="0" fontId="7" fillId="5" borderId="0" xfId="14" applyFont="1" applyFill="1" applyAlignment="1">
      <alignment vertical="center" wrapText="1"/>
    </xf>
    <xf numFmtId="0" fontId="43" fillId="5" borderId="0" xfId="14" applyFont="1" applyFill="1" applyAlignment="1">
      <alignment horizontal="left" vertical="center"/>
    </xf>
    <xf numFmtId="0" fontId="44" fillId="5" borderId="0" xfId="14" applyFont="1" applyFill="1" applyAlignment="1">
      <alignment horizontal="left" vertical="center"/>
    </xf>
    <xf numFmtId="0" fontId="7" fillId="5" borderId="26" xfId="14" applyFont="1" applyFill="1" applyBorder="1">
      <alignment vertical="center"/>
    </xf>
    <xf numFmtId="176" fontId="7" fillId="5" borderId="0" xfId="14" applyNumberFormat="1" applyFont="1" applyFill="1">
      <alignment vertical="center"/>
    </xf>
    <xf numFmtId="0" fontId="7" fillId="6" borderId="26" xfId="14" applyFont="1" applyFill="1" applyBorder="1">
      <alignment vertical="center"/>
    </xf>
    <xf numFmtId="0" fontId="7" fillId="6" borderId="32" xfId="14" applyFont="1" applyFill="1" applyBorder="1">
      <alignment vertical="center"/>
    </xf>
    <xf numFmtId="0" fontId="7" fillId="6" borderId="13" xfId="14" applyFont="1" applyFill="1" applyBorder="1">
      <alignment vertical="center"/>
    </xf>
    <xf numFmtId="0" fontId="45" fillId="5" borderId="0" xfId="13" applyFont="1" applyFill="1">
      <alignment vertical="center"/>
    </xf>
    <xf numFmtId="0" fontId="35" fillId="5" borderId="0" xfId="13" applyFont="1" applyFill="1">
      <alignment vertical="center"/>
    </xf>
    <xf numFmtId="0" fontId="7" fillId="5" borderId="0" xfId="13" applyFont="1" applyFill="1">
      <alignment vertical="center"/>
    </xf>
    <xf numFmtId="0" fontId="9" fillId="5" borderId="0" xfId="13" applyFont="1" applyFill="1" applyAlignment="1">
      <alignment horizontal="center" vertical="center" wrapText="1"/>
    </xf>
    <xf numFmtId="0" fontId="9" fillId="5" borderId="0" xfId="13" applyFont="1" applyFill="1">
      <alignment vertical="center"/>
    </xf>
    <xf numFmtId="0" fontId="46" fillId="5" borderId="0" xfId="13" applyFont="1" applyFill="1" applyAlignment="1">
      <alignment horizontal="center" vertical="center"/>
    </xf>
    <xf numFmtId="0" fontId="46" fillId="5" borderId="0" xfId="13" applyFont="1" applyFill="1">
      <alignment vertical="center"/>
    </xf>
    <xf numFmtId="0" fontId="47" fillId="5" borderId="0" xfId="13" applyFont="1" applyFill="1" applyAlignment="1">
      <alignment horizontal="left" vertical="center"/>
    </xf>
    <xf numFmtId="0" fontId="47" fillId="5" borderId="0" xfId="0" applyFont="1" applyFill="1" applyAlignment="1">
      <alignment horizontal="left" vertical="center"/>
    </xf>
    <xf numFmtId="0" fontId="45" fillId="5" borderId="0" xfId="13" applyFont="1" applyFill="1" applyAlignment="1">
      <alignment horizontal="left" vertical="center"/>
    </xf>
    <xf numFmtId="0" fontId="40" fillId="7" borderId="7" xfId="13" applyFont="1" applyFill="1" applyBorder="1" applyAlignment="1">
      <alignment horizontal="center" vertical="center" wrapText="1"/>
    </xf>
    <xf numFmtId="0" fontId="7" fillId="5" borderId="7" xfId="13" applyFont="1" applyFill="1" applyBorder="1" applyAlignment="1">
      <alignment vertical="center" wrapText="1"/>
    </xf>
    <xf numFmtId="40" fontId="7" fillId="5" borderId="7" xfId="1" applyNumberFormat="1" applyFont="1" applyFill="1" applyBorder="1" applyAlignment="1">
      <alignment vertical="center" wrapText="1"/>
    </xf>
    <xf numFmtId="40" fontId="7" fillId="5" borderId="7" xfId="1" applyNumberFormat="1" applyFont="1" applyFill="1" applyBorder="1" applyAlignment="1">
      <alignment vertical="center"/>
    </xf>
    <xf numFmtId="0" fontId="7" fillId="6" borderId="7" xfId="13" applyFont="1" applyFill="1" applyBorder="1" applyAlignment="1">
      <alignment vertical="center" wrapText="1"/>
    </xf>
    <xf numFmtId="40" fontId="7" fillId="6" borderId="7" xfId="1" applyNumberFormat="1" applyFont="1" applyFill="1" applyBorder="1" applyAlignment="1">
      <alignment vertical="center"/>
    </xf>
    <xf numFmtId="10" fontId="7" fillId="5" borderId="7" xfId="2" applyNumberFormat="1" applyFont="1" applyFill="1" applyBorder="1">
      <alignment vertical="center"/>
    </xf>
    <xf numFmtId="0" fontId="9" fillId="6" borderId="7" xfId="13" applyFont="1" applyFill="1" applyBorder="1" applyAlignment="1">
      <alignment vertical="center" wrapText="1"/>
    </xf>
    <xf numFmtId="0" fontId="7" fillId="6" borderId="28" xfId="13" applyFont="1" applyFill="1" applyBorder="1" applyAlignment="1">
      <alignment vertical="center" wrapText="1"/>
    </xf>
    <xf numFmtId="40" fontId="7" fillId="6" borderId="28" xfId="1" applyNumberFormat="1" applyFont="1" applyFill="1" applyBorder="1" applyAlignment="1">
      <alignment vertical="center"/>
    </xf>
    <xf numFmtId="40" fontId="7" fillId="5" borderId="7" xfId="13" applyNumberFormat="1" applyFont="1" applyFill="1" applyBorder="1">
      <alignment vertical="center"/>
    </xf>
    <xf numFmtId="10" fontId="7" fillId="5" borderId="7" xfId="2" applyNumberFormat="1" applyFont="1" applyFill="1" applyBorder="1" applyAlignment="1">
      <alignment horizontal="center" vertical="center"/>
    </xf>
    <xf numFmtId="177" fontId="7" fillId="6" borderId="7" xfId="1" applyFont="1" applyFill="1" applyBorder="1" applyAlignment="1">
      <alignment horizontal="center" vertical="center"/>
    </xf>
    <xf numFmtId="0" fontId="7" fillId="6" borderId="28" xfId="13" applyFont="1" applyFill="1" applyBorder="1" applyAlignment="1">
      <alignment horizontal="left" vertical="center"/>
    </xf>
    <xf numFmtId="179" fontId="7" fillId="6" borderId="28" xfId="13" applyNumberFormat="1" applyFont="1" applyFill="1" applyBorder="1" applyAlignment="1">
      <alignment horizontal="center" vertical="center"/>
    </xf>
    <xf numFmtId="0" fontId="9" fillId="6" borderId="25" xfId="13" applyFont="1" applyFill="1" applyBorder="1" applyAlignment="1">
      <alignment horizontal="left" vertical="center"/>
    </xf>
    <xf numFmtId="0" fontId="7" fillId="6" borderId="30" xfId="13" applyFont="1" applyFill="1" applyBorder="1" applyAlignment="1">
      <alignment horizontal="left" vertical="center"/>
    </xf>
    <xf numFmtId="0" fontId="7" fillId="6" borderId="25" xfId="13" applyFont="1" applyFill="1" applyBorder="1" applyAlignment="1">
      <alignment horizontal="left" vertical="center"/>
    </xf>
    <xf numFmtId="0" fontId="7" fillId="6" borderId="25" xfId="13" applyFont="1" applyFill="1" applyBorder="1" applyAlignment="1">
      <alignment vertical="center" wrapText="1"/>
    </xf>
    <xf numFmtId="40" fontId="7" fillId="6" borderId="25" xfId="13" applyNumberFormat="1" applyFont="1" applyFill="1" applyBorder="1">
      <alignment vertical="center"/>
    </xf>
    <xf numFmtId="178" fontId="7" fillId="6" borderId="25" xfId="2" applyNumberFormat="1" applyFont="1" applyFill="1" applyBorder="1">
      <alignment vertical="center"/>
    </xf>
    <xf numFmtId="179" fontId="7" fillId="6" borderId="25" xfId="13" applyNumberFormat="1" applyFont="1" applyFill="1" applyBorder="1" applyAlignment="1">
      <alignment horizontal="center" vertical="center"/>
    </xf>
    <xf numFmtId="0" fontId="7" fillId="6" borderId="25" xfId="13" applyFont="1" applyFill="1" applyBorder="1">
      <alignment vertical="center"/>
    </xf>
    <xf numFmtId="0" fontId="46" fillId="5" borderId="0" xfId="13" applyFont="1" applyFill="1" applyAlignment="1">
      <alignment vertical="center" wrapText="1"/>
    </xf>
    <xf numFmtId="0" fontId="48" fillId="5" borderId="0" xfId="13" applyFont="1" applyFill="1" applyAlignment="1">
      <alignment horizontal="center" vertical="center"/>
    </xf>
    <xf numFmtId="40" fontId="46" fillId="5" borderId="0" xfId="13" applyNumberFormat="1" applyFont="1" applyFill="1">
      <alignment vertical="center"/>
    </xf>
    <xf numFmtId="0" fontId="46" fillId="5" borderId="0" xfId="13" applyFont="1" applyFill="1" applyAlignment="1">
      <alignment horizontal="left" vertical="center"/>
    </xf>
    <xf numFmtId="0" fontId="7" fillId="5" borderId="26" xfId="13" applyFont="1" applyFill="1" applyBorder="1">
      <alignment vertical="center"/>
    </xf>
    <xf numFmtId="0" fontId="7" fillId="6" borderId="26" xfId="13" applyFont="1" applyFill="1" applyBorder="1">
      <alignment vertical="center"/>
    </xf>
    <xf numFmtId="0" fontId="9" fillId="6" borderId="26" xfId="13" applyFont="1" applyFill="1" applyBorder="1">
      <alignment vertical="center"/>
    </xf>
    <xf numFmtId="0" fontId="7" fillId="6" borderId="32" xfId="13" applyFont="1" applyFill="1" applyBorder="1">
      <alignment vertical="center"/>
    </xf>
    <xf numFmtId="0" fontId="7" fillId="6" borderId="13" xfId="13" applyFont="1" applyFill="1" applyBorder="1">
      <alignment vertical="center"/>
    </xf>
    <xf numFmtId="0" fontId="34" fillId="5" borderId="0" xfId="11" applyFont="1" applyFill="1">
      <alignment vertical="center"/>
    </xf>
    <xf numFmtId="0" fontId="35" fillId="5" borderId="0" xfId="11" applyFont="1" applyFill="1" applyAlignment="1">
      <alignment horizontal="center" vertical="center"/>
    </xf>
    <xf numFmtId="0" fontId="35" fillId="5" borderId="0" xfId="11" applyFont="1" applyFill="1">
      <alignment vertical="center"/>
    </xf>
    <xf numFmtId="0" fontId="49" fillId="5" borderId="0" xfId="11" applyFont="1" applyFill="1">
      <alignment vertical="center"/>
    </xf>
    <xf numFmtId="0" fontId="37" fillId="5" borderId="0" xfId="0" applyFont="1" applyFill="1" applyAlignment="1">
      <alignment horizontal="left" vertical="center"/>
    </xf>
    <xf numFmtId="0" fontId="50" fillId="5" borderId="0" xfId="0" applyFont="1" applyFill="1" applyAlignment="1">
      <alignment horizontal="left" vertical="center"/>
    </xf>
    <xf numFmtId="0" fontId="35" fillId="5" borderId="0" xfId="11" applyFont="1" applyFill="1" applyAlignment="1">
      <alignment horizontal="left" vertical="center"/>
    </xf>
    <xf numFmtId="0" fontId="52" fillId="7" borderId="7" xfId="15" applyFont="1" applyFill="1" applyBorder="1" applyAlignment="1">
      <alignment horizontal="center" vertical="center" wrapText="1"/>
    </xf>
    <xf numFmtId="0" fontId="35" fillId="5" borderId="33" xfId="15" applyFont="1" applyFill="1" applyBorder="1" applyAlignment="1">
      <alignment vertical="center"/>
    </xf>
    <xf numFmtId="180" fontId="35" fillId="5" borderId="33" xfId="4" applyNumberFormat="1" applyFont="1" applyFill="1" applyBorder="1" applyAlignment="1">
      <alignment vertical="center"/>
    </xf>
    <xf numFmtId="43" fontId="35" fillId="5" borderId="24" xfId="4" applyFont="1" applyFill="1" applyBorder="1" applyAlignment="1">
      <alignment vertical="center"/>
    </xf>
    <xf numFmtId="181" fontId="35" fillId="5" borderId="33" xfId="4" applyNumberFormat="1" applyFont="1" applyFill="1" applyBorder="1" applyAlignment="1">
      <alignment vertical="center"/>
    </xf>
    <xf numFmtId="181" fontId="35" fillId="5" borderId="24" xfId="4" applyNumberFormat="1" applyFont="1" applyFill="1" applyBorder="1" applyAlignment="1">
      <alignment vertical="center"/>
    </xf>
    <xf numFmtId="0" fontId="54" fillId="5" borderId="34" xfId="0" applyFont="1" applyFill="1" applyBorder="1" applyAlignment="1">
      <alignment horizontal="left" vertical="center"/>
    </xf>
    <xf numFmtId="0" fontId="54" fillId="5" borderId="0" xfId="0" applyFont="1" applyFill="1" applyAlignment="1">
      <alignment horizontal="left" vertical="center"/>
    </xf>
    <xf numFmtId="40" fontId="35" fillId="5" borderId="33" xfId="4" applyNumberFormat="1" applyFont="1" applyFill="1" applyBorder="1" applyAlignment="1">
      <alignment vertical="center"/>
    </xf>
    <xf numFmtId="40" fontId="35" fillId="5" borderId="24" xfId="4" applyNumberFormat="1" applyFont="1" applyFill="1" applyBorder="1" applyAlignment="1">
      <alignment horizontal="right" vertical="center"/>
    </xf>
    <xf numFmtId="40" fontId="35" fillId="5" borderId="24" xfId="1" applyNumberFormat="1" applyFont="1" applyFill="1" applyBorder="1" applyAlignment="1">
      <alignment horizontal="right" vertical="center"/>
    </xf>
    <xf numFmtId="40" fontId="35" fillId="5" borderId="33" xfId="4" applyNumberFormat="1" applyFont="1" applyFill="1" applyBorder="1" applyAlignment="1">
      <alignment horizontal="right" vertical="center"/>
    </xf>
    <xf numFmtId="0" fontId="54" fillId="5" borderId="0" xfId="0" applyFont="1" applyFill="1" applyAlignment="1">
      <alignment horizontal="left" vertical="center" wrapText="1"/>
    </xf>
    <xf numFmtId="40" fontId="35" fillId="5" borderId="24" xfId="4" applyNumberFormat="1" applyFont="1" applyFill="1" applyBorder="1" applyAlignment="1">
      <alignment vertical="center"/>
    </xf>
    <xf numFmtId="0" fontId="35" fillId="5" borderId="34" xfId="0" applyFont="1" applyFill="1" applyBorder="1" applyAlignment="1">
      <alignment horizontal="left" vertical="center"/>
    </xf>
    <xf numFmtId="40" fontId="35" fillId="5" borderId="33" xfId="15" applyNumberFormat="1" applyFont="1" applyFill="1" applyBorder="1" applyAlignment="1">
      <alignment vertical="center"/>
    </xf>
    <xf numFmtId="40" fontId="35" fillId="5" borderId="24" xfId="2" applyNumberFormat="1" applyFont="1" applyFill="1" applyBorder="1" applyAlignment="1">
      <alignment vertical="center"/>
    </xf>
    <xf numFmtId="178" fontId="35" fillId="5" borderId="33" xfId="2" applyNumberFormat="1" applyFont="1" applyFill="1" applyBorder="1" applyAlignment="1">
      <alignment vertical="center"/>
    </xf>
    <xf numFmtId="178" fontId="35" fillId="5" borderId="24" xfId="2" applyNumberFormat="1" applyFont="1" applyFill="1" applyBorder="1" applyAlignment="1">
      <alignment vertical="center"/>
    </xf>
    <xf numFmtId="43" fontId="35" fillId="5" borderId="33" xfId="4" applyFont="1" applyFill="1" applyBorder="1" applyAlignment="1">
      <alignment vertical="center"/>
    </xf>
    <xf numFmtId="0" fontId="35" fillId="5" borderId="35" xfId="15" applyFont="1" applyFill="1" applyBorder="1" applyAlignment="1">
      <alignment vertical="center"/>
    </xf>
    <xf numFmtId="180" fontId="55" fillId="5" borderId="35" xfId="4" applyNumberFormat="1" applyFont="1" applyFill="1" applyBorder="1" applyAlignment="1">
      <alignment vertical="center"/>
    </xf>
    <xf numFmtId="0" fontId="55" fillId="5" borderId="36" xfId="15" applyFont="1" applyFill="1" applyBorder="1" applyAlignment="1">
      <alignment vertical="center"/>
    </xf>
    <xf numFmtId="43" fontId="55" fillId="5" borderId="35" xfId="4" applyFont="1" applyFill="1" applyBorder="1" applyAlignment="1">
      <alignment vertical="center"/>
    </xf>
    <xf numFmtId="0" fontId="35" fillId="5" borderId="0" xfId="0" applyFont="1" applyFill="1">
      <alignment vertical="center"/>
    </xf>
    <xf numFmtId="9" fontId="35" fillId="5" borderId="0" xfId="2" applyFont="1" applyFill="1" applyBorder="1" applyAlignment="1">
      <alignment vertical="center"/>
    </xf>
    <xf numFmtId="0" fontId="39" fillId="5" borderId="0" xfId="11" applyFont="1" applyFill="1">
      <alignment vertical="center"/>
    </xf>
    <xf numFmtId="0" fontId="50" fillId="5" borderId="0" xfId="11" applyFont="1" applyFill="1" applyAlignment="1">
      <alignment horizontal="right" vertical="center"/>
    </xf>
    <xf numFmtId="180" fontId="35" fillId="5" borderId="37" xfId="11" applyNumberFormat="1" applyFont="1" applyFill="1" applyBorder="1">
      <alignment vertical="center"/>
    </xf>
    <xf numFmtId="40" fontId="35" fillId="5" borderId="34" xfId="4" applyNumberFormat="1" applyFont="1" applyFill="1" applyBorder="1" applyAlignment="1">
      <alignment vertical="center"/>
    </xf>
    <xf numFmtId="40" fontId="35" fillId="5" borderId="34" xfId="1" applyNumberFormat="1" applyFont="1" applyFill="1" applyBorder="1" applyAlignment="1">
      <alignment vertical="center"/>
    </xf>
    <xf numFmtId="178" fontId="35" fillId="5" borderId="34" xfId="2" applyNumberFormat="1" applyFont="1" applyFill="1" applyBorder="1" applyAlignment="1">
      <alignment vertical="center"/>
    </xf>
    <xf numFmtId="0" fontId="35" fillId="5" borderId="19" xfId="11" applyFont="1" applyFill="1" applyBorder="1">
      <alignment vertical="center"/>
    </xf>
    <xf numFmtId="40" fontId="49" fillId="5" borderId="0" xfId="11" applyNumberFormat="1" applyFont="1" applyFill="1" applyAlignment="1">
      <alignment horizontal="right" vertical="center"/>
    </xf>
    <xf numFmtId="0" fontId="7" fillId="5" borderId="0" xfId="10" applyFont="1" applyFill="1">
      <alignment vertical="center"/>
    </xf>
    <xf numFmtId="0" fontId="7" fillId="0" borderId="0" xfId="0" applyFont="1" applyAlignment="1"/>
    <xf numFmtId="0" fontId="46" fillId="0" borderId="0" xfId="0" applyFont="1" applyAlignment="1"/>
    <xf numFmtId="0" fontId="46" fillId="5" borderId="0" xfId="10" applyFont="1" applyFill="1" applyAlignment="1">
      <alignment horizontal="center" vertical="center"/>
    </xf>
    <xf numFmtId="0" fontId="46" fillId="5" borderId="0" xfId="10" applyFont="1" applyFill="1">
      <alignment vertical="center"/>
    </xf>
    <xf numFmtId="0" fontId="56" fillId="5" borderId="0" xfId="0" applyFont="1" applyFill="1">
      <alignment vertical="center"/>
    </xf>
    <xf numFmtId="0" fontId="57" fillId="5" borderId="0" xfId="0" applyFont="1" applyFill="1" applyAlignment="1">
      <alignment horizontal="left" vertical="center"/>
    </xf>
    <xf numFmtId="0" fontId="34" fillId="5" borderId="0" xfId="10" applyFont="1" applyFill="1" applyAlignment="1">
      <alignment vertical="center" wrapText="1"/>
    </xf>
    <xf numFmtId="0" fontId="40" fillId="7" borderId="7" xfId="0" applyFont="1" applyFill="1" applyBorder="1" applyAlignment="1">
      <alignment horizontal="center" vertical="center"/>
    </xf>
    <xf numFmtId="0" fontId="40" fillId="7" borderId="7" xfId="0" applyFont="1" applyFill="1" applyBorder="1" applyAlignment="1">
      <alignment horizontal="center" vertical="center" wrapText="1"/>
    </xf>
    <xf numFmtId="0" fontId="40" fillId="12"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center"/>
    </xf>
    <xf numFmtId="0" fontId="7" fillId="0" borderId="7" xfId="0" applyFont="1" applyBorder="1" applyAlignment="1">
      <alignment horizontal="center" vertical="center"/>
    </xf>
    <xf numFmtId="14" fontId="7" fillId="0" borderId="7" xfId="0" applyNumberFormat="1" applyFont="1" applyBorder="1" applyAlignment="1">
      <alignment horizontal="center" vertical="center"/>
    </xf>
    <xf numFmtId="0" fontId="7" fillId="0" borderId="25" xfId="0" applyFont="1" applyBorder="1" applyAlignment="1">
      <alignment horizontal="center" vertical="center" wrapText="1"/>
    </xf>
    <xf numFmtId="0" fontId="7" fillId="0" borderId="0" xfId="0" applyFont="1" applyAlignment="1">
      <alignment horizontal="center" vertical="center"/>
    </xf>
    <xf numFmtId="0" fontId="35" fillId="0" borderId="0" xfId="0" applyFont="1" applyAlignment="1">
      <alignment horizontal="center" vertical="center"/>
    </xf>
    <xf numFmtId="0" fontId="59" fillId="0" borderId="0" xfId="0" applyFont="1" applyAlignment="1">
      <alignment horizontal="right" vertical="center"/>
    </xf>
    <xf numFmtId="0" fontId="59" fillId="0" borderId="0" xfId="0" applyFont="1" applyAlignment="1"/>
    <xf numFmtId="0" fontId="42" fillId="7" borderId="7" xfId="0" applyFont="1" applyFill="1" applyBorder="1" applyAlignment="1">
      <alignment horizontal="center" vertical="center"/>
    </xf>
    <xf numFmtId="10" fontId="7" fillId="0" borderId="7" xfId="2" applyNumberFormat="1" applyFont="1" applyBorder="1" applyAlignment="1">
      <alignment horizontal="center" vertical="center"/>
    </xf>
    <xf numFmtId="0" fontId="7" fillId="5" borderId="7" xfId="10" applyFont="1" applyFill="1" applyBorder="1">
      <alignment vertical="center"/>
    </xf>
    <xf numFmtId="0" fontId="7" fillId="0" borderId="7" xfId="0" applyFont="1" applyBorder="1" applyAlignment="1"/>
    <xf numFmtId="9" fontId="7" fillId="0" borderId="7" xfId="0" applyNumberFormat="1" applyFont="1" applyBorder="1" applyAlignment="1">
      <alignment horizontal="center" vertical="center"/>
    </xf>
    <xf numFmtId="0" fontId="35" fillId="5" borderId="0" xfId="5" applyFont="1" applyFill="1" applyAlignment="1">
      <alignment horizontal="center"/>
    </xf>
    <xf numFmtId="0" fontId="35" fillId="5" borderId="0" xfId="5" applyFont="1" applyFill="1"/>
    <xf numFmtId="0" fontId="49" fillId="5" borderId="0" xfId="5" applyFont="1" applyFill="1"/>
    <xf numFmtId="0" fontId="60" fillId="5" borderId="0" xfId="0" applyFont="1" applyFill="1">
      <alignment vertical="center"/>
    </xf>
    <xf numFmtId="0" fontId="35" fillId="5" borderId="0" xfId="14" applyFont="1" applyFill="1" applyAlignment="1">
      <alignment horizontal="left" vertical="center"/>
    </xf>
    <xf numFmtId="0" fontId="49" fillId="5" borderId="0" xfId="5" applyFont="1" applyFill="1" applyAlignment="1">
      <alignment horizontal="center"/>
    </xf>
    <xf numFmtId="0" fontId="62" fillId="0" borderId="0" xfId="0" applyFont="1" applyAlignment="1">
      <alignment horizontal="center" vertical="center" wrapText="1"/>
    </xf>
    <xf numFmtId="0" fontId="52" fillId="7" borderId="7" xfId="0" applyFont="1" applyFill="1" applyBorder="1" applyAlignment="1">
      <alignment horizontal="center" vertical="center" wrapText="1"/>
    </xf>
    <xf numFmtId="0" fontId="63" fillId="0" borderId="7" xfId="19" applyFont="1" applyBorder="1" applyAlignment="1">
      <alignment horizontal="center" vertical="center"/>
    </xf>
    <xf numFmtId="0" fontId="64" fillId="5" borderId="7" xfId="0" applyFont="1" applyFill="1" applyBorder="1" applyAlignment="1">
      <alignment vertical="center" wrapText="1"/>
    </xf>
    <xf numFmtId="0" fontId="35" fillId="5" borderId="7" xfId="0" applyFont="1" applyFill="1" applyBorder="1" applyAlignment="1">
      <alignment horizontal="center" vertical="center" wrapText="1"/>
    </xf>
    <xf numFmtId="0" fontId="64" fillId="5" borderId="7" xfId="0" applyFont="1" applyFill="1" applyBorder="1" applyAlignment="1">
      <alignment horizontal="center" vertical="center" wrapText="1"/>
    </xf>
    <xf numFmtId="0" fontId="65" fillId="0" borderId="0" xfId="0" applyFont="1" applyAlignment="1">
      <alignment vertical="center" wrapText="1"/>
    </xf>
    <xf numFmtId="0" fontId="65" fillId="0" borderId="0" xfId="0" applyFont="1" applyAlignment="1">
      <alignment horizontal="center" vertical="center" wrapText="1"/>
    </xf>
    <xf numFmtId="0" fontId="66" fillId="11" borderId="7" xfId="19" applyFont="1" applyFill="1" applyBorder="1" applyAlignment="1">
      <alignment horizontal="center" vertical="center"/>
    </xf>
    <xf numFmtId="0" fontId="63" fillId="11" borderId="7" xfId="19" applyFont="1" applyFill="1" applyBorder="1" applyAlignment="1">
      <alignment horizontal="center" vertical="center"/>
    </xf>
    <xf numFmtId="0" fontId="64" fillId="11" borderId="7" xfId="0" applyFont="1" applyFill="1" applyBorder="1" applyAlignment="1">
      <alignment vertical="center" wrapText="1"/>
    </xf>
    <xf numFmtId="0" fontId="35" fillId="11" borderId="7" xfId="0" applyFont="1" applyFill="1" applyBorder="1" applyAlignment="1">
      <alignment horizontal="center" vertical="center" wrapText="1"/>
    </xf>
    <xf numFmtId="0" fontId="64" fillId="11" borderId="7" xfId="0" applyFont="1" applyFill="1" applyBorder="1" applyAlignment="1">
      <alignment horizontal="center" vertical="center" wrapText="1"/>
    </xf>
    <xf numFmtId="0" fontId="67" fillId="5" borderId="0" xfId="5" applyFont="1" applyFill="1"/>
    <xf numFmtId="0" fontId="66" fillId="0" borderId="7" xfId="19" applyFont="1" applyBorder="1" applyAlignment="1">
      <alignment horizontal="center" vertical="center"/>
    </xf>
    <xf numFmtId="0" fontId="68" fillId="0" borderId="7" xfId="19" applyFont="1" applyBorder="1" applyAlignment="1">
      <alignment horizontal="center" vertical="center"/>
    </xf>
    <xf numFmtId="0" fontId="50" fillId="5" borderId="7" xfId="14" applyFont="1" applyFill="1" applyBorder="1" applyAlignment="1">
      <alignment horizontal="center" vertical="center"/>
    </xf>
    <xf numFmtId="0" fontId="35" fillId="5" borderId="7" xfId="14" applyFont="1" applyFill="1" applyBorder="1" applyAlignment="1">
      <alignment horizontal="center" vertical="center"/>
    </xf>
    <xf numFmtId="0" fontId="69" fillId="0" borderId="0" xfId="0" applyFont="1" applyAlignment="1">
      <alignment horizontal="center" vertical="center" wrapText="1"/>
    </xf>
    <xf numFmtId="0" fontId="35" fillId="5" borderId="0" xfId="14" applyFont="1" applyFill="1" applyAlignment="1">
      <alignment horizontal="center" vertical="center"/>
    </xf>
    <xf numFmtId="0" fontId="49" fillId="5" borderId="0" xfId="14" applyFont="1" applyFill="1" applyAlignment="1">
      <alignment horizontal="left" vertical="center"/>
    </xf>
    <xf numFmtId="0" fontId="63" fillId="0" borderId="0" xfId="9" applyFont="1" applyAlignment="1">
      <alignment vertical="center"/>
    </xf>
    <xf numFmtId="0" fontId="68" fillId="0" borderId="0" xfId="9" applyFont="1" applyAlignment="1">
      <alignment vertical="center"/>
    </xf>
    <xf numFmtId="0" fontId="68" fillId="0" borderId="0" xfId="9" applyFont="1" applyAlignment="1">
      <alignment horizontal="center" vertical="center"/>
    </xf>
    <xf numFmtId="0" fontId="71" fillId="0" borderId="0" xfId="9" applyFont="1" applyAlignment="1">
      <alignment horizontal="left" vertical="center"/>
    </xf>
    <xf numFmtId="0" fontId="68" fillId="0" borderId="0" xfId="9" applyFont="1" applyAlignment="1">
      <alignment horizontal="left" vertical="center"/>
    </xf>
    <xf numFmtId="0" fontId="63" fillId="0" borderId="0" xfId="9" applyFont="1" applyAlignment="1">
      <alignment horizontal="left" vertical="center" wrapText="1"/>
    </xf>
    <xf numFmtId="0" fontId="73" fillId="0" borderId="0" xfId="9" applyFont="1" applyAlignment="1">
      <alignment horizontal="left" vertical="center" wrapText="1"/>
    </xf>
    <xf numFmtId="0" fontId="74" fillId="0" borderId="0" xfId="0" applyFont="1">
      <alignment vertical="center"/>
    </xf>
    <xf numFmtId="0" fontId="75" fillId="7" borderId="7" xfId="9" applyFont="1" applyFill="1" applyBorder="1" applyAlignment="1">
      <alignment horizontal="center" vertical="center" wrapText="1"/>
    </xf>
    <xf numFmtId="0" fontId="63" fillId="0" borderId="7" xfId="9" applyFont="1" applyBorder="1" applyAlignment="1">
      <alignment horizontal="left" vertical="center" wrapText="1"/>
    </xf>
    <xf numFmtId="0" fontId="54" fillId="0" borderId="23" xfId="9" applyFont="1" applyBorder="1" applyAlignment="1">
      <alignment horizontal="center" vertical="center" wrapText="1"/>
    </xf>
    <xf numFmtId="0" fontId="63" fillId="0" borderId="23" xfId="9" applyFont="1" applyBorder="1" applyAlignment="1">
      <alignment horizontal="center" vertical="center" wrapText="1"/>
    </xf>
    <xf numFmtId="0" fontId="76" fillId="0" borderId="23" xfId="9" applyFont="1" applyBorder="1" applyAlignment="1">
      <alignment horizontal="center" vertical="center" wrapText="1"/>
    </xf>
    <xf numFmtId="0" fontId="63" fillId="0" borderId="7" xfId="9" applyFont="1" applyBorder="1" applyAlignment="1">
      <alignment horizontal="center" vertical="center" wrapText="1"/>
    </xf>
    <xf numFmtId="0" fontId="63" fillId="0" borderId="7" xfId="9" applyFont="1" applyBorder="1" applyAlignment="1">
      <alignment vertical="center"/>
    </xf>
    <xf numFmtId="0" fontId="66" fillId="0" borderId="7" xfId="9" applyFont="1" applyBorder="1" applyAlignment="1">
      <alignment horizontal="center" vertical="center" wrapText="1"/>
    </xf>
    <xf numFmtId="0" fontId="77" fillId="0" borderId="0" xfId="0" applyFont="1">
      <alignment vertical="center"/>
    </xf>
    <xf numFmtId="14" fontId="0" fillId="0" borderId="0" xfId="0" applyNumberFormat="1">
      <alignment vertical="center"/>
    </xf>
    <xf numFmtId="0" fontId="7" fillId="0" borderId="0" xfId="0" applyFont="1" applyBorder="1" applyAlignment="1">
      <alignment horizontal="left" vertical="center"/>
    </xf>
    <xf numFmtId="0" fontId="7" fillId="0" borderId="0" xfId="0" applyFont="1" applyBorder="1" applyAlignment="1">
      <alignment horizontal="center" vertical="center"/>
    </xf>
    <xf numFmtId="10" fontId="92" fillId="0" borderId="38" xfId="0" applyNumberFormat="1" applyFont="1" applyBorder="1" applyAlignment="1">
      <alignment horizontal="center" vertical="center" wrapText="1"/>
    </xf>
    <xf numFmtId="10" fontId="92" fillId="0" borderId="39" xfId="0" applyNumberFormat="1" applyFont="1" applyBorder="1" applyAlignment="1">
      <alignment horizontal="center" vertical="center" wrapText="1"/>
    </xf>
    <xf numFmtId="0" fontId="70" fillId="0" borderId="0" xfId="9" applyFont="1" applyAlignment="1">
      <alignment horizontal="center" vertical="center"/>
    </xf>
    <xf numFmtId="0" fontId="72" fillId="0" borderId="0" xfId="9" applyFont="1" applyAlignment="1">
      <alignment horizontal="left" vertical="center" wrapText="1"/>
    </xf>
    <xf numFmtId="0" fontId="63" fillId="0" borderId="0" xfId="9" applyFont="1" applyAlignment="1">
      <alignment horizontal="left" vertical="center" wrapText="1"/>
    </xf>
    <xf numFmtId="0" fontId="68" fillId="13" borderId="7" xfId="9" applyFont="1" applyFill="1" applyBorder="1" applyAlignment="1">
      <alignment horizontal="left" vertical="center" wrapText="1"/>
    </xf>
    <xf numFmtId="0" fontId="63" fillId="0" borderId="23" xfId="9" applyFont="1" applyBorder="1" applyAlignment="1">
      <alignment horizontal="center" vertical="center" wrapText="1"/>
    </xf>
    <xf numFmtId="0" fontId="63" fillId="0" borderId="25" xfId="9" applyFont="1" applyBorder="1" applyAlignment="1">
      <alignment horizontal="center" vertical="center" wrapText="1"/>
    </xf>
    <xf numFmtId="0" fontId="49" fillId="5" borderId="0" xfId="10" applyFont="1" applyFill="1" applyAlignment="1">
      <alignment horizontal="left" vertical="center" wrapText="1"/>
    </xf>
    <xf numFmtId="0" fontId="52" fillId="7" borderId="26" xfId="0" applyFont="1" applyFill="1" applyBorder="1" applyAlignment="1">
      <alignment horizontal="center" vertical="center" wrapText="1"/>
    </xf>
    <xf numFmtId="0" fontId="52" fillId="7" borderId="11" xfId="0" applyFont="1" applyFill="1" applyBorder="1" applyAlignment="1">
      <alignment horizontal="center" vertical="center" wrapText="1"/>
    </xf>
    <xf numFmtId="0" fontId="62" fillId="0" borderId="0" xfId="0" applyFont="1" applyAlignment="1">
      <alignment horizontal="center" vertical="center" wrapText="1"/>
    </xf>
    <xf numFmtId="0" fontId="52" fillId="7" borderId="23" xfId="0" applyFont="1" applyFill="1" applyBorder="1" applyAlignment="1">
      <alignment horizontal="center" vertical="center" wrapText="1"/>
    </xf>
    <xf numFmtId="0" fontId="52" fillId="7" borderId="25" xfId="0" applyFont="1" applyFill="1" applyBorder="1" applyAlignment="1">
      <alignment horizontal="center" vertical="center" wrapText="1"/>
    </xf>
    <xf numFmtId="0" fontId="61" fillId="7" borderId="23" xfId="0" applyFont="1" applyFill="1" applyBorder="1" applyAlignment="1">
      <alignment horizontal="center" vertical="center" wrapText="1"/>
    </xf>
    <xf numFmtId="0" fontId="58" fillId="5" borderId="0" xfId="10" applyFont="1" applyFill="1" applyAlignment="1">
      <alignment horizontal="left" vertical="center" wrapText="1"/>
    </xf>
    <xf numFmtId="0" fontId="59" fillId="0" borderId="0" xfId="0" applyFont="1" applyAlignment="1">
      <alignment horizontal="left" vertical="top" wrapText="1"/>
    </xf>
    <xf numFmtId="0" fontId="40" fillId="7" borderId="7" xfId="0" applyFont="1" applyFill="1" applyBorder="1" applyAlignment="1">
      <alignment horizontal="center" vertical="center"/>
    </xf>
    <xf numFmtId="0" fontId="52" fillId="7" borderId="20" xfId="15" applyFont="1" applyFill="1" applyBorder="1" applyAlignment="1">
      <alignment horizontal="center" vertical="center" wrapText="1"/>
    </xf>
    <xf numFmtId="0" fontId="52" fillId="7" borderId="21" xfId="15" applyFont="1" applyFill="1" applyBorder="1" applyAlignment="1">
      <alignment horizontal="center" vertical="center" wrapText="1"/>
    </xf>
    <xf numFmtId="0" fontId="51" fillId="5" borderId="0" xfId="11" applyFont="1" applyFill="1" applyAlignment="1">
      <alignment horizontal="left" vertical="center" wrapText="1"/>
    </xf>
    <xf numFmtId="0" fontId="49" fillId="5" borderId="0" xfId="11" applyFont="1" applyFill="1" applyAlignment="1">
      <alignment horizontal="left" vertical="center" wrapText="1"/>
    </xf>
    <xf numFmtId="0" fontId="52" fillId="7" borderId="2" xfId="15" applyFont="1" applyFill="1" applyBorder="1" applyAlignment="1">
      <alignment horizontal="center" vertical="center" wrapText="1"/>
    </xf>
    <xf numFmtId="0" fontId="52" fillId="7" borderId="2" xfId="15" applyFont="1" applyFill="1" applyBorder="1" applyAlignment="1">
      <alignment horizontal="center" vertical="center"/>
    </xf>
    <xf numFmtId="0" fontId="52" fillId="7" borderId="7" xfId="15" applyFont="1" applyFill="1" applyBorder="1" applyAlignment="1">
      <alignment horizontal="center" vertical="center" wrapText="1"/>
    </xf>
    <xf numFmtId="0" fontId="52" fillId="7" borderId="1" xfId="15" applyFont="1" applyFill="1" applyBorder="1" applyAlignment="1">
      <alignment horizontal="center" vertical="center" wrapText="1"/>
    </xf>
    <xf numFmtId="0" fontId="53" fillId="7" borderId="6" xfId="12" applyFont="1" applyFill="1" applyBorder="1" applyAlignment="1">
      <alignment horizontal="center" vertical="center"/>
    </xf>
    <xf numFmtId="0" fontId="7" fillId="5" borderId="10" xfId="13" applyFont="1" applyFill="1" applyBorder="1" applyAlignment="1">
      <alignment horizontal="center" vertical="center" wrapText="1"/>
    </xf>
    <xf numFmtId="0" fontId="7" fillId="5" borderId="12" xfId="13" applyFont="1" applyFill="1" applyBorder="1" applyAlignment="1">
      <alignment horizontal="center" vertical="center" wrapText="1"/>
    </xf>
    <xf numFmtId="0" fontId="7" fillId="5" borderId="13" xfId="13" applyFont="1" applyFill="1" applyBorder="1" applyAlignment="1">
      <alignment horizontal="center" vertical="center" wrapText="1"/>
    </xf>
    <xf numFmtId="0" fontId="40" fillId="7" borderId="7" xfId="13" applyFont="1" applyFill="1" applyBorder="1" applyAlignment="1">
      <alignment horizontal="center" vertical="center" wrapText="1"/>
    </xf>
    <xf numFmtId="0" fontId="41" fillId="7" borderId="7" xfId="13" applyFont="1" applyFill="1" applyBorder="1" applyAlignment="1">
      <alignment horizontal="center" vertical="center"/>
    </xf>
    <xf numFmtId="0" fontId="41" fillId="7" borderId="7" xfId="13" applyFont="1" applyFill="1" applyBorder="1">
      <alignment vertical="center"/>
    </xf>
    <xf numFmtId="49" fontId="39" fillId="5" borderId="0" xfId="13" applyNumberFormat="1" applyFont="1" applyFill="1" applyAlignment="1">
      <alignment horizontal="left" vertical="center" wrapText="1"/>
    </xf>
    <xf numFmtId="0" fontId="9" fillId="6" borderId="25" xfId="13" applyFont="1" applyFill="1" applyBorder="1" applyAlignment="1">
      <alignment horizontal="left" vertical="center" wrapText="1"/>
    </xf>
    <xf numFmtId="0" fontId="9" fillId="6" borderId="30" xfId="13" applyFont="1" applyFill="1" applyBorder="1" applyAlignment="1">
      <alignment horizontal="left" vertical="center" wrapText="1"/>
    </xf>
    <xf numFmtId="0" fontId="9" fillId="6" borderId="13" xfId="13" applyFont="1" applyFill="1" applyBorder="1" applyAlignment="1">
      <alignment horizontal="left" vertical="center" wrapText="1"/>
    </xf>
    <xf numFmtId="0" fontId="41" fillId="7" borderId="7" xfId="13" applyFont="1" applyFill="1" applyBorder="1" applyAlignment="1">
      <alignment vertical="center" wrapText="1"/>
    </xf>
    <xf numFmtId="0" fontId="40" fillId="7" borderId="6" xfId="14" applyFont="1" applyFill="1" applyBorder="1" applyAlignment="1">
      <alignment horizontal="center" vertical="center" wrapText="1"/>
    </xf>
    <xf numFmtId="0" fontId="41" fillId="7" borderId="6" xfId="14" applyFont="1" applyFill="1" applyBorder="1" applyAlignment="1">
      <alignment horizontal="center" vertical="center"/>
    </xf>
    <xf numFmtId="0" fontId="40" fillId="7" borderId="7" xfId="14" applyFont="1" applyFill="1" applyBorder="1" applyAlignment="1">
      <alignment horizontal="center" vertical="center" wrapText="1"/>
    </xf>
    <xf numFmtId="0" fontId="41" fillId="7" borderId="7" xfId="14" applyFont="1" applyFill="1" applyBorder="1">
      <alignment vertical="center"/>
    </xf>
    <xf numFmtId="49" fontId="39" fillId="5" borderId="0" xfId="14" applyNumberFormat="1" applyFont="1" applyFill="1" applyAlignment="1">
      <alignment horizontal="left" vertical="center" wrapText="1"/>
    </xf>
    <xf numFmtId="0" fontId="9" fillId="10" borderId="7" xfId="14" applyFont="1" applyFill="1" applyBorder="1" applyAlignment="1">
      <alignment horizontal="left" vertical="center" wrapText="1"/>
    </xf>
    <xf numFmtId="0" fontId="9" fillId="10" borderId="11" xfId="14" applyFont="1" applyFill="1" applyBorder="1" applyAlignment="1">
      <alignment horizontal="left" vertical="center" wrapText="1"/>
    </xf>
    <xf numFmtId="0" fontId="9" fillId="10" borderId="26" xfId="14" applyFont="1" applyFill="1" applyBorder="1" applyAlignment="1">
      <alignment horizontal="left" vertical="center" wrapText="1"/>
    </xf>
    <xf numFmtId="0" fontId="9" fillId="10" borderId="25" xfId="14" applyFont="1" applyFill="1" applyBorder="1" applyAlignment="1">
      <alignment horizontal="left" vertical="center" wrapText="1"/>
    </xf>
    <xf numFmtId="0" fontId="9" fillId="10" borderId="30" xfId="14" applyFont="1" applyFill="1" applyBorder="1" applyAlignment="1">
      <alignment horizontal="left" vertical="center" wrapText="1"/>
    </xf>
    <xf numFmtId="0" fontId="9" fillId="10" borderId="13" xfId="14" applyFont="1" applyFill="1" applyBorder="1" applyAlignment="1">
      <alignment horizontal="left" vertical="center" wrapText="1"/>
    </xf>
    <xf numFmtId="0" fontId="40" fillId="7" borderId="26" xfId="13" applyFont="1" applyFill="1" applyBorder="1" applyAlignment="1">
      <alignment horizontal="center" vertical="center" wrapText="1"/>
    </xf>
    <xf numFmtId="0" fontId="41" fillId="7" borderId="26" xfId="13" applyFont="1" applyFill="1" applyBorder="1" applyAlignment="1">
      <alignment horizontal="center" vertical="center"/>
    </xf>
    <xf numFmtId="0" fontId="40" fillId="7" borderId="23" xfId="14" applyFont="1" applyFill="1" applyBorder="1" applyAlignment="1">
      <alignment horizontal="center" vertical="center" wrapText="1"/>
    </xf>
    <xf numFmtId="0" fontId="41" fillId="7" borderId="25" xfId="14" applyFont="1" applyFill="1" applyBorder="1" applyAlignment="1">
      <alignment vertical="center" wrapText="1"/>
    </xf>
    <xf numFmtId="0" fontId="27" fillId="4" borderId="7" xfId="19" applyFont="1" applyFill="1" applyBorder="1" applyAlignment="1" applyProtection="1">
      <alignment horizontal="center" vertical="center" wrapText="1"/>
      <protection locked="0"/>
    </xf>
    <xf numFmtId="0" fontId="29" fillId="8" borderId="26" xfId="19" applyFont="1" applyFill="1" applyBorder="1" applyAlignment="1" applyProtection="1">
      <alignment horizontal="center" vertical="center" wrapText="1"/>
      <protection locked="0"/>
    </xf>
    <xf numFmtId="0" fontId="29" fillId="8" borderId="27" xfId="19" applyFont="1" applyFill="1" applyBorder="1" applyAlignment="1" applyProtection="1">
      <alignment horizontal="center" vertical="center" wrapText="1"/>
      <protection locked="0"/>
    </xf>
    <xf numFmtId="0" fontId="29" fillId="8" borderId="11" xfId="19" applyFont="1" applyFill="1" applyBorder="1" applyAlignment="1" applyProtection="1">
      <alignment horizontal="center" vertical="center" wrapText="1"/>
      <protection locked="0"/>
    </xf>
    <xf numFmtId="0" fontId="31" fillId="8" borderId="7" xfId="19" applyFont="1" applyFill="1" applyBorder="1" applyAlignment="1" applyProtection="1">
      <alignment horizontal="center" vertical="center" wrapText="1"/>
      <protection locked="0"/>
    </xf>
    <xf numFmtId="0" fontId="27" fillId="4" borderId="7" xfId="19" applyFont="1" applyFill="1" applyBorder="1" applyAlignment="1" applyProtection="1">
      <alignment horizontal="center" vertical="center"/>
      <protection locked="0"/>
    </xf>
    <xf numFmtId="0" fontId="29" fillId="0" borderId="23" xfId="19" applyFont="1" applyBorder="1" applyAlignment="1" applyProtection="1">
      <alignment horizontal="center" vertical="center" wrapText="1"/>
      <protection locked="0"/>
    </xf>
    <xf numFmtId="0" fontId="29" fillId="0" borderId="24" xfId="19" applyFont="1" applyBorder="1" applyAlignment="1" applyProtection="1">
      <alignment horizontal="center" vertical="center" wrapText="1"/>
      <protection locked="0"/>
    </xf>
    <xf numFmtId="0" fontId="23" fillId="5" borderId="0" xfId="11" applyFont="1" applyFill="1" applyAlignment="1">
      <alignment horizontal="left" vertical="center"/>
    </xf>
    <xf numFmtId="0" fontId="29" fillId="8" borderId="7" xfId="19" applyFont="1" applyFill="1" applyBorder="1" applyAlignment="1" applyProtection="1">
      <alignment horizontal="center" vertical="center" wrapText="1"/>
      <protection locked="0"/>
    </xf>
    <xf numFmtId="0" fontId="2" fillId="4" borderId="20" xfId="5" applyFont="1" applyFill="1" applyBorder="1" applyAlignment="1">
      <alignment horizontal="center" vertical="center" wrapText="1"/>
    </xf>
    <xf numFmtId="0" fontId="2" fillId="4" borderId="21" xfId="5" applyFont="1" applyFill="1" applyBorder="1" applyAlignment="1">
      <alignment horizontal="center" vertical="center" wrapText="1"/>
    </xf>
    <xf numFmtId="0" fontId="2" fillId="2" borderId="3" xfId="5" applyFont="1" applyFill="1" applyBorder="1" applyAlignment="1">
      <alignment horizontal="center" vertical="center" wrapText="1"/>
    </xf>
    <xf numFmtId="0" fontId="2" fillId="2" borderId="4" xfId="5" applyFont="1" applyFill="1" applyBorder="1" applyAlignment="1">
      <alignment horizontal="center" vertical="center" wrapText="1"/>
    </xf>
    <xf numFmtId="0" fontId="2" fillId="2" borderId="5" xfId="5" applyFont="1" applyFill="1" applyBorder="1" applyAlignment="1">
      <alignment horizontal="center" vertical="center" wrapText="1"/>
    </xf>
    <xf numFmtId="0" fontId="2" fillId="3" borderId="3" xfId="5" applyFont="1" applyFill="1" applyBorder="1" applyAlignment="1">
      <alignment horizontal="center" vertical="center" wrapText="1"/>
    </xf>
    <xf numFmtId="0" fontId="2" fillId="3" borderId="4" xfId="5" applyFont="1" applyFill="1" applyBorder="1" applyAlignment="1">
      <alignment horizontal="center" vertical="center" wrapText="1"/>
    </xf>
    <xf numFmtId="0" fontId="2" fillId="3" borderId="5" xfId="5" applyFont="1" applyFill="1" applyBorder="1" applyAlignment="1">
      <alignment horizontal="center" vertical="center" wrapText="1"/>
    </xf>
    <xf numFmtId="0" fontId="10" fillId="7" borderId="7" xfId="0" applyFont="1" applyFill="1" applyBorder="1" applyAlignment="1">
      <alignment horizontal="center" vertical="center" wrapText="1"/>
    </xf>
    <xf numFmtId="0" fontId="18" fillId="0" borderId="7" xfId="0" applyFont="1" applyBorder="1" applyAlignment="1">
      <alignment horizontal="justify" vertical="center" wrapText="1"/>
    </xf>
    <xf numFmtId="0" fontId="18" fillId="0" borderId="7" xfId="0" applyFont="1" applyBorder="1" applyAlignment="1">
      <alignment vertical="center" wrapText="1"/>
    </xf>
    <xf numFmtId="0" fontId="2" fillId="2" borderId="1" xfId="5" applyFont="1" applyFill="1" applyBorder="1" applyAlignment="1">
      <alignment horizontal="center" vertical="center" wrapText="1"/>
    </xf>
    <xf numFmtId="0" fontId="2" fillId="2" borderId="6" xfId="5" applyFont="1" applyFill="1" applyBorder="1" applyAlignment="1">
      <alignment horizontal="center" vertical="center" wrapText="1"/>
    </xf>
    <xf numFmtId="0" fontId="10" fillId="7" borderId="14" xfId="0" applyFont="1" applyFill="1" applyBorder="1" applyAlignment="1">
      <alignment horizontal="center" vertical="center" wrapText="1"/>
    </xf>
    <xf numFmtId="0" fontId="2" fillId="2" borderId="2" xfId="5" applyFont="1" applyFill="1" applyBorder="1" applyAlignment="1">
      <alignment horizontal="center" vertical="center" wrapText="1"/>
    </xf>
    <xf numFmtId="0" fontId="2" fillId="2" borderId="7" xfId="5" applyFont="1" applyFill="1" applyBorder="1" applyAlignment="1">
      <alignment horizontal="center" vertical="center" wrapText="1"/>
    </xf>
  </cellXfs>
  <cellStyles count="23">
    <cellStyle name="Comma" xfId="1" builtinId="3"/>
    <cellStyle name="Comma 5" xfId="3"/>
    <cellStyle name="Comma_Appendix 4 - Segmented Financials" xfId="4"/>
    <cellStyle name="Normal" xfId="0" builtinId="0"/>
    <cellStyle name="Normal 2" xfId="5"/>
    <cellStyle name="Normal 2 2" xfId="6"/>
    <cellStyle name="Normal 2 3" xfId="7"/>
    <cellStyle name="Normal 3" xfId="8"/>
    <cellStyle name="Normal 4" xfId="9"/>
    <cellStyle name="Normal_Appendix 3 - Related Party and Controlled Transaction List" xfId="10"/>
    <cellStyle name="Normal_Appendix 4 - Segmented Financials" xfId="11"/>
    <cellStyle name="Normal_Appendix 6 - Segmented Breakdown of SG&amp;A Expenses" xfId="12"/>
    <cellStyle name="Normal_Appendix 7 - Supplier List" xfId="13"/>
    <cellStyle name="Normal_Appendix 8 - Client List" xfId="14"/>
    <cellStyle name="Normal_FinData" xfId="15"/>
    <cellStyle name="Percent" xfId="2" builtinId="5"/>
    <cellStyle name="Percent 2" xfId="16"/>
    <cellStyle name="Percent 3" xfId="17"/>
    <cellStyle name="千位分隔 2" xfId="21"/>
    <cellStyle name="千位分隔 3" xfId="22"/>
    <cellStyle name="常规 2" xfId="18"/>
    <cellStyle name="常规 3" xfId="19"/>
    <cellStyle name="常规 4" xfId="20"/>
  </cellStyles>
  <dxfs count="0"/>
  <tableStyles count="0" defaultTableStyle="TableStyleMedium9" defaultPivotStyle="PivotStyleLight16"/>
  <colors>
    <mruColors>
      <color rgb="FF00A7E1"/>
      <color rgb="FF50B848"/>
      <color rgb="FFCCFFFF"/>
      <color rgb="FF7F7F7F"/>
      <color rgb="FF046A38"/>
      <color rgb="FF86BC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50" Type="http://schemas.openxmlformats.org/officeDocument/2006/relationships/externalLink" Target="externalLinks/externalLink27.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53" Type="http://schemas.openxmlformats.org/officeDocument/2006/relationships/externalLink" Target="externalLinks/externalLink30.xml"/><Relationship Id="rId58" Type="http://schemas.openxmlformats.org/officeDocument/2006/relationships/sheetMetadata" Target="metadata.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2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externalLink" Target="externalLinks/externalLink23.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8</xdr:row>
      <xdr:rowOff>0</xdr:rowOff>
    </xdr:from>
    <xdr:to>
      <xdr:col>2</xdr:col>
      <xdr:colOff>723901</xdr:colOff>
      <xdr:row>11</xdr:row>
      <xdr:rowOff>203200</xdr:rowOff>
    </xdr:to>
    <xdr:pic>
      <xdr:nvPicPr>
        <xdr:cNvPr id="2" name="图片 7"/>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57201" y="2025650"/>
          <a:ext cx="3219450" cy="13462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657225</xdr:colOff>
      <xdr:row>25</xdr:row>
      <xdr:rowOff>0</xdr:rowOff>
    </xdr:from>
    <xdr:to>
      <xdr:col>0</xdr:col>
      <xdr:colOff>657225</xdr:colOff>
      <xdr:row>25</xdr:row>
      <xdr:rowOff>0</xdr:rowOff>
    </xdr:to>
    <xdr:sp macro="" textlink="">
      <xdr:nvSpPr>
        <xdr:cNvPr id="2167" name="Line 1"/>
        <xdr:cNvSpPr>
          <a:spLocks noChangeShapeType="1"/>
        </xdr:cNvSpPr>
      </xdr:nvSpPr>
      <xdr:spPr>
        <a:xfrm>
          <a:off x="657225" y="55530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shgsrv001\data_shanghai\Audit\Client99\Wuerth\Hgb%20and%20Ias\e1999hgb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CQQ4MW7G\&#25105;&#25509;&#25910;&#21040;&#30340;&#25991;&#20214;\Stocktaking\Jan-08\cell\&#21103;&#26412;2%202%2008%20NLOKE_CELL_OH_QTY_W_LOCATO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shafsbc\Department\Documents%20and%20Settings\shirley.zhang\Local%20Settings\Temp\Cost%20and%20exp%20breakdown-2005%20xls.zip%20&#30340;&#20020;&#26102;&#30446;&#24405;%201\Final\Final%20working%20paper-Hanglas\U%20expense-clear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G&amp;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C/SSC%20Operation/11%20APV%20New%20Zealand/March%202009/account%20reconciliation/2416/bank%20reconciliation/bank%20reconci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Q:\SSC\SSC%20Operation\05%20APV%20Manufactory\2012.02\RTR\monthly%20closing\2012\2012.01\HFM\SPX%20Journal%20Adjustments.Jan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ffu/AppData/Local/Deloitte.DA4/Docs/Temp/5000029148/1680902662200000084/24100.01%20Accounts%20Payabl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shafsr03\AUDIT29\My%20Documents\Astra\Astra%2003\Final\LZ\031231.AZ%20Final\My%20Documents\Jobs\2001\BP%20Panyu\MB739502\MB7395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RFS4002\TAX\LOCALOFF\CLACTNG\WORKING\RAUTE\BREC9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Documents%20and%20Settings\fsu01\Local%20Settings\Temporary%20Internet%20Files\Content.Outlook\UN3ELM24\Mthly%20BPR\FT%20APAC%20MTD%20Analytic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AABS1532\aws\My%20Documents\WORK\Hanshin\FY02\Adj%20shee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Users\pzhang10\AppData\Local\Microsoft\Windows\Temporary%20Internet%20Files\Content.Outlook\M0T5MBV8\Monthly%20Close%20Checklist_SPXFLOW_Full%20Entiti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ZQN90B0I\A123(China)%20Payroll%202011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Documents%20and%20Settings\pcorreia\Local%20Settings\Temporary%20Internet%20Files\OLK30\MS-Inventory%20Valuation%20Report%203_13_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tocktaking\Jan-08\cell\&#21103;&#26412;2%202%2008%20NLOKE_CELL_OH_QTY_W_LOCA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SSC\SSC%20Operation\05%20APV%20Manufactory\RTR%20related\reporting%20package\2011\2011.04\BS%20recon\BS%20recon%20Apr11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Users\fsu01\Desktop\TL\Check%20tools\Entity_HFM_Retreive%20(APV_Shanghai)%20201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040408.sumiko%20cd.spread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Cost%20Report\Mar-2011\Inventory%20value%20report_Ma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SSC\SSC%20Operation\06%20APV%20SH%20Commercial\Reporting%20Package\0908\BS%20Recon\2185_BS%20Reconciliation_09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10%20AP"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mikshen/Desktop/SPX%20Final/SPX%20Flow%20Final%20PBC.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erikzhang/AppData/Local/Temp/Deloitte.DA3/Docs/45876/2114257856400000001/23300.02%20Other%20Receivable%202015.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40-1%20AP-&#26242;&#20272;&#26126;&#3245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pzhang10/Desktop/SPX%20Flow%20Final%20PB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lledeng/Desktop/Valmont/2018/2018wkp/27100%20Related-Party%20Transactions%20and%20Balances%202018(26-03-2019%202.49.54%20P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joyao/Desktop/SPX%20CN%20confirmation/For%20pivot.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SHAFSBC02\Department\Documents%20and%20Settings\ONG%20SENG%20KIAT\Desktop\Documents%20and%20Settings\khoowm\Local%20Settings\Temporary%20Internet%20Files\Content.IE5\ODYBCTIB\CS%20FS%200405%20-%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NSHAFSBC02\Department\&#26472;&#26376;&#33805;\&#36134;&#40836;\&#21103;&#26412;2004&#24448;&#264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OEDL-CN\R&amp;P%20Document\CPAs%20Document\Audit%20template\working%20paper\CPA\Z-&#32508;&#21512;&#31867;&#24037;&#20316;&#24213;&#31295;\Z01\Foreign%20invested\PRC%20repor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nifss\vol1\Sales\2007sales\Mar\VHSO\Finance\REPORT\2004%20report\income%20statement-VHSO-Oct-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Data"/>
      <sheetName val="031 Comp. list"/>
      <sheetName val="033 Recon. R&amp;L"/>
      <sheetName val="034 Recon. E&amp;I"/>
      <sheetName val="036 Spec. items"/>
      <sheetName val="038 Accruals"/>
      <sheetName val="040 A Bilanz"/>
      <sheetName val="040 B P&amp;L"/>
      <sheetName val="043 Adj. Receiv."/>
      <sheetName val="044 Adj. Inv."/>
      <sheetName val="046 Fixed Ass. mov."/>
      <sheetName val="047 Capital m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row r="1">
          <cell r="A1" t="str">
            <v>100027-002</v>
          </cell>
          <cell r="B1">
            <v>68351.8</v>
          </cell>
        </row>
        <row r="2">
          <cell r="A2" t="str">
            <v>100028-002</v>
          </cell>
          <cell r="B2">
            <v>314351</v>
          </cell>
        </row>
        <row r="3">
          <cell r="A3" t="str">
            <v>100028-003</v>
          </cell>
          <cell r="B3">
            <v>6590.35</v>
          </cell>
        </row>
        <row r="4">
          <cell r="A4" t="str">
            <v>100151-001</v>
          </cell>
          <cell r="B4">
            <v>11172.5</v>
          </cell>
        </row>
        <row r="5">
          <cell r="A5" t="str">
            <v>100152-001</v>
          </cell>
          <cell r="B5">
            <v>6431.7</v>
          </cell>
        </row>
        <row r="6">
          <cell r="A6" t="str">
            <v>100171-001</v>
          </cell>
          <cell r="B6">
            <v>22243</v>
          </cell>
        </row>
        <row r="7">
          <cell r="A7" t="str">
            <v>100172-001</v>
          </cell>
          <cell r="B7">
            <v>149256.57</v>
          </cell>
        </row>
        <row r="8">
          <cell r="A8" t="str">
            <v>100192-001</v>
          </cell>
          <cell r="B8">
            <v>21421.25</v>
          </cell>
        </row>
        <row r="9">
          <cell r="A9" t="str">
            <v>100204-001</v>
          </cell>
          <cell r="B9">
            <v>50485</v>
          </cell>
        </row>
        <row r="10">
          <cell r="A10" t="str">
            <v>200002-001</v>
          </cell>
          <cell r="B10">
            <v>827264</v>
          </cell>
        </row>
        <row r="11">
          <cell r="A11" t="str">
            <v>200004-001</v>
          </cell>
          <cell r="B11">
            <v>550</v>
          </cell>
        </row>
        <row r="12">
          <cell r="A12" t="str">
            <v>200006-001</v>
          </cell>
          <cell r="B12">
            <v>886811</v>
          </cell>
        </row>
        <row r="13">
          <cell r="A13" t="str">
            <v>200007-001</v>
          </cell>
          <cell r="B13">
            <v>1111135</v>
          </cell>
        </row>
        <row r="14">
          <cell r="A14" t="str">
            <v>200009-001</v>
          </cell>
          <cell r="B14">
            <v>404077</v>
          </cell>
        </row>
        <row r="15">
          <cell r="A15" t="str">
            <v>200010-001</v>
          </cell>
          <cell r="B15">
            <v>2006286</v>
          </cell>
        </row>
        <row r="16">
          <cell r="A16" t="str">
            <v>200012-001</v>
          </cell>
          <cell r="B16">
            <v>1187268</v>
          </cell>
        </row>
        <row r="17">
          <cell r="A17" t="str">
            <v>200012-005</v>
          </cell>
          <cell r="B17">
            <v>146100</v>
          </cell>
        </row>
        <row r="18">
          <cell r="A18" t="str">
            <v>200012-006</v>
          </cell>
          <cell r="B18">
            <v>146900</v>
          </cell>
        </row>
        <row r="19">
          <cell r="A19" t="str">
            <v>200013-001</v>
          </cell>
          <cell r="B19">
            <v>6860</v>
          </cell>
        </row>
        <row r="20">
          <cell r="A20" t="str">
            <v>200013-003</v>
          </cell>
          <cell r="B20">
            <v>45712</v>
          </cell>
        </row>
        <row r="21">
          <cell r="A21" t="str">
            <v>200013-004</v>
          </cell>
          <cell r="B21">
            <v>14320</v>
          </cell>
        </row>
        <row r="22">
          <cell r="A22" t="str">
            <v>200013-005</v>
          </cell>
          <cell r="B22">
            <v>10340</v>
          </cell>
        </row>
        <row r="23">
          <cell r="A23" t="str">
            <v>200016-001</v>
          </cell>
          <cell r="B23">
            <v>86526.186300000001</v>
          </cell>
        </row>
        <row r="24">
          <cell r="A24" t="str">
            <v>200016-002</v>
          </cell>
          <cell r="B24">
            <v>15833.964</v>
          </cell>
        </row>
        <row r="25">
          <cell r="A25" t="str">
            <v>200017-001</v>
          </cell>
          <cell r="B25">
            <v>60690.32</v>
          </cell>
        </row>
        <row r="26">
          <cell r="A26" t="str">
            <v>200017-002</v>
          </cell>
          <cell r="B26">
            <v>18450.86</v>
          </cell>
        </row>
        <row r="27">
          <cell r="A27" t="str">
            <v>200018-001</v>
          </cell>
          <cell r="B27">
            <v>59769.012000000002</v>
          </cell>
        </row>
        <row r="28">
          <cell r="A28" t="str">
            <v>200019-001</v>
          </cell>
          <cell r="B28">
            <v>24404</v>
          </cell>
        </row>
        <row r="29">
          <cell r="A29" t="str">
            <v>200019-002</v>
          </cell>
          <cell r="B29">
            <v>23776</v>
          </cell>
        </row>
        <row r="30">
          <cell r="A30" t="str">
            <v>200019-003</v>
          </cell>
          <cell r="B30">
            <v>17130</v>
          </cell>
        </row>
        <row r="31">
          <cell r="A31" t="str">
            <v>200019-004</v>
          </cell>
          <cell r="B31">
            <v>14532</v>
          </cell>
        </row>
        <row r="32">
          <cell r="A32" t="str">
            <v>200025-002</v>
          </cell>
          <cell r="B32">
            <v>4.0149999999999997</v>
          </cell>
        </row>
        <row r="33">
          <cell r="A33" t="str">
            <v>200028-001</v>
          </cell>
          <cell r="B33">
            <v>877348</v>
          </cell>
        </row>
        <row r="34">
          <cell r="A34" t="str">
            <v>200058-001</v>
          </cell>
          <cell r="B34">
            <v>43652</v>
          </cell>
        </row>
        <row r="35">
          <cell r="A35" t="str">
            <v>200059-001</v>
          </cell>
          <cell r="B35">
            <v>68241</v>
          </cell>
        </row>
        <row r="36">
          <cell r="A36" t="str">
            <v>200060-001</v>
          </cell>
          <cell r="B36">
            <v>43579</v>
          </cell>
        </row>
        <row r="37">
          <cell r="A37" t="str">
            <v>200061-001</v>
          </cell>
          <cell r="B37">
            <v>68384</v>
          </cell>
        </row>
        <row r="38">
          <cell r="A38" t="str">
            <v>200062-001</v>
          </cell>
          <cell r="B38">
            <v>119342</v>
          </cell>
        </row>
        <row r="39">
          <cell r="A39" t="str">
            <v>200065-001</v>
          </cell>
          <cell r="B39">
            <v>184034</v>
          </cell>
        </row>
        <row r="40">
          <cell r="A40" t="str">
            <v>200067-001</v>
          </cell>
          <cell r="B40">
            <v>53623</v>
          </cell>
        </row>
        <row r="41">
          <cell r="A41" t="str">
            <v>200068-001</v>
          </cell>
          <cell r="B41">
            <v>17256</v>
          </cell>
        </row>
        <row r="42">
          <cell r="A42" t="str">
            <v>200068-002</v>
          </cell>
          <cell r="B42">
            <v>26473</v>
          </cell>
        </row>
        <row r="43">
          <cell r="A43" t="str">
            <v>200070-001</v>
          </cell>
          <cell r="B43">
            <v>23737</v>
          </cell>
        </row>
        <row r="44">
          <cell r="A44" t="str">
            <v>200070-002</v>
          </cell>
          <cell r="B44">
            <v>30231</v>
          </cell>
        </row>
        <row r="45">
          <cell r="A45" t="str">
            <v>200071-001</v>
          </cell>
          <cell r="B45">
            <v>27020</v>
          </cell>
        </row>
        <row r="46">
          <cell r="A46" t="str">
            <v>200072-001</v>
          </cell>
          <cell r="B46">
            <v>21500</v>
          </cell>
        </row>
        <row r="47">
          <cell r="A47" t="str">
            <v>200080-001</v>
          </cell>
          <cell r="B47">
            <v>340500</v>
          </cell>
        </row>
        <row r="48">
          <cell r="A48" t="str">
            <v>200099-001</v>
          </cell>
          <cell r="B48">
            <v>79499</v>
          </cell>
        </row>
        <row r="49">
          <cell r="A49" t="str">
            <v>200100-001</v>
          </cell>
          <cell r="B49">
            <v>56000</v>
          </cell>
        </row>
        <row r="50">
          <cell r="A50" t="str">
            <v>200101-001</v>
          </cell>
          <cell r="B50">
            <v>9150</v>
          </cell>
        </row>
        <row r="51">
          <cell r="A51" t="str">
            <v>200121-001</v>
          </cell>
          <cell r="B51">
            <v>74353</v>
          </cell>
        </row>
        <row r="52">
          <cell r="A52" t="str">
            <v>200122-001</v>
          </cell>
          <cell r="B52">
            <v>6375</v>
          </cell>
        </row>
        <row r="53">
          <cell r="A53" t="str">
            <v>200124-001</v>
          </cell>
          <cell r="B53">
            <v>2730</v>
          </cell>
        </row>
        <row r="54">
          <cell r="A54" t="str">
            <v>200125-001</v>
          </cell>
          <cell r="B54">
            <v>3930</v>
          </cell>
        </row>
        <row r="55">
          <cell r="A55" t="str">
            <v>200129-001</v>
          </cell>
          <cell r="B55">
            <v>2580</v>
          </cell>
        </row>
        <row r="56">
          <cell r="A56" t="str">
            <v>200131-001</v>
          </cell>
          <cell r="B56">
            <v>150182</v>
          </cell>
        </row>
        <row r="57">
          <cell r="A57" t="str">
            <v>300006-001</v>
          </cell>
          <cell r="B57">
            <v>557157</v>
          </cell>
        </row>
        <row r="58">
          <cell r="A58" t="str">
            <v>300008-001</v>
          </cell>
          <cell r="B58">
            <v>294292</v>
          </cell>
        </row>
        <row r="59">
          <cell r="A59" t="str">
            <v>300044-001</v>
          </cell>
          <cell r="B59">
            <v>86560</v>
          </cell>
        </row>
        <row r="60">
          <cell r="A60" t="str">
            <v>300044-002</v>
          </cell>
          <cell r="B60">
            <v>84997</v>
          </cell>
        </row>
        <row r="61">
          <cell r="A61" t="str">
            <v>300046-001</v>
          </cell>
          <cell r="B61">
            <v>26202</v>
          </cell>
        </row>
        <row r="62">
          <cell r="A62" t="str">
            <v>300046-002</v>
          </cell>
          <cell r="B62">
            <v>9030</v>
          </cell>
        </row>
        <row r="63">
          <cell r="A63" t="str">
            <v>300047-001</v>
          </cell>
          <cell r="B63">
            <v>33482</v>
          </cell>
        </row>
        <row r="64">
          <cell r="A64" t="str">
            <v>300047-002</v>
          </cell>
          <cell r="B64">
            <v>9125</v>
          </cell>
        </row>
        <row r="65">
          <cell r="A65" t="str">
            <v>300048-001</v>
          </cell>
          <cell r="B65">
            <v>4250</v>
          </cell>
        </row>
        <row r="66">
          <cell r="A66" t="str">
            <v>300048-002</v>
          </cell>
          <cell r="B66">
            <v>485</v>
          </cell>
        </row>
        <row r="67">
          <cell r="A67" t="str">
            <v>300048-003</v>
          </cell>
          <cell r="B67">
            <v>3130</v>
          </cell>
        </row>
        <row r="68">
          <cell r="A68" t="str">
            <v>300040-001</v>
          </cell>
          <cell r="B68">
            <v>8846</v>
          </cell>
        </row>
        <row r="69">
          <cell r="A69" t="str">
            <v>300045-001</v>
          </cell>
          <cell r="B69">
            <v>1094</v>
          </cell>
        </row>
        <row r="70">
          <cell r="A70" t="str">
            <v>300045-002</v>
          </cell>
          <cell r="B70">
            <v>1047</v>
          </cell>
        </row>
        <row r="71">
          <cell r="A71" t="str">
            <v>300045-004</v>
          </cell>
          <cell r="B71">
            <v>0</v>
          </cell>
        </row>
        <row r="72">
          <cell r="A72" t="str">
            <v>300050-001</v>
          </cell>
          <cell r="B72">
            <v>2534</v>
          </cell>
        </row>
        <row r="73">
          <cell r="A73" t="str">
            <v>300055-001</v>
          </cell>
          <cell r="B73">
            <v>0</v>
          </cell>
        </row>
        <row r="74">
          <cell r="A74" t="str">
            <v>300055-003</v>
          </cell>
          <cell r="B74">
            <v>720</v>
          </cell>
        </row>
        <row r="75">
          <cell r="A75" t="str">
            <v>300071-001</v>
          </cell>
          <cell r="B75">
            <v>3113</v>
          </cell>
        </row>
        <row r="76">
          <cell r="A76" t="str">
            <v>300075-001</v>
          </cell>
          <cell r="B76">
            <v>2586</v>
          </cell>
        </row>
        <row r="77">
          <cell r="A77" t="str">
            <v>300075-003</v>
          </cell>
          <cell r="B77">
            <v>936</v>
          </cell>
        </row>
        <row r="78">
          <cell r="A78" t="str">
            <v>300001-001</v>
          </cell>
          <cell r="B78">
            <v>0</v>
          </cell>
        </row>
        <row r="79">
          <cell r="A79" t="str">
            <v>300063-001</v>
          </cell>
          <cell r="B79">
            <v>21734</v>
          </cell>
        </row>
        <row r="80">
          <cell r="A80" t="str">
            <v>300001-002</v>
          </cell>
          <cell r="B80">
            <v>0</v>
          </cell>
        </row>
        <row r="81">
          <cell r="A81" t="str">
            <v>300063-002</v>
          </cell>
          <cell r="B81">
            <v>12682</v>
          </cell>
        </row>
        <row r="82">
          <cell r="A82" t="str">
            <v>200077-001</v>
          </cell>
          <cell r="B82">
            <v>93</v>
          </cell>
        </row>
        <row r="83">
          <cell r="A83" t="str">
            <v>200079-001</v>
          </cell>
          <cell r="B83">
            <v>7081</v>
          </cell>
        </row>
        <row r="84">
          <cell r="A84" t="str">
            <v>200079-002</v>
          </cell>
          <cell r="B84">
            <v>392</v>
          </cell>
        </row>
        <row r="85">
          <cell r="A85" t="str">
            <v>200106-002</v>
          </cell>
          <cell r="B85">
            <v>2777</v>
          </cell>
        </row>
        <row r="86">
          <cell r="A86" t="str">
            <v>200107-001</v>
          </cell>
          <cell r="B86">
            <v>12264</v>
          </cell>
        </row>
        <row r="87">
          <cell r="A87" t="str">
            <v>200107-002</v>
          </cell>
          <cell r="B87">
            <v>21399</v>
          </cell>
        </row>
        <row r="88">
          <cell r="A88" t="str">
            <v>200116-001</v>
          </cell>
          <cell r="B88">
            <v>403</v>
          </cell>
        </row>
        <row r="89">
          <cell r="A89" t="str">
            <v>200118-001</v>
          </cell>
          <cell r="B89">
            <v>4526</v>
          </cell>
        </row>
        <row r="90">
          <cell r="A90" t="str">
            <v>300040-002</v>
          </cell>
          <cell r="B90">
            <v>18</v>
          </cell>
        </row>
        <row r="91">
          <cell r="A91" t="str">
            <v>300043-001</v>
          </cell>
          <cell r="B91">
            <v>5908</v>
          </cell>
        </row>
        <row r="92">
          <cell r="A92" t="str">
            <v>300043-002</v>
          </cell>
          <cell r="B92">
            <v>2149</v>
          </cell>
        </row>
        <row r="93">
          <cell r="A93" t="str">
            <v>300061-001</v>
          </cell>
          <cell r="B93">
            <v>11753</v>
          </cell>
        </row>
        <row r="94">
          <cell r="A94" t="str">
            <v>300061-002</v>
          </cell>
          <cell r="B94">
            <v>22913</v>
          </cell>
        </row>
        <row r="95">
          <cell r="A95" t="str">
            <v>300074-001</v>
          </cell>
          <cell r="B95">
            <v>4806</v>
          </cell>
        </row>
      </sheetData>
      <sheetData sheetId="2" refreshError="1"/>
      <sheetData sheetId="3" refreshError="1">
        <row r="1">
          <cell r="A1" t="str">
            <v>Item</v>
          </cell>
          <cell r="B1" t="str">
            <v>Cost Type</v>
          </cell>
          <cell r="C1" t="str">
            <v>Use Default Controls</v>
          </cell>
          <cell r="D1" t="str">
            <v>Inventory Asset</v>
          </cell>
          <cell r="E1" t="str">
            <v>Based on Rollup</v>
          </cell>
          <cell r="F1" t="str">
            <v>Lot Size</v>
          </cell>
          <cell r="G1" t="str">
            <v>MFG Shrinkage</v>
          </cell>
          <cell r="H1" t="str">
            <v>Unit Cost</v>
          </cell>
          <cell r="I1" t="str">
            <v>Material</v>
          </cell>
          <cell r="J1" t="str">
            <v>Material Overhead</v>
          </cell>
          <cell r="K1" t="str">
            <v>Resource</v>
          </cell>
          <cell r="L1" t="str">
            <v>Outside Processing</v>
          </cell>
          <cell r="M1" t="str">
            <v>Overhead</v>
          </cell>
          <cell r="N1" t="str">
            <v>COGS Account</v>
          </cell>
          <cell r="O1" t="str">
            <v>Sales Account</v>
          </cell>
          <cell r="P1" t="str">
            <v>Make / Buy</v>
          </cell>
        </row>
        <row r="2">
          <cell r="A2" t="str">
            <v>000000-000</v>
          </cell>
          <cell r="B2" t="str">
            <v>Frozen</v>
          </cell>
          <cell r="D2" t="str">
            <v>*</v>
          </cell>
          <cell r="E2" t="str">
            <v>*</v>
          </cell>
          <cell r="F2">
            <v>1</v>
          </cell>
          <cell r="G2">
            <v>0</v>
          </cell>
          <cell r="H2">
            <v>0</v>
          </cell>
          <cell r="N2" t="str">
            <v>35.00.000.5102.000000.0000.0000</v>
          </cell>
          <cell r="O2" t="str">
            <v>35.00.000.4110.000000.0000.0000</v>
          </cell>
          <cell r="P2" t="str">
            <v>Make</v>
          </cell>
        </row>
        <row r="3">
          <cell r="A3" t="str">
            <v>100016-001</v>
          </cell>
          <cell r="B3" t="str">
            <v>Frozen</v>
          </cell>
          <cell r="D3" t="str">
            <v>*</v>
          </cell>
          <cell r="F3">
            <v>1</v>
          </cell>
          <cell r="G3">
            <v>0</v>
          </cell>
          <cell r="H3">
            <v>0</v>
          </cell>
          <cell r="N3" t="str">
            <v>35.00.000.5101.000000.0000.0000</v>
          </cell>
          <cell r="O3" t="str">
            <v>35.00.000.4010.000000.0000.0000</v>
          </cell>
          <cell r="P3" t="str">
            <v>Buy</v>
          </cell>
        </row>
        <row r="4">
          <cell r="A4" t="str">
            <v>100026-001</v>
          </cell>
          <cell r="B4" t="str">
            <v>Frozen</v>
          </cell>
          <cell r="D4" t="str">
            <v>*</v>
          </cell>
          <cell r="F4">
            <v>1</v>
          </cell>
          <cell r="G4">
            <v>0</v>
          </cell>
          <cell r="H4">
            <v>0</v>
          </cell>
          <cell r="N4" t="str">
            <v>35.00.000.5101.000000.0000.0000</v>
          </cell>
          <cell r="O4" t="str">
            <v>35.00.000.4010.000000.0000.0000</v>
          </cell>
          <cell r="P4" t="str">
            <v>Buy</v>
          </cell>
        </row>
        <row r="5">
          <cell r="A5" t="str">
            <v>100027-002</v>
          </cell>
          <cell r="B5" t="str">
            <v>Frozen</v>
          </cell>
          <cell r="D5" t="str">
            <v>*</v>
          </cell>
          <cell r="F5">
            <v>1</v>
          </cell>
          <cell r="G5">
            <v>0</v>
          </cell>
          <cell r="H5">
            <v>5.3447500000000003</v>
          </cell>
          <cell r="I5">
            <v>5.3447500000000003</v>
          </cell>
          <cell r="N5" t="str">
            <v>35.00.000.5101.000000.0000.0000</v>
          </cell>
          <cell r="O5" t="str">
            <v>35.00.000.4010.000000.0000.0000</v>
          </cell>
          <cell r="P5" t="str">
            <v>Buy</v>
          </cell>
        </row>
        <row r="6">
          <cell r="A6" t="str">
            <v>100028-002</v>
          </cell>
          <cell r="B6" t="str">
            <v>Frozen</v>
          </cell>
          <cell r="D6" t="str">
            <v>*</v>
          </cell>
          <cell r="E6" t="str">
            <v>*</v>
          </cell>
          <cell r="F6">
            <v>1</v>
          </cell>
          <cell r="G6">
            <v>0</v>
          </cell>
          <cell r="H6">
            <v>3.7389492</v>
          </cell>
          <cell r="I6">
            <v>3.7389492</v>
          </cell>
          <cell r="N6" t="str">
            <v>35.00.000.5101.000000.0000.0000</v>
          </cell>
          <cell r="O6" t="str">
            <v>35.00.000.4010.000000.0000.0000</v>
          </cell>
          <cell r="P6" t="str">
            <v>Buy</v>
          </cell>
        </row>
        <row r="7">
          <cell r="A7" t="str">
            <v>100028-003</v>
          </cell>
          <cell r="B7" t="str">
            <v>Frozen</v>
          </cell>
          <cell r="D7" t="str">
            <v>*</v>
          </cell>
          <cell r="E7" t="str">
            <v>*</v>
          </cell>
          <cell r="F7">
            <v>1</v>
          </cell>
          <cell r="G7">
            <v>0</v>
          </cell>
          <cell r="H7">
            <v>3.6814779999999998</v>
          </cell>
          <cell r="I7">
            <v>3.6814779999999998</v>
          </cell>
          <cell r="N7" t="str">
            <v>35.00.000.5101.000000.0000.0000</v>
          </cell>
          <cell r="O7" t="str">
            <v>35.00.000.4010.000000.0000.0000</v>
          </cell>
          <cell r="P7" t="str">
            <v>Buy</v>
          </cell>
        </row>
        <row r="8">
          <cell r="A8" t="str">
            <v>100049-001</v>
          </cell>
          <cell r="B8" t="str">
            <v>Frozen</v>
          </cell>
          <cell r="D8" t="str">
            <v>*</v>
          </cell>
          <cell r="E8" t="str">
            <v>*</v>
          </cell>
          <cell r="F8">
            <v>1</v>
          </cell>
          <cell r="G8">
            <v>0</v>
          </cell>
          <cell r="H8">
            <v>0</v>
          </cell>
          <cell r="N8" t="str">
            <v>35.00.000.5101.000000.0000.0000</v>
          </cell>
          <cell r="O8" t="str">
            <v>35.00.000.4010.000000.0000.0000</v>
          </cell>
          <cell r="P8" t="str">
            <v>Make</v>
          </cell>
        </row>
        <row r="9">
          <cell r="A9" t="str">
            <v>100059-001</v>
          </cell>
          <cell r="B9" t="str">
            <v>Frozen</v>
          </cell>
          <cell r="D9" t="str">
            <v>*</v>
          </cell>
          <cell r="F9">
            <v>1</v>
          </cell>
          <cell r="G9">
            <v>0</v>
          </cell>
          <cell r="H9">
            <v>0</v>
          </cell>
          <cell r="N9" t="str">
            <v>35.00.000.5101.000000.0000.0000</v>
          </cell>
          <cell r="O9" t="str">
            <v>35.00.000.4010.000000.0000.0000</v>
          </cell>
          <cell r="P9" t="str">
            <v>Buy</v>
          </cell>
        </row>
        <row r="10">
          <cell r="A10" t="str">
            <v>100060-001</v>
          </cell>
          <cell r="B10" t="str">
            <v>Frozen</v>
          </cell>
          <cell r="D10" t="str">
            <v>*</v>
          </cell>
          <cell r="F10">
            <v>1</v>
          </cell>
          <cell r="G10">
            <v>0</v>
          </cell>
          <cell r="H10">
            <v>0</v>
          </cell>
          <cell r="N10" t="str">
            <v>35.00.000.5101.000000.0000.0000</v>
          </cell>
          <cell r="O10" t="str">
            <v>35.00.000.4010.000000.0000.0000</v>
          </cell>
          <cell r="P10" t="str">
            <v>Buy</v>
          </cell>
        </row>
        <row r="11">
          <cell r="A11" t="str">
            <v>100142-001</v>
          </cell>
          <cell r="B11" t="str">
            <v>Frozen</v>
          </cell>
          <cell r="D11" t="str">
            <v>*</v>
          </cell>
          <cell r="E11" t="str">
            <v>*</v>
          </cell>
          <cell r="F11">
            <v>1</v>
          </cell>
          <cell r="G11">
            <v>0</v>
          </cell>
          <cell r="H11">
            <v>0</v>
          </cell>
          <cell r="N11" t="str">
            <v>35.00.000.5101.000000.0000.0000</v>
          </cell>
          <cell r="O11" t="str">
            <v>35.00.000.4010.000000.0000.0000</v>
          </cell>
          <cell r="P11" t="str">
            <v>Make</v>
          </cell>
        </row>
        <row r="12">
          <cell r="A12" t="str">
            <v>100151-001</v>
          </cell>
          <cell r="B12" t="str">
            <v>Frozen</v>
          </cell>
          <cell r="D12" t="str">
            <v>*</v>
          </cell>
          <cell r="E12" t="str">
            <v>*</v>
          </cell>
          <cell r="F12">
            <v>1</v>
          </cell>
          <cell r="G12">
            <v>0</v>
          </cell>
          <cell r="H12">
            <v>7.0251000000000001</v>
          </cell>
          <cell r="I12">
            <v>7.0251000000000001</v>
          </cell>
          <cell r="N12" t="str">
            <v>35.00.000.5101.000000.0000.0000</v>
          </cell>
          <cell r="O12" t="str">
            <v>35.00.000.4010.000000.0000.0000</v>
          </cell>
          <cell r="P12" t="str">
            <v>Buy</v>
          </cell>
        </row>
        <row r="13">
          <cell r="A13" t="str">
            <v>100152-001</v>
          </cell>
          <cell r="B13" t="str">
            <v>Frozen</v>
          </cell>
          <cell r="D13" t="str">
            <v>*</v>
          </cell>
          <cell r="E13" t="str">
            <v>*</v>
          </cell>
          <cell r="F13">
            <v>1</v>
          </cell>
          <cell r="G13">
            <v>0</v>
          </cell>
          <cell r="H13">
            <v>3.9286186000000001</v>
          </cell>
          <cell r="I13">
            <v>3.9286186000000001</v>
          </cell>
          <cell r="N13" t="str">
            <v>35.00.000.5101.000000.0000.0000</v>
          </cell>
          <cell r="O13" t="str">
            <v>35.00.000.4010.000000.0000.0000</v>
          </cell>
          <cell r="P13" t="str">
            <v>Buy</v>
          </cell>
        </row>
        <row r="14">
          <cell r="A14" t="str">
            <v>100171-001</v>
          </cell>
          <cell r="B14" t="str">
            <v>Frozen</v>
          </cell>
          <cell r="D14" t="str">
            <v>*</v>
          </cell>
          <cell r="E14" t="str">
            <v>*</v>
          </cell>
          <cell r="F14">
            <v>1</v>
          </cell>
          <cell r="G14">
            <v>0</v>
          </cell>
          <cell r="H14">
            <v>11.036347599999999</v>
          </cell>
          <cell r="I14">
            <v>11.036347599999999</v>
          </cell>
          <cell r="N14" t="str">
            <v>35.00.000.5101.000000.0000.0000</v>
          </cell>
          <cell r="O14" t="str">
            <v>35.00.000.4010.000000.0000.0000</v>
          </cell>
          <cell r="P14" t="str">
            <v>Buy</v>
          </cell>
        </row>
        <row r="15">
          <cell r="A15" t="str">
            <v>100172-001</v>
          </cell>
          <cell r="B15" t="str">
            <v>Frozen</v>
          </cell>
          <cell r="D15" t="str">
            <v>*</v>
          </cell>
          <cell r="E15" t="str">
            <v>*</v>
          </cell>
          <cell r="F15">
            <v>1</v>
          </cell>
          <cell r="G15">
            <v>0</v>
          </cell>
          <cell r="H15">
            <v>7.0376950000000003</v>
          </cell>
          <cell r="I15">
            <v>7.0376950000000003</v>
          </cell>
          <cell r="N15" t="str">
            <v>35.00.000.5101.000000.0000.0000</v>
          </cell>
          <cell r="O15" t="str">
            <v>35.00.000.4010.000000.0000.0000</v>
          </cell>
          <cell r="P15" t="str">
            <v>Buy</v>
          </cell>
        </row>
        <row r="16">
          <cell r="A16" t="str">
            <v>100192-001</v>
          </cell>
          <cell r="B16" t="str">
            <v>Frozen</v>
          </cell>
          <cell r="D16" t="str">
            <v>*</v>
          </cell>
          <cell r="E16" t="str">
            <v>*</v>
          </cell>
          <cell r="F16">
            <v>1</v>
          </cell>
          <cell r="G16">
            <v>0</v>
          </cell>
          <cell r="H16">
            <v>12.14662</v>
          </cell>
          <cell r="I16">
            <v>12.14662</v>
          </cell>
          <cell r="N16" t="str">
            <v>35.00.000.5102.000000.0000.0000</v>
          </cell>
          <cell r="O16" t="str">
            <v>35.00.000.4110.000000.0000.0000</v>
          </cell>
          <cell r="P16" t="str">
            <v>Buy</v>
          </cell>
        </row>
        <row r="17">
          <cell r="A17" t="str">
            <v>100199-001</v>
          </cell>
          <cell r="B17" t="str">
            <v>Frozen</v>
          </cell>
          <cell r="D17" t="str">
            <v>*</v>
          </cell>
          <cell r="E17" t="str">
            <v>*</v>
          </cell>
          <cell r="F17">
            <v>1</v>
          </cell>
          <cell r="G17">
            <v>0</v>
          </cell>
          <cell r="H17">
            <v>23.105319999999999</v>
          </cell>
          <cell r="I17">
            <v>23.105319999999999</v>
          </cell>
          <cell r="N17" t="str">
            <v>35.00.000.5102.000000.0000.0000</v>
          </cell>
          <cell r="O17" t="str">
            <v>35.00.000.4110.000000.0000.0000</v>
          </cell>
          <cell r="P17" t="str">
            <v>Buy</v>
          </cell>
        </row>
        <row r="18">
          <cell r="A18" t="str">
            <v>100204-001</v>
          </cell>
          <cell r="B18" t="str">
            <v>Frozen</v>
          </cell>
          <cell r="D18" t="str">
            <v>*</v>
          </cell>
          <cell r="F18">
            <v>1</v>
          </cell>
          <cell r="G18">
            <v>0</v>
          </cell>
          <cell r="H18">
            <v>5.1179692000000001</v>
          </cell>
          <cell r="I18">
            <v>5.1179692000000001</v>
          </cell>
          <cell r="N18" t="str">
            <v>35.00.000.5102.000000.0000.0000</v>
          </cell>
          <cell r="O18" t="str">
            <v>35.00.000.4110.000000.0000.0000</v>
          </cell>
          <cell r="P18" t="str">
            <v>Buy</v>
          </cell>
        </row>
        <row r="19">
          <cell r="A19" t="str">
            <v>200001-001</v>
          </cell>
          <cell r="B19" t="str">
            <v>Frozen</v>
          </cell>
          <cell r="D19" t="str">
            <v>*</v>
          </cell>
          <cell r="E19" t="str">
            <v>*</v>
          </cell>
          <cell r="F19">
            <v>1</v>
          </cell>
          <cell r="G19">
            <v>0</v>
          </cell>
          <cell r="H19">
            <v>22.949660000000002</v>
          </cell>
          <cell r="I19">
            <v>22.949660000000002</v>
          </cell>
          <cell r="N19" t="str">
            <v>35.00.000.5101.000000.0000.0000</v>
          </cell>
          <cell r="O19" t="str">
            <v>35.00.000.4010.000000.0000.0000</v>
          </cell>
          <cell r="P19" t="str">
            <v>Make</v>
          </cell>
        </row>
        <row r="20">
          <cell r="A20" t="str">
            <v>200002-001</v>
          </cell>
          <cell r="B20" t="str">
            <v>Frozen</v>
          </cell>
          <cell r="D20" t="str">
            <v>*</v>
          </cell>
          <cell r="F20">
            <v>1</v>
          </cell>
          <cell r="G20">
            <v>0</v>
          </cell>
          <cell r="H20">
            <v>0.18873000000000001</v>
          </cell>
          <cell r="I20">
            <v>0.18873000000000001</v>
          </cell>
          <cell r="N20" t="str">
            <v>35.00.000.5101.000000.0000.0000</v>
          </cell>
          <cell r="O20" t="str">
            <v>35.00.000.4010.000000.0000.0000</v>
          </cell>
          <cell r="P20" t="str">
            <v>Buy</v>
          </cell>
        </row>
        <row r="21">
          <cell r="A21" t="str">
            <v>200003-001</v>
          </cell>
          <cell r="B21" t="str">
            <v>Frozen</v>
          </cell>
          <cell r="D21" t="str">
            <v>*</v>
          </cell>
          <cell r="E21" t="str">
            <v>*</v>
          </cell>
          <cell r="F21">
            <v>1</v>
          </cell>
          <cell r="G21">
            <v>0</v>
          </cell>
          <cell r="H21">
            <v>22.633859999999999</v>
          </cell>
          <cell r="I21">
            <v>22.633859999999999</v>
          </cell>
          <cell r="N21" t="str">
            <v>35.00.000.5101.000000.0000.0000</v>
          </cell>
          <cell r="O21" t="str">
            <v>35.00.000.4010.000000.0000.0000</v>
          </cell>
          <cell r="P21" t="str">
            <v>Make</v>
          </cell>
        </row>
        <row r="22">
          <cell r="A22" t="str">
            <v>200004-001</v>
          </cell>
          <cell r="B22" t="str">
            <v>Frozen</v>
          </cell>
          <cell r="D22" t="str">
            <v>*</v>
          </cell>
          <cell r="F22">
            <v>1</v>
          </cell>
          <cell r="G22">
            <v>0</v>
          </cell>
          <cell r="H22">
            <v>126.8554</v>
          </cell>
          <cell r="I22">
            <v>126.8554</v>
          </cell>
          <cell r="N22" t="str">
            <v>35.00.000.5101.000000.0000.0000</v>
          </cell>
          <cell r="O22" t="str">
            <v>35.00.000.4010.000000.0000.0000</v>
          </cell>
          <cell r="P22" t="str">
            <v>Buy</v>
          </cell>
        </row>
        <row r="23">
          <cell r="A23" t="str">
            <v>200005-001</v>
          </cell>
          <cell r="B23" t="str">
            <v>Frozen</v>
          </cell>
          <cell r="D23" t="str">
            <v>*</v>
          </cell>
          <cell r="E23" t="str">
            <v>*</v>
          </cell>
          <cell r="F23">
            <v>1</v>
          </cell>
          <cell r="G23">
            <v>0</v>
          </cell>
          <cell r="H23">
            <v>20.794460000000001</v>
          </cell>
          <cell r="I23">
            <v>20.794460000000001</v>
          </cell>
          <cell r="N23" t="str">
            <v>35.00.000.5101.000000.0000.0000</v>
          </cell>
          <cell r="O23" t="str">
            <v>35.00.000.4010.000000.0000.0000</v>
          </cell>
          <cell r="P23" t="str">
            <v>Make</v>
          </cell>
        </row>
        <row r="24">
          <cell r="A24" t="str">
            <v>200006-001</v>
          </cell>
          <cell r="B24" t="str">
            <v>Frozen</v>
          </cell>
          <cell r="D24" t="str">
            <v>*</v>
          </cell>
          <cell r="F24">
            <v>1</v>
          </cell>
          <cell r="G24">
            <v>0</v>
          </cell>
          <cell r="H24">
            <v>1.57064</v>
          </cell>
          <cell r="I24">
            <v>1.57064</v>
          </cell>
          <cell r="N24" t="str">
            <v>35.00.000.5101.000000.0000.0000</v>
          </cell>
          <cell r="O24" t="str">
            <v>35.00.000.4010.000000.0000.0000</v>
          </cell>
          <cell r="P24" t="str">
            <v>Buy</v>
          </cell>
        </row>
        <row r="25">
          <cell r="A25" t="str">
            <v>200007-001</v>
          </cell>
          <cell r="B25" t="str">
            <v>Frozen</v>
          </cell>
          <cell r="D25" t="str">
            <v>*</v>
          </cell>
          <cell r="F25">
            <v>1</v>
          </cell>
          <cell r="G25">
            <v>0</v>
          </cell>
          <cell r="H25">
            <v>1.2707200000000001</v>
          </cell>
          <cell r="I25">
            <v>1.2707200000000001</v>
          </cell>
          <cell r="N25" t="str">
            <v>35.00.000.5101.000000.0000.0000</v>
          </cell>
          <cell r="O25" t="str">
            <v>35.00.000.4010.000000.0000.0000</v>
          </cell>
          <cell r="P25" t="str">
            <v>Buy</v>
          </cell>
        </row>
        <row r="26">
          <cell r="A26" t="str">
            <v>200009-001</v>
          </cell>
          <cell r="B26" t="str">
            <v>Frozen</v>
          </cell>
          <cell r="D26" t="str">
            <v>*</v>
          </cell>
          <cell r="F26">
            <v>1</v>
          </cell>
          <cell r="G26">
            <v>0</v>
          </cell>
          <cell r="H26">
            <v>0.69889999999999997</v>
          </cell>
          <cell r="I26">
            <v>0.69889999999999997</v>
          </cell>
          <cell r="N26" t="str">
            <v>35.00.000.5101.000000.0000.0000</v>
          </cell>
          <cell r="O26" t="str">
            <v>35.00.000.4010.000000.0000.0000</v>
          </cell>
          <cell r="P26" t="str">
            <v>Buy</v>
          </cell>
        </row>
        <row r="27">
          <cell r="A27" t="str">
            <v>200010-001</v>
          </cell>
          <cell r="B27" t="str">
            <v>Frozen</v>
          </cell>
          <cell r="D27" t="str">
            <v>*</v>
          </cell>
          <cell r="F27">
            <v>1</v>
          </cell>
          <cell r="G27">
            <v>0</v>
          </cell>
          <cell r="H27">
            <v>0.12706999999999999</v>
          </cell>
          <cell r="I27">
            <v>0.12706999999999999</v>
          </cell>
          <cell r="N27" t="str">
            <v>35.00.000.5101.000000.0000.0000</v>
          </cell>
          <cell r="O27" t="str">
            <v>35.00.000.4010.000000.0000.0000</v>
          </cell>
          <cell r="P27" t="str">
            <v>Buy</v>
          </cell>
        </row>
        <row r="28">
          <cell r="A28" t="str">
            <v>200011-001</v>
          </cell>
          <cell r="B28" t="str">
            <v>Frozen</v>
          </cell>
          <cell r="D28" t="str">
            <v>*</v>
          </cell>
          <cell r="E28" t="str">
            <v>*</v>
          </cell>
          <cell r="F28">
            <v>1</v>
          </cell>
          <cell r="G28">
            <v>0</v>
          </cell>
          <cell r="H28">
            <v>16.984490000000001</v>
          </cell>
          <cell r="I28">
            <v>16.984490000000001</v>
          </cell>
          <cell r="N28" t="str">
            <v>35.00.000.5101.000000.0000.0000</v>
          </cell>
          <cell r="O28" t="str">
            <v>35.00.000.4010.000000.0000.0000</v>
          </cell>
          <cell r="P28" t="str">
            <v>Make</v>
          </cell>
        </row>
        <row r="29">
          <cell r="A29" t="str">
            <v>200012-001</v>
          </cell>
          <cell r="B29" t="str">
            <v>Frozen</v>
          </cell>
          <cell r="D29" t="str">
            <v>*</v>
          </cell>
          <cell r="F29">
            <v>1</v>
          </cell>
          <cell r="G29">
            <v>0</v>
          </cell>
          <cell r="H29">
            <v>0.77325999999999995</v>
          </cell>
          <cell r="I29">
            <v>0.77325999999999995</v>
          </cell>
          <cell r="N29" t="str">
            <v>35.00.000.5101.000000.0000.0000</v>
          </cell>
          <cell r="O29" t="str">
            <v>35.00.000.4010.000000.0000.0000</v>
          </cell>
          <cell r="P29" t="str">
            <v>Buy</v>
          </cell>
        </row>
        <row r="30">
          <cell r="A30" t="str">
            <v>200012-005</v>
          </cell>
          <cell r="B30" t="str">
            <v>Frozen</v>
          </cell>
          <cell r="D30" t="str">
            <v>*</v>
          </cell>
          <cell r="F30">
            <v>1</v>
          </cell>
          <cell r="G30">
            <v>0</v>
          </cell>
          <cell r="H30">
            <v>1.2996000000000001</v>
          </cell>
          <cell r="I30">
            <v>1.2996000000000001</v>
          </cell>
          <cell r="N30" t="str">
            <v>35.00.000.5101.000000.0000.0000</v>
          </cell>
          <cell r="O30" t="str">
            <v>35.00.000.4010.000000.0000.0000</v>
          </cell>
          <cell r="P30" t="str">
            <v>Buy</v>
          </cell>
        </row>
        <row r="31">
          <cell r="A31" t="str">
            <v>200012-006</v>
          </cell>
          <cell r="B31" t="str">
            <v>Frozen</v>
          </cell>
          <cell r="D31" t="str">
            <v>*</v>
          </cell>
          <cell r="F31">
            <v>1</v>
          </cell>
          <cell r="G31">
            <v>0</v>
          </cell>
          <cell r="H31">
            <v>1.8714200000000001</v>
          </cell>
          <cell r="I31">
            <v>1.8714200000000001</v>
          </cell>
          <cell r="N31" t="str">
            <v>35.00.000.5101.000000.0000.0000</v>
          </cell>
          <cell r="O31" t="str">
            <v>35.00.000.4010.000000.0000.0000</v>
          </cell>
          <cell r="P31" t="str">
            <v>Buy</v>
          </cell>
        </row>
        <row r="32">
          <cell r="A32" t="str">
            <v>200013-001</v>
          </cell>
          <cell r="B32" t="str">
            <v>Frozen</v>
          </cell>
          <cell r="D32" t="str">
            <v>*</v>
          </cell>
          <cell r="F32">
            <v>1</v>
          </cell>
          <cell r="G32">
            <v>0</v>
          </cell>
          <cell r="H32">
            <v>0.8</v>
          </cell>
          <cell r="I32">
            <v>0.8</v>
          </cell>
          <cell r="N32" t="str">
            <v>35.00.000.5101.000000.0000.0000</v>
          </cell>
          <cell r="O32" t="str">
            <v>35.00.000.4010.000000.0000.0000</v>
          </cell>
          <cell r="P32" t="str">
            <v>Buy</v>
          </cell>
        </row>
        <row r="33">
          <cell r="A33" t="str">
            <v>200013-003</v>
          </cell>
          <cell r="B33" t="str">
            <v>Frozen</v>
          </cell>
          <cell r="D33" t="str">
            <v>*</v>
          </cell>
          <cell r="F33">
            <v>1</v>
          </cell>
          <cell r="G33">
            <v>0</v>
          </cell>
          <cell r="H33">
            <v>1.19</v>
          </cell>
          <cell r="I33">
            <v>1.19</v>
          </cell>
          <cell r="N33" t="str">
            <v>35.00.000.5101.000000.0000.0000</v>
          </cell>
          <cell r="O33" t="str">
            <v>35.00.000.4010.000000.0000.0000</v>
          </cell>
          <cell r="P33" t="str">
            <v>Buy</v>
          </cell>
        </row>
        <row r="34">
          <cell r="A34" t="str">
            <v>200013-004</v>
          </cell>
          <cell r="B34" t="str">
            <v>Frozen</v>
          </cell>
          <cell r="D34" t="str">
            <v>*</v>
          </cell>
          <cell r="F34">
            <v>1</v>
          </cell>
          <cell r="G34">
            <v>0</v>
          </cell>
          <cell r="H34">
            <v>0.3</v>
          </cell>
          <cell r="I34">
            <v>0.3</v>
          </cell>
          <cell r="N34" t="str">
            <v>35.00.000.5101.000000.0000.0000</v>
          </cell>
          <cell r="O34" t="str">
            <v>35.00.000.4010.000000.0000.0000</v>
          </cell>
          <cell r="P34" t="str">
            <v>Buy</v>
          </cell>
        </row>
        <row r="35">
          <cell r="A35" t="str">
            <v>200013-005</v>
          </cell>
          <cell r="B35" t="str">
            <v>Frozen</v>
          </cell>
          <cell r="D35" t="str">
            <v>*</v>
          </cell>
          <cell r="F35">
            <v>1</v>
          </cell>
          <cell r="G35">
            <v>0</v>
          </cell>
          <cell r="H35">
            <v>1.1000000000000001</v>
          </cell>
          <cell r="I35">
            <v>1.1000000000000001</v>
          </cell>
          <cell r="N35" t="str">
            <v>35.00.000.5101.000000.0000.0000</v>
          </cell>
          <cell r="O35" t="str">
            <v>35.00.000.4010.000000.0000.0000</v>
          </cell>
          <cell r="P35" t="str">
            <v>Buy</v>
          </cell>
        </row>
        <row r="36">
          <cell r="A36" t="str">
            <v>200014-001</v>
          </cell>
          <cell r="B36" t="str">
            <v>Frozen</v>
          </cell>
          <cell r="D36" t="str">
            <v>*</v>
          </cell>
          <cell r="E36" t="str">
            <v>*</v>
          </cell>
          <cell r="F36">
            <v>1</v>
          </cell>
          <cell r="G36">
            <v>0</v>
          </cell>
          <cell r="H36">
            <v>8.0491299999999999</v>
          </cell>
          <cell r="I36">
            <v>8.0491299999999999</v>
          </cell>
          <cell r="N36" t="str">
            <v>35.00.000.5101.000000.0000.0000</v>
          </cell>
          <cell r="O36" t="str">
            <v>35.00.000.4010.000000.0000.0000</v>
          </cell>
          <cell r="P36" t="str">
            <v>Make</v>
          </cell>
        </row>
        <row r="37">
          <cell r="A37" t="str">
            <v>200015-001</v>
          </cell>
          <cell r="B37" t="str">
            <v>Frozen</v>
          </cell>
          <cell r="D37" t="str">
            <v>*</v>
          </cell>
          <cell r="E37" t="str">
            <v>*</v>
          </cell>
          <cell r="F37">
            <v>1</v>
          </cell>
          <cell r="G37">
            <v>0</v>
          </cell>
          <cell r="H37">
            <v>6.0421199999999997</v>
          </cell>
          <cell r="I37">
            <v>6.0421199999999997</v>
          </cell>
          <cell r="N37" t="str">
            <v>35.00.000.5101.000000.0000.0000</v>
          </cell>
          <cell r="O37" t="str">
            <v>35.00.000.4010.000000.0000.0000</v>
          </cell>
          <cell r="P37" t="str">
            <v>Make</v>
          </cell>
        </row>
        <row r="38">
          <cell r="A38" t="str">
            <v>200016-001</v>
          </cell>
          <cell r="B38" t="str">
            <v>Frozen</v>
          </cell>
          <cell r="D38" t="str">
            <v>*</v>
          </cell>
          <cell r="F38">
            <v>1</v>
          </cell>
          <cell r="G38">
            <v>0</v>
          </cell>
          <cell r="H38">
            <v>0.17327999999999999</v>
          </cell>
          <cell r="I38">
            <v>0.17327999999999999</v>
          </cell>
          <cell r="N38" t="str">
            <v>35.00.000.5101.000000.0000.0000</v>
          </cell>
          <cell r="O38" t="str">
            <v>35.00.000.4010.000000.0000.0000</v>
          </cell>
          <cell r="P38" t="str">
            <v>Buy</v>
          </cell>
        </row>
        <row r="39">
          <cell r="A39" t="str">
            <v>200016-002</v>
          </cell>
          <cell r="B39" t="str">
            <v>Frozen</v>
          </cell>
          <cell r="D39" t="str">
            <v>*</v>
          </cell>
          <cell r="F39">
            <v>1</v>
          </cell>
          <cell r="G39">
            <v>0</v>
          </cell>
          <cell r="H39">
            <v>4.3319999999999999</v>
          </cell>
          <cell r="I39">
            <v>4.3319999999999999</v>
          </cell>
          <cell r="N39" t="str">
            <v>35.00.000.5101.000000.0000.0000</v>
          </cell>
          <cell r="O39" t="str">
            <v>35.00.000.4010.000000.0000.0000</v>
          </cell>
          <cell r="P39" t="str">
            <v>Buy</v>
          </cell>
        </row>
        <row r="40">
          <cell r="A40" t="str">
            <v>200017-001</v>
          </cell>
          <cell r="B40" t="str">
            <v>Frozen</v>
          </cell>
          <cell r="D40" t="str">
            <v>*</v>
          </cell>
          <cell r="F40">
            <v>1</v>
          </cell>
          <cell r="G40">
            <v>0</v>
          </cell>
          <cell r="H40">
            <v>1.6606000000000001</v>
          </cell>
          <cell r="I40">
            <v>1.6606000000000001</v>
          </cell>
          <cell r="N40" t="str">
            <v>35.00.000.5101.000000.0000.0000</v>
          </cell>
          <cell r="O40" t="str">
            <v>35.00.000.4010.000000.0000.0000</v>
          </cell>
          <cell r="P40" t="str">
            <v>Buy</v>
          </cell>
        </row>
        <row r="41">
          <cell r="A41" t="str">
            <v>200017-002</v>
          </cell>
          <cell r="B41" t="str">
            <v>Frozen</v>
          </cell>
          <cell r="D41" t="str">
            <v>*</v>
          </cell>
          <cell r="F41">
            <v>1</v>
          </cell>
          <cell r="G41">
            <v>0</v>
          </cell>
          <cell r="H41">
            <v>7.9420000000000002</v>
          </cell>
          <cell r="I41">
            <v>7.9420000000000002</v>
          </cell>
          <cell r="N41" t="str">
            <v>35.00.000.5101.000000.0000.0000</v>
          </cell>
          <cell r="O41" t="str">
            <v>35.00.000.4010.000000.0000.0000</v>
          </cell>
          <cell r="P41" t="str">
            <v>Buy</v>
          </cell>
        </row>
        <row r="42">
          <cell r="A42" t="str">
            <v>200018-001</v>
          </cell>
          <cell r="B42" t="str">
            <v>Frozen</v>
          </cell>
          <cell r="D42" t="str">
            <v>*</v>
          </cell>
          <cell r="F42">
            <v>1</v>
          </cell>
          <cell r="G42">
            <v>0</v>
          </cell>
          <cell r="H42">
            <v>0.35377999999999998</v>
          </cell>
          <cell r="I42">
            <v>0.35377999999999998</v>
          </cell>
          <cell r="N42" t="str">
            <v>35.00.000.5101.000000.0000.0000</v>
          </cell>
          <cell r="O42" t="str">
            <v>35.00.000.4010.000000.0000.0000</v>
          </cell>
          <cell r="P42" t="str">
            <v>Buy</v>
          </cell>
        </row>
        <row r="43">
          <cell r="A43" t="str">
            <v>200019-001</v>
          </cell>
          <cell r="B43" t="str">
            <v>Frozen</v>
          </cell>
          <cell r="D43" t="str">
            <v>*</v>
          </cell>
          <cell r="F43">
            <v>1</v>
          </cell>
          <cell r="G43">
            <v>0</v>
          </cell>
          <cell r="H43">
            <v>0.39273000000000002</v>
          </cell>
          <cell r="I43">
            <v>0.39273000000000002</v>
          </cell>
          <cell r="N43" t="str">
            <v>35.00.000.5101.000000.0000.0000</v>
          </cell>
          <cell r="O43" t="str">
            <v>35.00.000.4010.000000.0000.0000</v>
          </cell>
          <cell r="P43" t="str">
            <v>Buy</v>
          </cell>
        </row>
        <row r="44">
          <cell r="A44" t="str">
            <v>200019-002</v>
          </cell>
          <cell r="B44" t="str">
            <v>Frozen</v>
          </cell>
          <cell r="D44" t="str">
            <v>*</v>
          </cell>
          <cell r="F44">
            <v>1</v>
          </cell>
          <cell r="G44">
            <v>0</v>
          </cell>
          <cell r="H44">
            <v>0.19636000000000001</v>
          </cell>
          <cell r="I44">
            <v>0.19636000000000001</v>
          </cell>
          <cell r="N44" t="str">
            <v>35.00.000.5101.000000.0000.0000</v>
          </cell>
          <cell r="O44" t="str">
            <v>35.00.000.4010.000000.0000.0000</v>
          </cell>
          <cell r="P44" t="str">
            <v>Buy</v>
          </cell>
        </row>
        <row r="45">
          <cell r="A45" t="str">
            <v>200019-003</v>
          </cell>
          <cell r="B45" t="str">
            <v>Frozen</v>
          </cell>
          <cell r="D45" t="str">
            <v>*</v>
          </cell>
          <cell r="F45">
            <v>1</v>
          </cell>
          <cell r="G45">
            <v>0</v>
          </cell>
          <cell r="H45">
            <v>0.49091000000000001</v>
          </cell>
          <cell r="I45">
            <v>0.49091000000000001</v>
          </cell>
          <cell r="N45" t="str">
            <v>35.00.000.5101.000000.0000.0000</v>
          </cell>
          <cell r="O45" t="str">
            <v>35.00.000.4010.000000.0000.0000</v>
          </cell>
          <cell r="P45" t="str">
            <v>Buy</v>
          </cell>
        </row>
        <row r="46">
          <cell r="A46" t="str">
            <v>200019-004</v>
          </cell>
          <cell r="B46" t="str">
            <v>Frozen</v>
          </cell>
          <cell r="D46" t="str">
            <v>*</v>
          </cell>
          <cell r="F46">
            <v>1</v>
          </cell>
          <cell r="G46">
            <v>0</v>
          </cell>
          <cell r="H46">
            <v>0.32727000000000001</v>
          </cell>
          <cell r="I46">
            <v>0.32727000000000001</v>
          </cell>
          <cell r="N46" t="str">
            <v>35.00.000.5102.000000.0000.0000</v>
          </cell>
          <cell r="O46" t="str">
            <v>35.00.000.4110.000000.0000.0000</v>
          </cell>
          <cell r="P46" t="str">
            <v>Buy</v>
          </cell>
        </row>
        <row r="47">
          <cell r="A47" t="str">
            <v>200025-002</v>
          </cell>
          <cell r="B47" t="str">
            <v>Frozen</v>
          </cell>
          <cell r="D47" t="str">
            <v>*</v>
          </cell>
          <cell r="F47">
            <v>1</v>
          </cell>
          <cell r="G47">
            <v>0</v>
          </cell>
          <cell r="H47">
            <v>924.16</v>
          </cell>
          <cell r="I47">
            <v>924.16</v>
          </cell>
          <cell r="N47" t="str">
            <v>35.00.000.5101.000000.0000.0000</v>
          </cell>
          <cell r="O47" t="str">
            <v>35.00.000.4010.000000.0000.0000</v>
          </cell>
          <cell r="P47" t="str">
            <v>Buy</v>
          </cell>
        </row>
        <row r="48">
          <cell r="A48" t="str">
            <v>200026-001</v>
          </cell>
          <cell r="B48" t="str">
            <v>Frozen</v>
          </cell>
          <cell r="D48" t="str">
            <v>*</v>
          </cell>
          <cell r="E48" t="str">
            <v>*</v>
          </cell>
          <cell r="F48">
            <v>1</v>
          </cell>
          <cell r="G48">
            <v>0</v>
          </cell>
          <cell r="H48">
            <v>8.0171299999999999</v>
          </cell>
          <cell r="I48">
            <v>8.0171299999999999</v>
          </cell>
          <cell r="N48" t="str">
            <v>35.00.000.5101.000000.0000.0000</v>
          </cell>
          <cell r="O48" t="str">
            <v>35.00.000.4010.000000.0000.0000</v>
          </cell>
          <cell r="P48" t="str">
            <v>Make</v>
          </cell>
        </row>
        <row r="49">
          <cell r="A49" t="str">
            <v>200027-001</v>
          </cell>
          <cell r="B49" t="str">
            <v>Frozen</v>
          </cell>
          <cell r="D49" t="str">
            <v>*</v>
          </cell>
          <cell r="E49" t="str">
            <v>*</v>
          </cell>
          <cell r="F49">
            <v>1</v>
          </cell>
          <cell r="G49">
            <v>0</v>
          </cell>
          <cell r="H49">
            <v>5.8514600000000003</v>
          </cell>
          <cell r="I49">
            <v>5.8514600000000003</v>
          </cell>
          <cell r="N49" t="str">
            <v>35.00.000.5101.000000.0000.0000</v>
          </cell>
          <cell r="O49" t="str">
            <v>35.00.000.4010.000000.0000.0000</v>
          </cell>
          <cell r="P49" t="str">
            <v>Make</v>
          </cell>
        </row>
        <row r="50">
          <cell r="A50" t="str">
            <v>200028-001</v>
          </cell>
          <cell r="B50" t="str">
            <v>Frozen</v>
          </cell>
          <cell r="D50" t="str">
            <v>*</v>
          </cell>
          <cell r="F50">
            <v>1</v>
          </cell>
          <cell r="G50">
            <v>0</v>
          </cell>
          <cell r="H50">
            <v>0.12706999999999999</v>
          </cell>
          <cell r="I50">
            <v>0.12706999999999999</v>
          </cell>
          <cell r="N50" t="str">
            <v>35.00.000.5101.000000.0000.0000</v>
          </cell>
          <cell r="O50" t="str">
            <v>35.00.000.4010.000000.0000.0000</v>
          </cell>
          <cell r="P50" t="str">
            <v>Buy</v>
          </cell>
        </row>
        <row r="51">
          <cell r="A51" t="str">
            <v>200032-001</v>
          </cell>
          <cell r="B51" t="str">
            <v>Frozen</v>
          </cell>
          <cell r="D51" t="str">
            <v>*</v>
          </cell>
          <cell r="E51" t="str">
            <v>*</v>
          </cell>
          <cell r="F51">
            <v>1</v>
          </cell>
          <cell r="G51">
            <v>0</v>
          </cell>
          <cell r="H51">
            <v>1.5570000000000001E-2</v>
          </cell>
          <cell r="I51">
            <v>1.5570000000000001E-2</v>
          </cell>
          <cell r="N51" t="str">
            <v>35.00.000.5101.000000.0000.0000</v>
          </cell>
          <cell r="O51" t="str">
            <v>35.00.000.4010.000000.0000.0000</v>
          </cell>
          <cell r="P51" t="str">
            <v>Make</v>
          </cell>
        </row>
        <row r="52">
          <cell r="A52" t="str">
            <v>200033-001</v>
          </cell>
          <cell r="B52" t="str">
            <v>Frozen</v>
          </cell>
          <cell r="D52" t="str">
            <v>*</v>
          </cell>
          <cell r="E52" t="str">
            <v>*</v>
          </cell>
          <cell r="F52">
            <v>1</v>
          </cell>
          <cell r="G52">
            <v>0</v>
          </cell>
          <cell r="H52">
            <v>1.57064</v>
          </cell>
          <cell r="I52">
            <v>1.57064</v>
          </cell>
          <cell r="N52" t="str">
            <v>35.00.000.5101.000000.0000.0000</v>
          </cell>
          <cell r="O52" t="str">
            <v>35.00.000.4010.000000.0000.0000</v>
          </cell>
          <cell r="P52" t="str">
            <v>Make</v>
          </cell>
        </row>
        <row r="53">
          <cell r="A53" t="str">
            <v>200047-002</v>
          </cell>
          <cell r="B53" t="str">
            <v>Frozen</v>
          </cell>
          <cell r="D53" t="str">
            <v>*</v>
          </cell>
          <cell r="F53">
            <v>1</v>
          </cell>
          <cell r="G53">
            <v>0</v>
          </cell>
          <cell r="H53">
            <v>0</v>
          </cell>
          <cell r="N53" t="str">
            <v>35.00.000.5102.000000.0000.0000</v>
          </cell>
          <cell r="O53" t="str">
            <v>35.00.000.4110.000000.0000.0000</v>
          </cell>
          <cell r="P53" t="str">
            <v>Buy</v>
          </cell>
        </row>
        <row r="54">
          <cell r="A54" t="str">
            <v>200058-001</v>
          </cell>
          <cell r="B54" t="str">
            <v>Frozen</v>
          </cell>
          <cell r="D54" t="str">
            <v>*</v>
          </cell>
          <cell r="F54">
            <v>1</v>
          </cell>
          <cell r="G54">
            <v>0</v>
          </cell>
          <cell r="H54">
            <v>1.5229900000000001</v>
          </cell>
          <cell r="I54">
            <v>1.5229900000000001</v>
          </cell>
          <cell r="N54" t="str">
            <v>35.00.000.5101.000000.0000.0000</v>
          </cell>
          <cell r="O54" t="str">
            <v>35.00.000.4010.000000.0000.0000</v>
          </cell>
          <cell r="P54" t="str">
            <v>Buy</v>
          </cell>
        </row>
        <row r="55">
          <cell r="A55" t="str">
            <v>200059-001</v>
          </cell>
          <cell r="B55" t="str">
            <v>Frozen</v>
          </cell>
          <cell r="D55" t="str">
            <v>*</v>
          </cell>
          <cell r="F55">
            <v>1</v>
          </cell>
          <cell r="G55">
            <v>0</v>
          </cell>
          <cell r="H55">
            <v>1.5229900000000001</v>
          </cell>
          <cell r="I55">
            <v>1.5229900000000001</v>
          </cell>
          <cell r="N55" t="str">
            <v>35.00.000.5101.000000.0000.0000</v>
          </cell>
          <cell r="O55" t="str">
            <v>35.00.000.4010.000000.0000.0000</v>
          </cell>
          <cell r="P55" t="str">
            <v>Buy</v>
          </cell>
        </row>
        <row r="56">
          <cell r="A56" t="str">
            <v>200060-001</v>
          </cell>
          <cell r="B56" t="str">
            <v>Frozen</v>
          </cell>
          <cell r="D56" t="str">
            <v>*</v>
          </cell>
          <cell r="F56">
            <v>1</v>
          </cell>
          <cell r="G56">
            <v>0</v>
          </cell>
          <cell r="H56">
            <v>1.35375</v>
          </cell>
          <cell r="I56">
            <v>1.35375</v>
          </cell>
          <cell r="N56" t="str">
            <v>35.00.000.5101.000000.0000.0000</v>
          </cell>
          <cell r="O56" t="str">
            <v>35.00.000.4010.000000.0000.0000</v>
          </cell>
          <cell r="P56" t="str">
            <v>Buy</v>
          </cell>
        </row>
        <row r="57">
          <cell r="A57" t="str">
            <v>200061-001</v>
          </cell>
          <cell r="B57" t="str">
            <v>Frozen</v>
          </cell>
          <cell r="D57" t="str">
            <v>*</v>
          </cell>
          <cell r="F57">
            <v>1</v>
          </cell>
          <cell r="G57">
            <v>0</v>
          </cell>
          <cell r="H57">
            <v>1.35375</v>
          </cell>
          <cell r="I57">
            <v>1.35375</v>
          </cell>
          <cell r="N57" t="str">
            <v>35.00.000.5101.000000.0000.0000</v>
          </cell>
          <cell r="O57" t="str">
            <v>35.00.000.4010.000000.0000.0000</v>
          </cell>
          <cell r="P57" t="str">
            <v>Buy</v>
          </cell>
        </row>
        <row r="58">
          <cell r="A58" t="str">
            <v>200062-001</v>
          </cell>
          <cell r="B58" t="str">
            <v>Frozen</v>
          </cell>
          <cell r="D58" t="str">
            <v>*</v>
          </cell>
          <cell r="F58">
            <v>1</v>
          </cell>
          <cell r="G58">
            <v>0</v>
          </cell>
          <cell r="H58">
            <v>0.45124999999999998</v>
          </cell>
          <cell r="I58">
            <v>0.45124999999999998</v>
          </cell>
          <cell r="N58" t="str">
            <v>35.00.000.5101.000000.0000.0000</v>
          </cell>
          <cell r="O58" t="str">
            <v>35.00.000.4010.000000.0000.0000</v>
          </cell>
          <cell r="P58" t="str">
            <v>Buy</v>
          </cell>
        </row>
        <row r="59">
          <cell r="A59" t="str">
            <v>200065-001</v>
          </cell>
          <cell r="B59" t="str">
            <v>Frozen</v>
          </cell>
          <cell r="D59" t="str">
            <v>*</v>
          </cell>
          <cell r="F59">
            <v>1</v>
          </cell>
          <cell r="G59">
            <v>0</v>
          </cell>
          <cell r="H59">
            <v>0.11262999999999999</v>
          </cell>
          <cell r="I59">
            <v>0.11262999999999999</v>
          </cell>
          <cell r="N59" t="str">
            <v>35.00.000.5101.000000.0000.0000</v>
          </cell>
          <cell r="O59" t="str">
            <v>35.00.000.4010.000000.0000.0000</v>
          </cell>
          <cell r="P59" t="str">
            <v>Buy</v>
          </cell>
        </row>
        <row r="60">
          <cell r="A60" t="str">
            <v>200067-001</v>
          </cell>
          <cell r="B60" t="str">
            <v>Frozen</v>
          </cell>
          <cell r="D60" t="str">
            <v>*</v>
          </cell>
          <cell r="F60">
            <v>1</v>
          </cell>
          <cell r="G60">
            <v>0</v>
          </cell>
          <cell r="H60">
            <v>2.8000000000000001E-2</v>
          </cell>
          <cell r="I60">
            <v>2.8000000000000001E-2</v>
          </cell>
          <cell r="N60" t="str">
            <v>35.00.000.5101.000000.0000.0000</v>
          </cell>
          <cell r="O60" t="str">
            <v>35.00.000.4010.000000.0000.0000</v>
          </cell>
          <cell r="P60" t="str">
            <v>Buy</v>
          </cell>
        </row>
        <row r="61">
          <cell r="A61" t="str">
            <v>200068-001</v>
          </cell>
          <cell r="B61" t="str">
            <v>Frozen</v>
          </cell>
          <cell r="D61" t="str">
            <v>*</v>
          </cell>
          <cell r="F61">
            <v>1</v>
          </cell>
          <cell r="G61">
            <v>0</v>
          </cell>
          <cell r="H61">
            <v>5.0540000000000003</v>
          </cell>
          <cell r="I61">
            <v>5.0540000000000003</v>
          </cell>
          <cell r="N61" t="str">
            <v>35.00.000.5101.000000.0000.0000</v>
          </cell>
          <cell r="O61" t="str">
            <v>35.00.000.4010.000000.0000.0000</v>
          </cell>
          <cell r="P61" t="str">
            <v>Buy</v>
          </cell>
        </row>
        <row r="62">
          <cell r="A62" t="str">
            <v>200068-002</v>
          </cell>
          <cell r="B62" t="str">
            <v>Frozen</v>
          </cell>
          <cell r="D62" t="str">
            <v>*</v>
          </cell>
          <cell r="F62">
            <v>1</v>
          </cell>
          <cell r="G62">
            <v>0</v>
          </cell>
          <cell r="H62">
            <v>5.0540000000000003</v>
          </cell>
          <cell r="I62">
            <v>5.0540000000000003</v>
          </cell>
          <cell r="N62" t="str">
            <v>35.00.000.5101.000000.0000.0000</v>
          </cell>
          <cell r="O62" t="str">
            <v>35.00.000.4010.000000.0000.0000</v>
          </cell>
          <cell r="P62" t="str">
            <v>Buy</v>
          </cell>
        </row>
        <row r="63">
          <cell r="A63" t="str">
            <v>200070-001</v>
          </cell>
          <cell r="B63" t="str">
            <v>Frozen</v>
          </cell>
          <cell r="D63" t="str">
            <v>*</v>
          </cell>
          <cell r="F63">
            <v>1</v>
          </cell>
          <cell r="G63">
            <v>0</v>
          </cell>
          <cell r="H63">
            <v>2.4818799999999999</v>
          </cell>
          <cell r="I63">
            <v>2.4818799999999999</v>
          </cell>
          <cell r="N63" t="str">
            <v>35.00.000.5101.000000.0000.0000</v>
          </cell>
          <cell r="O63" t="str">
            <v>35.00.000.4010.000000.0000.0000</v>
          </cell>
          <cell r="P63" t="str">
            <v>Buy</v>
          </cell>
        </row>
        <row r="64">
          <cell r="A64" t="str">
            <v>200070-002</v>
          </cell>
          <cell r="B64" t="str">
            <v>Frozen</v>
          </cell>
          <cell r="D64" t="str">
            <v>*</v>
          </cell>
          <cell r="F64">
            <v>1</v>
          </cell>
          <cell r="G64">
            <v>0</v>
          </cell>
          <cell r="H64">
            <v>2.7075</v>
          </cell>
          <cell r="I64">
            <v>2.7075</v>
          </cell>
          <cell r="N64" t="str">
            <v>35.00.000.5101.000000.0000.0000</v>
          </cell>
          <cell r="O64" t="str">
            <v>35.00.000.4010.000000.0000.0000</v>
          </cell>
          <cell r="P64" t="str">
            <v>Buy</v>
          </cell>
        </row>
        <row r="65">
          <cell r="A65" t="str">
            <v>200071-001</v>
          </cell>
          <cell r="B65" t="str">
            <v>Frozen</v>
          </cell>
          <cell r="D65" t="str">
            <v>*</v>
          </cell>
          <cell r="F65">
            <v>1</v>
          </cell>
          <cell r="G65">
            <v>0</v>
          </cell>
          <cell r="H65">
            <v>9.6003600000000002</v>
          </cell>
          <cell r="I65">
            <v>9.6003600000000002</v>
          </cell>
          <cell r="N65" t="str">
            <v>35.00.000.5101.000000.0000.0000</v>
          </cell>
          <cell r="O65" t="str">
            <v>35.00.000.4010.000000.0000.0000</v>
          </cell>
          <cell r="P65" t="str">
            <v>Buy</v>
          </cell>
        </row>
        <row r="66">
          <cell r="A66" t="str">
            <v>200072-001</v>
          </cell>
          <cell r="B66" t="str">
            <v>Frozen</v>
          </cell>
          <cell r="D66" t="str">
            <v>*</v>
          </cell>
          <cell r="F66">
            <v>1</v>
          </cell>
          <cell r="G66">
            <v>0</v>
          </cell>
          <cell r="H66">
            <v>9.6003600000000002</v>
          </cell>
          <cell r="I66">
            <v>9.6003600000000002</v>
          </cell>
          <cell r="N66" t="str">
            <v>35.00.000.5101.000000.0000.0000</v>
          </cell>
          <cell r="O66" t="str">
            <v>35.00.000.4010.000000.0000.0000</v>
          </cell>
          <cell r="P66" t="str">
            <v>Buy</v>
          </cell>
        </row>
        <row r="67">
          <cell r="A67" t="str">
            <v>200073-001</v>
          </cell>
          <cell r="B67" t="str">
            <v>Frozen</v>
          </cell>
          <cell r="D67" t="str">
            <v>*</v>
          </cell>
          <cell r="E67" t="str">
            <v>*</v>
          </cell>
          <cell r="F67">
            <v>1</v>
          </cell>
          <cell r="G67">
            <v>0</v>
          </cell>
          <cell r="H67">
            <v>23.119599999999998</v>
          </cell>
          <cell r="I67">
            <v>23.119599999999998</v>
          </cell>
          <cell r="N67" t="str">
            <v>35.00.000.5101.000000.0000.0000</v>
          </cell>
          <cell r="O67" t="str">
            <v>35.00.000.4010.000000.0000.0000</v>
          </cell>
          <cell r="P67" t="str">
            <v>Make</v>
          </cell>
        </row>
        <row r="68">
          <cell r="A68" t="str">
            <v>200074-001</v>
          </cell>
          <cell r="B68" t="str">
            <v>Frozen</v>
          </cell>
          <cell r="D68" t="str">
            <v>*</v>
          </cell>
          <cell r="E68" t="str">
            <v>*</v>
          </cell>
          <cell r="F68">
            <v>1</v>
          </cell>
          <cell r="G68">
            <v>0</v>
          </cell>
          <cell r="H68">
            <v>0</v>
          </cell>
          <cell r="N68" t="str">
            <v>35.00.000.5101.000000.0000.0000</v>
          </cell>
          <cell r="O68" t="str">
            <v>35.00.000.4010.000000.0000.0000</v>
          </cell>
          <cell r="P68" t="str">
            <v>Make</v>
          </cell>
        </row>
        <row r="69">
          <cell r="A69" t="str">
            <v>200075-001</v>
          </cell>
          <cell r="B69" t="str">
            <v>Frozen</v>
          </cell>
          <cell r="D69" t="str">
            <v>*</v>
          </cell>
          <cell r="E69" t="str">
            <v>*</v>
          </cell>
          <cell r="F69">
            <v>1</v>
          </cell>
          <cell r="G69">
            <v>0</v>
          </cell>
          <cell r="H69">
            <v>24.139779999999998</v>
          </cell>
          <cell r="I69">
            <v>24.139779999999998</v>
          </cell>
          <cell r="N69" t="str">
            <v>35.00.000.5101.000000.0000.0000</v>
          </cell>
          <cell r="O69" t="str">
            <v>35.00.000.4010.000000.0000.0000</v>
          </cell>
          <cell r="P69" t="str">
            <v>Make</v>
          </cell>
        </row>
        <row r="70">
          <cell r="A70" t="str">
            <v>200076-001</v>
          </cell>
          <cell r="B70" t="str">
            <v>Frozen</v>
          </cell>
          <cell r="D70" t="str">
            <v>*</v>
          </cell>
          <cell r="E70" t="str">
            <v>*</v>
          </cell>
          <cell r="F70">
            <v>1</v>
          </cell>
          <cell r="G70">
            <v>0</v>
          </cell>
          <cell r="H70">
            <v>0</v>
          </cell>
          <cell r="N70" t="str">
            <v>35.00.000.5101.000000.0000.0000</v>
          </cell>
          <cell r="O70" t="str">
            <v>35.00.000.4010.000000.0000.0000</v>
          </cell>
          <cell r="P70" t="str">
            <v>Make</v>
          </cell>
        </row>
        <row r="71">
          <cell r="A71" t="str">
            <v>200077-001</v>
          </cell>
          <cell r="B71" t="str">
            <v>Frozen</v>
          </cell>
          <cell r="D71" t="str">
            <v>*</v>
          </cell>
          <cell r="E71" t="str">
            <v>*</v>
          </cell>
          <cell r="F71">
            <v>1</v>
          </cell>
          <cell r="G71">
            <v>0</v>
          </cell>
          <cell r="H71">
            <v>58.07385</v>
          </cell>
          <cell r="I71">
            <v>58.07385</v>
          </cell>
          <cell r="N71" t="str">
            <v>35.00.000.5101.000000.0000.0000</v>
          </cell>
          <cell r="O71" t="str">
            <v>35.00.000.4010.000000.0000.0000</v>
          </cell>
          <cell r="P71" t="str">
            <v>Make</v>
          </cell>
        </row>
        <row r="72">
          <cell r="A72" t="str">
            <v>200077-002</v>
          </cell>
          <cell r="B72" t="str">
            <v>Frozen</v>
          </cell>
          <cell r="D72" t="str">
            <v>*</v>
          </cell>
          <cell r="E72" t="str">
            <v>*</v>
          </cell>
          <cell r="F72">
            <v>1</v>
          </cell>
          <cell r="G72">
            <v>0</v>
          </cell>
          <cell r="H72">
            <v>62.458930000000002</v>
          </cell>
          <cell r="I72">
            <v>62.458930000000002</v>
          </cell>
          <cell r="N72" t="str">
            <v>35.00.000.5102.000000.0000.0000</v>
          </cell>
          <cell r="O72" t="str">
            <v>35.00.000.4110.000000.0000.0000</v>
          </cell>
          <cell r="P72" t="str">
            <v>Make</v>
          </cell>
        </row>
        <row r="73">
          <cell r="A73" t="str">
            <v>200078-001</v>
          </cell>
          <cell r="B73" t="str">
            <v>Frozen</v>
          </cell>
          <cell r="D73" t="str">
            <v>*</v>
          </cell>
          <cell r="E73" t="str">
            <v>*</v>
          </cell>
          <cell r="F73">
            <v>1</v>
          </cell>
          <cell r="G73">
            <v>0</v>
          </cell>
          <cell r="H73">
            <v>64.252949999999998</v>
          </cell>
          <cell r="I73">
            <v>64.252949999999998</v>
          </cell>
          <cell r="N73" t="str">
            <v>35.00.000.5101.000000.0000.0000</v>
          </cell>
          <cell r="O73" t="str">
            <v>35.00.000.4010.000000.0000.0000</v>
          </cell>
          <cell r="P73" t="str">
            <v>Make</v>
          </cell>
        </row>
        <row r="74">
          <cell r="A74" t="str">
            <v>200079-001</v>
          </cell>
          <cell r="B74" t="str">
            <v>Frozen</v>
          </cell>
          <cell r="D74" t="str">
            <v>*</v>
          </cell>
          <cell r="E74" t="str">
            <v>*</v>
          </cell>
          <cell r="F74">
            <v>1</v>
          </cell>
          <cell r="G74">
            <v>0</v>
          </cell>
          <cell r="H74">
            <v>85.936000000000007</v>
          </cell>
          <cell r="I74">
            <v>85.936000000000007</v>
          </cell>
          <cell r="N74" t="str">
            <v>35.00.000.5101.000000.0000.0000</v>
          </cell>
          <cell r="O74" t="str">
            <v>35.00.000.4010.000000.0000.0000</v>
          </cell>
          <cell r="P74" t="str">
            <v>Make</v>
          </cell>
        </row>
        <row r="75">
          <cell r="A75" t="str">
            <v>200079-002</v>
          </cell>
          <cell r="B75" t="str">
            <v>Frozen</v>
          </cell>
          <cell r="D75" t="str">
            <v>*</v>
          </cell>
          <cell r="E75" t="str">
            <v>*</v>
          </cell>
          <cell r="F75">
            <v>1</v>
          </cell>
          <cell r="G75">
            <v>0</v>
          </cell>
          <cell r="H75">
            <v>90.320629999999994</v>
          </cell>
          <cell r="I75">
            <v>90.320629999999994</v>
          </cell>
          <cell r="N75" t="str">
            <v>35.00.000.5102.000000.0000.0000</v>
          </cell>
          <cell r="O75" t="str">
            <v>35.00.000.4110.000000.0000.0000</v>
          </cell>
          <cell r="P75" t="str">
            <v>Make</v>
          </cell>
        </row>
        <row r="76">
          <cell r="A76" t="str">
            <v>200080-001</v>
          </cell>
          <cell r="B76" t="str">
            <v>Frozen</v>
          </cell>
          <cell r="D76" t="str">
            <v>*</v>
          </cell>
          <cell r="F76">
            <v>1</v>
          </cell>
          <cell r="G76">
            <v>0</v>
          </cell>
          <cell r="H76">
            <v>0.03</v>
          </cell>
          <cell r="I76">
            <v>0.03</v>
          </cell>
          <cell r="N76" t="str">
            <v>35.00.000.5101.000000.0000.0000</v>
          </cell>
          <cell r="O76" t="str">
            <v>35.00.000.4010.000000.0000.0000</v>
          </cell>
          <cell r="P76" t="str">
            <v>Buy</v>
          </cell>
        </row>
        <row r="77">
          <cell r="A77" t="str">
            <v>200081-001</v>
          </cell>
          <cell r="B77" t="str">
            <v>Frozen</v>
          </cell>
          <cell r="D77" t="str">
            <v>*</v>
          </cell>
          <cell r="E77" t="str">
            <v>*</v>
          </cell>
          <cell r="F77">
            <v>1</v>
          </cell>
          <cell r="G77">
            <v>0</v>
          </cell>
          <cell r="H77">
            <v>90.279079999999993</v>
          </cell>
          <cell r="I77">
            <v>90.279079999999993</v>
          </cell>
          <cell r="N77" t="str">
            <v>35.00.000.5101.000000.0000.0000</v>
          </cell>
          <cell r="O77" t="str">
            <v>35.00.000.4010.000000.0000.0000</v>
          </cell>
          <cell r="P77" t="str">
            <v>Make</v>
          </cell>
        </row>
        <row r="78">
          <cell r="A78" t="str">
            <v>200082-001</v>
          </cell>
          <cell r="B78" t="str">
            <v>Frozen</v>
          </cell>
          <cell r="D78" t="str">
            <v>*</v>
          </cell>
          <cell r="E78" t="str">
            <v>*</v>
          </cell>
          <cell r="F78">
            <v>1</v>
          </cell>
          <cell r="G78">
            <v>0</v>
          </cell>
          <cell r="H78">
            <v>90.746039999999994</v>
          </cell>
          <cell r="I78">
            <v>90.746039999999994</v>
          </cell>
          <cell r="N78" t="str">
            <v>35.00.000.5101.000000.0000.0000</v>
          </cell>
          <cell r="O78" t="str">
            <v>35.00.000.4010.000000.0000.0000</v>
          </cell>
          <cell r="P78" t="str">
            <v>Make</v>
          </cell>
        </row>
        <row r="79">
          <cell r="A79" t="str">
            <v>200083-001</v>
          </cell>
          <cell r="B79" t="str">
            <v>Frozen</v>
          </cell>
          <cell r="D79" t="str">
            <v>*</v>
          </cell>
          <cell r="E79" t="str">
            <v>*</v>
          </cell>
          <cell r="F79">
            <v>1</v>
          </cell>
          <cell r="G79">
            <v>0</v>
          </cell>
          <cell r="H79">
            <v>28.473780000000001</v>
          </cell>
          <cell r="I79">
            <v>28.473780000000001</v>
          </cell>
          <cell r="N79" t="str">
            <v>35.00.000.5101.000000.0000.0000</v>
          </cell>
          <cell r="O79" t="str">
            <v>35.00.000.4010.000000.0000.0000</v>
          </cell>
          <cell r="P79" t="str">
            <v>Make</v>
          </cell>
        </row>
        <row r="80">
          <cell r="A80" t="str">
            <v>200084-001</v>
          </cell>
          <cell r="B80" t="str">
            <v>Frozen</v>
          </cell>
          <cell r="D80" t="str">
            <v>*</v>
          </cell>
          <cell r="E80" t="str">
            <v>*</v>
          </cell>
          <cell r="F80">
            <v>1</v>
          </cell>
          <cell r="G80">
            <v>0</v>
          </cell>
          <cell r="H80">
            <v>19.072150000000001</v>
          </cell>
          <cell r="I80">
            <v>19.072150000000001</v>
          </cell>
          <cell r="N80" t="str">
            <v>35.00.000.5101.000000.0000.0000</v>
          </cell>
          <cell r="O80" t="str">
            <v>35.00.000.4010.000000.0000.0000</v>
          </cell>
          <cell r="P80" t="str">
            <v>Make</v>
          </cell>
        </row>
        <row r="81">
          <cell r="A81" t="str">
            <v>200085-001</v>
          </cell>
          <cell r="B81" t="str">
            <v>Frozen</v>
          </cell>
          <cell r="D81" t="str">
            <v>*</v>
          </cell>
          <cell r="E81" t="str">
            <v>*</v>
          </cell>
          <cell r="F81">
            <v>1</v>
          </cell>
          <cell r="G81">
            <v>0</v>
          </cell>
          <cell r="H81">
            <v>29.493960000000001</v>
          </cell>
          <cell r="I81">
            <v>29.493960000000001</v>
          </cell>
          <cell r="N81" t="str">
            <v>35.00.000.5101.000000.0000.0000</v>
          </cell>
          <cell r="O81" t="str">
            <v>35.00.000.4010.000000.0000.0000</v>
          </cell>
          <cell r="P81" t="str">
            <v>Make</v>
          </cell>
        </row>
        <row r="82">
          <cell r="A82" t="str">
            <v>200086-001</v>
          </cell>
          <cell r="B82" t="str">
            <v>Frozen</v>
          </cell>
          <cell r="D82" t="str">
            <v>*</v>
          </cell>
          <cell r="E82" t="str">
            <v>*</v>
          </cell>
          <cell r="F82">
            <v>1</v>
          </cell>
          <cell r="G82">
            <v>0</v>
          </cell>
          <cell r="H82">
            <v>20.71575</v>
          </cell>
          <cell r="I82">
            <v>20.71575</v>
          </cell>
          <cell r="N82" t="str">
            <v>35.00.000.5101.000000.0000.0000</v>
          </cell>
          <cell r="O82" t="str">
            <v>35.00.000.4010.000000.0000.0000</v>
          </cell>
          <cell r="P82" t="str">
            <v>Make</v>
          </cell>
        </row>
        <row r="83">
          <cell r="A83" t="str">
            <v>200087-001</v>
          </cell>
          <cell r="B83" t="str">
            <v>Frozen</v>
          </cell>
          <cell r="D83" t="str">
            <v>*</v>
          </cell>
          <cell r="E83" t="str">
            <v>*</v>
          </cell>
          <cell r="F83">
            <v>1</v>
          </cell>
          <cell r="G83">
            <v>0</v>
          </cell>
          <cell r="H83">
            <v>66.528030000000001</v>
          </cell>
          <cell r="I83">
            <v>66.528030000000001</v>
          </cell>
          <cell r="N83" t="str">
            <v>35.00.000.5101.000000.0000.0000</v>
          </cell>
          <cell r="O83" t="str">
            <v>35.00.000.4010.000000.0000.0000</v>
          </cell>
          <cell r="P83" t="str">
            <v>Make</v>
          </cell>
        </row>
        <row r="84">
          <cell r="A84" t="str">
            <v>200088-001</v>
          </cell>
          <cell r="B84" t="str">
            <v>Frozen</v>
          </cell>
          <cell r="D84" t="str">
            <v>*</v>
          </cell>
          <cell r="E84" t="str">
            <v>*</v>
          </cell>
          <cell r="F84">
            <v>1</v>
          </cell>
          <cell r="G84">
            <v>0</v>
          </cell>
          <cell r="H84">
            <v>72.707130000000006</v>
          </cell>
          <cell r="I84">
            <v>72.707130000000006</v>
          </cell>
          <cell r="N84" t="str">
            <v>35.00.000.5101.000000.0000.0000</v>
          </cell>
          <cell r="O84" t="str">
            <v>35.00.000.4010.000000.0000.0000</v>
          </cell>
          <cell r="P84" t="str">
            <v>Make</v>
          </cell>
        </row>
        <row r="85">
          <cell r="A85" t="str">
            <v>200089-001</v>
          </cell>
          <cell r="B85" t="str">
            <v>Frozen</v>
          </cell>
          <cell r="D85" t="str">
            <v>*</v>
          </cell>
          <cell r="E85" t="str">
            <v>*</v>
          </cell>
          <cell r="F85">
            <v>1</v>
          </cell>
          <cell r="G85">
            <v>0</v>
          </cell>
          <cell r="H85">
            <v>94.615350000000007</v>
          </cell>
          <cell r="I85">
            <v>94.615350000000007</v>
          </cell>
          <cell r="N85" t="str">
            <v>35.00.000.5101.000000.0000.0000</v>
          </cell>
          <cell r="O85" t="str">
            <v>35.00.000.4010.000000.0000.0000</v>
          </cell>
          <cell r="P85" t="str">
            <v>Make</v>
          </cell>
        </row>
        <row r="86">
          <cell r="A86" t="str">
            <v>200090-001</v>
          </cell>
          <cell r="B86" t="str">
            <v>Frozen</v>
          </cell>
          <cell r="D86" t="str">
            <v>*</v>
          </cell>
          <cell r="E86" t="str">
            <v>*</v>
          </cell>
          <cell r="F86">
            <v>1</v>
          </cell>
          <cell r="G86">
            <v>0</v>
          </cell>
          <cell r="H86">
            <v>100.98812</v>
          </cell>
          <cell r="I86">
            <v>100.98812</v>
          </cell>
          <cell r="N86" t="str">
            <v>35.00.000.5101.000000.0000.0000</v>
          </cell>
          <cell r="O86" t="str">
            <v>35.00.000.4010.000000.0000.0000</v>
          </cell>
          <cell r="P86" t="str">
            <v>Make</v>
          </cell>
        </row>
        <row r="87">
          <cell r="A87" t="str">
            <v>200091-001</v>
          </cell>
          <cell r="B87" t="str">
            <v>Frozen</v>
          </cell>
          <cell r="D87" t="str">
            <v>*</v>
          </cell>
          <cell r="E87" t="str">
            <v>*</v>
          </cell>
          <cell r="F87">
            <v>1</v>
          </cell>
          <cell r="G87">
            <v>0</v>
          </cell>
          <cell r="H87">
            <v>101.45508</v>
          </cell>
          <cell r="I87">
            <v>101.45508</v>
          </cell>
          <cell r="N87" t="str">
            <v>35.00.000.5101.000000.0000.0000</v>
          </cell>
          <cell r="O87" t="str">
            <v>35.00.000.4010.000000.0000.0000</v>
          </cell>
          <cell r="P87" t="str">
            <v>Make</v>
          </cell>
        </row>
        <row r="88">
          <cell r="A88" t="str">
            <v>200093-001</v>
          </cell>
          <cell r="B88" t="str">
            <v>Frozen</v>
          </cell>
          <cell r="D88" t="str">
            <v>*</v>
          </cell>
          <cell r="E88" t="str">
            <v>*</v>
          </cell>
          <cell r="F88">
            <v>1</v>
          </cell>
          <cell r="G88">
            <v>0</v>
          </cell>
          <cell r="H88">
            <v>0</v>
          </cell>
          <cell r="N88" t="str">
            <v>35.00.000.5101.000000.0000.0000</v>
          </cell>
          <cell r="O88" t="str">
            <v>35.00.000.4010.000000.0000.0000</v>
          </cell>
          <cell r="P88" t="str">
            <v>Make</v>
          </cell>
        </row>
        <row r="89">
          <cell r="A89" t="str">
            <v>200094-001</v>
          </cell>
          <cell r="B89" t="str">
            <v>Frozen</v>
          </cell>
          <cell r="D89" t="str">
            <v>*</v>
          </cell>
          <cell r="E89" t="str">
            <v>*</v>
          </cell>
          <cell r="F89">
            <v>1</v>
          </cell>
          <cell r="G89">
            <v>0</v>
          </cell>
          <cell r="H89">
            <v>0</v>
          </cell>
          <cell r="N89" t="str">
            <v>35.00.000.5101.000000.0000.0000</v>
          </cell>
          <cell r="O89" t="str">
            <v>35.00.000.4010.000000.0000.0000</v>
          </cell>
          <cell r="P89" t="str">
            <v>Make</v>
          </cell>
        </row>
        <row r="90">
          <cell r="A90" t="str">
            <v>200095-001</v>
          </cell>
          <cell r="B90" t="str">
            <v>Frozen</v>
          </cell>
          <cell r="D90" t="str">
            <v>*</v>
          </cell>
          <cell r="E90" t="str">
            <v>*</v>
          </cell>
          <cell r="F90">
            <v>1</v>
          </cell>
          <cell r="G90">
            <v>0</v>
          </cell>
          <cell r="H90">
            <v>0</v>
          </cell>
          <cell r="N90" t="str">
            <v>35.00.000.5101.000000.0000.0000</v>
          </cell>
          <cell r="O90" t="str">
            <v>35.00.000.4010.000000.0000.0000</v>
          </cell>
          <cell r="P90" t="str">
            <v>Make</v>
          </cell>
        </row>
        <row r="91">
          <cell r="A91" t="str">
            <v>200096-001</v>
          </cell>
          <cell r="B91" t="str">
            <v>Frozen</v>
          </cell>
          <cell r="D91" t="str">
            <v>*</v>
          </cell>
          <cell r="E91" t="str">
            <v>*</v>
          </cell>
          <cell r="F91">
            <v>1</v>
          </cell>
          <cell r="G91">
            <v>0</v>
          </cell>
          <cell r="H91">
            <v>0</v>
          </cell>
          <cell r="N91" t="str">
            <v>35.00.000.5101.000000.0000.0000</v>
          </cell>
          <cell r="O91" t="str">
            <v>35.00.000.4010.000000.0000.0000</v>
          </cell>
          <cell r="P91" t="str">
            <v>Make</v>
          </cell>
        </row>
        <row r="92">
          <cell r="A92" t="str">
            <v>200097-001</v>
          </cell>
          <cell r="B92" t="str">
            <v>Frozen</v>
          </cell>
          <cell r="D92" t="str">
            <v>*</v>
          </cell>
          <cell r="E92" t="str">
            <v>*</v>
          </cell>
          <cell r="F92">
            <v>1</v>
          </cell>
          <cell r="G92">
            <v>0</v>
          </cell>
          <cell r="H92">
            <v>0</v>
          </cell>
          <cell r="N92" t="str">
            <v>35.00.000.5101.000000.0000.0000</v>
          </cell>
          <cell r="O92" t="str">
            <v>35.00.000.4010.000000.0000.0000</v>
          </cell>
          <cell r="P92" t="str">
            <v>Make</v>
          </cell>
        </row>
        <row r="93">
          <cell r="A93" t="str">
            <v>200097-002</v>
          </cell>
          <cell r="B93" t="str">
            <v>Frozen</v>
          </cell>
          <cell r="D93" t="str">
            <v>*</v>
          </cell>
          <cell r="E93" t="str">
            <v>*</v>
          </cell>
          <cell r="F93">
            <v>1</v>
          </cell>
          <cell r="G93">
            <v>0</v>
          </cell>
          <cell r="H93">
            <v>0</v>
          </cell>
          <cell r="N93" t="str">
            <v>35.00.000.5101.000000.0000.0000</v>
          </cell>
          <cell r="O93" t="str">
            <v>35.00.000.4010.000000.0000.0000</v>
          </cell>
          <cell r="P93" t="str">
            <v>Make</v>
          </cell>
        </row>
        <row r="94">
          <cell r="A94" t="str">
            <v>200098-001</v>
          </cell>
          <cell r="B94" t="str">
            <v>Frozen</v>
          </cell>
          <cell r="D94" t="str">
            <v>*</v>
          </cell>
          <cell r="E94" t="str">
            <v>*</v>
          </cell>
          <cell r="F94">
            <v>1</v>
          </cell>
          <cell r="G94">
            <v>0</v>
          </cell>
          <cell r="H94">
            <v>0</v>
          </cell>
          <cell r="N94" t="str">
            <v>35.00.000.5101.000000.0000.0000</v>
          </cell>
          <cell r="O94" t="str">
            <v>35.00.000.4010.000000.0000.0000</v>
          </cell>
          <cell r="P94" t="str">
            <v>Make</v>
          </cell>
        </row>
        <row r="95">
          <cell r="A95" t="str">
            <v>200099-001</v>
          </cell>
          <cell r="B95" t="str">
            <v>Frozen</v>
          </cell>
          <cell r="D95" t="str">
            <v>*</v>
          </cell>
          <cell r="F95">
            <v>1</v>
          </cell>
          <cell r="G95">
            <v>0</v>
          </cell>
          <cell r="H95">
            <v>2.8000000000000001E-2</v>
          </cell>
          <cell r="I95">
            <v>2.8000000000000001E-2</v>
          </cell>
          <cell r="N95" t="str">
            <v>35.00.000.5101.000000.0000.0000</v>
          </cell>
          <cell r="O95" t="str">
            <v>35.00.000.4010.000000.0000.0000</v>
          </cell>
          <cell r="P95" t="str">
            <v>Buy</v>
          </cell>
        </row>
        <row r="96">
          <cell r="A96" t="str">
            <v>200100-001</v>
          </cell>
          <cell r="B96" t="str">
            <v>Frozen</v>
          </cell>
          <cell r="D96" t="str">
            <v>*</v>
          </cell>
          <cell r="F96">
            <v>1</v>
          </cell>
          <cell r="G96">
            <v>0</v>
          </cell>
          <cell r="H96">
            <v>2.8000000000000001E-2</v>
          </cell>
          <cell r="I96">
            <v>2.8000000000000001E-2</v>
          </cell>
          <cell r="N96" t="str">
            <v>35.00.000.5101.000000.0000.0000</v>
          </cell>
          <cell r="O96" t="str">
            <v>35.00.000.4010.000000.0000.0000</v>
          </cell>
          <cell r="P96" t="str">
            <v>Buy</v>
          </cell>
        </row>
        <row r="97">
          <cell r="A97" t="str">
            <v>200101-001</v>
          </cell>
          <cell r="B97" t="str">
            <v>Frozen</v>
          </cell>
          <cell r="D97" t="str">
            <v>*</v>
          </cell>
          <cell r="F97">
            <v>1</v>
          </cell>
          <cell r="G97">
            <v>0</v>
          </cell>
          <cell r="H97">
            <v>0.32727000000000001</v>
          </cell>
          <cell r="I97">
            <v>0.32727000000000001</v>
          </cell>
          <cell r="N97" t="str">
            <v>35.00.000.5101.000000.0000.0000</v>
          </cell>
          <cell r="O97" t="str">
            <v>35.00.000.4010.000000.0000.0000</v>
          </cell>
          <cell r="P97" t="str">
            <v>Buy</v>
          </cell>
        </row>
        <row r="98">
          <cell r="A98" t="str">
            <v>200106-001</v>
          </cell>
          <cell r="B98" t="str">
            <v>Frozen</v>
          </cell>
          <cell r="D98" t="str">
            <v>*</v>
          </cell>
          <cell r="E98" t="str">
            <v>*</v>
          </cell>
          <cell r="F98">
            <v>1</v>
          </cell>
          <cell r="G98">
            <v>0</v>
          </cell>
          <cell r="H98">
            <v>18.070399999999999</v>
          </cell>
          <cell r="I98">
            <v>18.070399999999999</v>
          </cell>
          <cell r="N98" t="str">
            <v>35.00.000.5102.000000.0000.0000</v>
          </cell>
          <cell r="O98" t="str">
            <v>35.00.000.4110.000000.0000.0000</v>
          </cell>
          <cell r="P98" t="str">
            <v>Make</v>
          </cell>
        </row>
        <row r="99">
          <cell r="A99" t="str">
            <v>200106-002</v>
          </cell>
          <cell r="B99" t="str">
            <v>Frozen</v>
          </cell>
          <cell r="D99" t="str">
            <v>*</v>
          </cell>
          <cell r="E99" t="str">
            <v>*</v>
          </cell>
          <cell r="F99">
            <v>1</v>
          </cell>
          <cell r="G99">
            <v>0</v>
          </cell>
          <cell r="H99">
            <v>17.972829999999998</v>
          </cell>
          <cell r="I99">
            <v>17.972829999999998</v>
          </cell>
          <cell r="N99" t="str">
            <v>35.00.000.5102.000000.0000.0000</v>
          </cell>
          <cell r="O99" t="str">
            <v>35.00.000.4110.000000.0000.0000</v>
          </cell>
          <cell r="P99" t="str">
            <v>Make</v>
          </cell>
        </row>
        <row r="100">
          <cell r="A100" t="str">
            <v>200107-001</v>
          </cell>
          <cell r="B100" t="str">
            <v>Frozen</v>
          </cell>
          <cell r="D100" t="str">
            <v>*</v>
          </cell>
          <cell r="E100" t="str">
            <v>*</v>
          </cell>
          <cell r="F100">
            <v>1</v>
          </cell>
          <cell r="G100">
            <v>0</v>
          </cell>
          <cell r="H100">
            <v>21.88119</v>
          </cell>
          <cell r="I100">
            <v>21.88119</v>
          </cell>
          <cell r="N100" t="str">
            <v>35.00.000.5102.000000.0000.0000</v>
          </cell>
          <cell r="O100" t="str">
            <v>35.00.000.4110.000000.0000.0000</v>
          </cell>
          <cell r="P100" t="str">
            <v>Make</v>
          </cell>
        </row>
        <row r="101">
          <cell r="A101" t="str">
            <v>200107-002</v>
          </cell>
          <cell r="B101" t="str">
            <v>Frozen</v>
          </cell>
          <cell r="D101" t="str">
            <v>*</v>
          </cell>
          <cell r="E101" t="str">
            <v>*</v>
          </cell>
          <cell r="F101">
            <v>1</v>
          </cell>
          <cell r="G101">
            <v>0</v>
          </cell>
          <cell r="H101">
            <v>22.113620000000001</v>
          </cell>
          <cell r="I101">
            <v>22.113620000000001</v>
          </cell>
          <cell r="N101" t="str">
            <v>35.00.000.5102.000000.0000.0000</v>
          </cell>
          <cell r="O101" t="str">
            <v>35.00.000.4110.000000.0000.0000</v>
          </cell>
          <cell r="P101" t="str">
            <v>Make</v>
          </cell>
        </row>
        <row r="102">
          <cell r="A102" t="str">
            <v>200108-001</v>
          </cell>
          <cell r="B102" t="str">
            <v>Frozen</v>
          </cell>
          <cell r="D102" t="str">
            <v>*</v>
          </cell>
          <cell r="E102" t="str">
            <v>*</v>
          </cell>
          <cell r="F102">
            <v>1</v>
          </cell>
          <cell r="G102">
            <v>0</v>
          </cell>
          <cell r="H102">
            <v>0</v>
          </cell>
          <cell r="N102" t="str">
            <v>35.00.000.5102.000000.0000.0000</v>
          </cell>
          <cell r="O102" t="str">
            <v>35.00.000.4110.000000.0000.0000</v>
          </cell>
          <cell r="P102" t="str">
            <v>Make</v>
          </cell>
        </row>
        <row r="103">
          <cell r="A103" t="str">
            <v>200108-002</v>
          </cell>
          <cell r="B103" t="str">
            <v>Frozen</v>
          </cell>
          <cell r="D103" t="str">
            <v>*</v>
          </cell>
          <cell r="E103" t="str">
            <v>*</v>
          </cell>
          <cell r="F103">
            <v>1</v>
          </cell>
          <cell r="G103">
            <v>0</v>
          </cell>
          <cell r="H103">
            <v>0</v>
          </cell>
          <cell r="N103" t="str">
            <v>35.00.000.5102.000000.0000.0000</v>
          </cell>
          <cell r="O103" t="str">
            <v>35.00.000.4110.000000.0000.0000</v>
          </cell>
          <cell r="P103" t="str">
            <v>Make</v>
          </cell>
        </row>
        <row r="104">
          <cell r="A104" t="str">
            <v>200109-001</v>
          </cell>
          <cell r="B104" t="str">
            <v>Frozen</v>
          </cell>
          <cell r="D104" t="str">
            <v>*</v>
          </cell>
          <cell r="E104" t="str">
            <v>*</v>
          </cell>
          <cell r="F104">
            <v>1</v>
          </cell>
          <cell r="G104">
            <v>0</v>
          </cell>
          <cell r="H104">
            <v>0</v>
          </cell>
          <cell r="N104" t="str">
            <v>35.00.000.5102.000000.0000.0000</v>
          </cell>
          <cell r="O104" t="str">
            <v>35.00.000.4110.000000.0000.0000</v>
          </cell>
          <cell r="P104" t="str">
            <v>Make</v>
          </cell>
        </row>
        <row r="105">
          <cell r="A105" t="str">
            <v>200109-002</v>
          </cell>
          <cell r="B105" t="str">
            <v>Frozen</v>
          </cell>
          <cell r="D105" t="str">
            <v>*</v>
          </cell>
          <cell r="E105" t="str">
            <v>*</v>
          </cell>
          <cell r="F105">
            <v>1</v>
          </cell>
          <cell r="G105">
            <v>0</v>
          </cell>
          <cell r="H105">
            <v>0</v>
          </cell>
          <cell r="N105" t="str">
            <v>35.00.000.5102.000000.0000.0000</v>
          </cell>
          <cell r="O105" t="str">
            <v>35.00.000.4110.000000.0000.0000</v>
          </cell>
          <cell r="P105" t="str">
            <v>Make</v>
          </cell>
        </row>
        <row r="106">
          <cell r="A106" t="str">
            <v>200112-001</v>
          </cell>
          <cell r="B106" t="str">
            <v>Frozen</v>
          </cell>
          <cell r="D106" t="str">
            <v>*</v>
          </cell>
          <cell r="E106" t="str">
            <v>*</v>
          </cell>
          <cell r="F106">
            <v>1</v>
          </cell>
          <cell r="G106">
            <v>0</v>
          </cell>
          <cell r="H106">
            <v>0</v>
          </cell>
          <cell r="N106" t="str">
            <v>35.00.000.5102.000000.0000.0000</v>
          </cell>
          <cell r="O106" t="str">
            <v>35.00.000.4110.000000.0000.0000</v>
          </cell>
          <cell r="P106" t="str">
            <v>Make</v>
          </cell>
        </row>
        <row r="107">
          <cell r="A107" t="str">
            <v>200113-001</v>
          </cell>
          <cell r="B107" t="str">
            <v>Frozen</v>
          </cell>
          <cell r="D107" t="str">
            <v>*</v>
          </cell>
          <cell r="E107" t="str">
            <v>*</v>
          </cell>
          <cell r="F107">
            <v>1</v>
          </cell>
          <cell r="G107">
            <v>0</v>
          </cell>
          <cell r="H107">
            <v>0</v>
          </cell>
          <cell r="N107" t="str">
            <v>35.00.000.5102.000000.0000.0000</v>
          </cell>
          <cell r="O107" t="str">
            <v>35.00.000.4110.000000.0000.0000</v>
          </cell>
          <cell r="P107" t="str">
            <v>Make</v>
          </cell>
        </row>
        <row r="108">
          <cell r="A108" t="str">
            <v>200114-001</v>
          </cell>
          <cell r="B108" t="str">
            <v>Frozen</v>
          </cell>
          <cell r="D108" t="str">
            <v>*</v>
          </cell>
          <cell r="E108" t="str">
            <v>*</v>
          </cell>
          <cell r="F108">
            <v>1</v>
          </cell>
          <cell r="G108">
            <v>0</v>
          </cell>
          <cell r="H108">
            <v>0</v>
          </cell>
          <cell r="N108" t="str">
            <v>35.00.000.5102.000000.0000.0000</v>
          </cell>
          <cell r="O108" t="str">
            <v>35.00.000.4110.000000.0000.0000</v>
          </cell>
          <cell r="P108" t="str">
            <v>Make</v>
          </cell>
        </row>
        <row r="109">
          <cell r="A109" t="str">
            <v>200115-001</v>
          </cell>
          <cell r="B109" t="str">
            <v>Frozen</v>
          </cell>
          <cell r="D109" t="str">
            <v>*</v>
          </cell>
          <cell r="E109" t="str">
            <v>*</v>
          </cell>
          <cell r="F109">
            <v>1</v>
          </cell>
          <cell r="G109">
            <v>0</v>
          </cell>
          <cell r="H109">
            <v>0</v>
          </cell>
          <cell r="N109" t="str">
            <v>35.00.000.5102.000000.0000.0000</v>
          </cell>
          <cell r="O109" t="str">
            <v>35.00.000.4110.000000.0000.0000</v>
          </cell>
          <cell r="P109" t="str">
            <v>Make</v>
          </cell>
        </row>
        <row r="110">
          <cell r="A110" t="str">
            <v>200116-001</v>
          </cell>
          <cell r="B110" t="str">
            <v>Frozen</v>
          </cell>
          <cell r="D110" t="str">
            <v>*</v>
          </cell>
          <cell r="E110" t="str">
            <v>*</v>
          </cell>
          <cell r="F110">
            <v>1</v>
          </cell>
          <cell r="G110">
            <v>0</v>
          </cell>
          <cell r="H110">
            <v>63.599119999999999</v>
          </cell>
          <cell r="I110">
            <v>63.599119999999999</v>
          </cell>
          <cell r="N110" t="str">
            <v>35.00.000.5102.000000.0000.0000</v>
          </cell>
          <cell r="O110" t="str">
            <v>35.00.000.4110.000000.0000.0000</v>
          </cell>
          <cell r="P110" t="str">
            <v>Make</v>
          </cell>
        </row>
        <row r="111">
          <cell r="A111" t="str">
            <v>200117-001</v>
          </cell>
          <cell r="B111" t="str">
            <v>Frozen</v>
          </cell>
          <cell r="D111" t="str">
            <v>*</v>
          </cell>
          <cell r="E111" t="str">
            <v>*</v>
          </cell>
          <cell r="F111">
            <v>1</v>
          </cell>
          <cell r="G111">
            <v>0</v>
          </cell>
          <cell r="H111">
            <v>0</v>
          </cell>
          <cell r="N111" t="str">
            <v>35.00.000.5102.000000.0000.0000</v>
          </cell>
          <cell r="O111" t="str">
            <v>35.00.000.4110.000000.0000.0000</v>
          </cell>
          <cell r="P111" t="str">
            <v>Make</v>
          </cell>
        </row>
        <row r="112">
          <cell r="A112" t="str">
            <v>200118-001</v>
          </cell>
          <cell r="B112" t="str">
            <v>Frozen</v>
          </cell>
          <cell r="D112" t="str">
            <v>*</v>
          </cell>
          <cell r="E112" t="str">
            <v>*</v>
          </cell>
          <cell r="F112">
            <v>1</v>
          </cell>
          <cell r="G112">
            <v>0</v>
          </cell>
          <cell r="H112">
            <v>91.687340000000006</v>
          </cell>
          <cell r="I112">
            <v>91.687340000000006</v>
          </cell>
          <cell r="N112" t="str">
            <v>35.00.000.5102.000000.0000.0000</v>
          </cell>
          <cell r="O112" t="str">
            <v>35.00.000.4110.000000.0000.0000</v>
          </cell>
          <cell r="P112" t="str">
            <v>Make</v>
          </cell>
        </row>
        <row r="113">
          <cell r="A113" t="str">
            <v>200119-001</v>
          </cell>
          <cell r="B113" t="str">
            <v>Frozen</v>
          </cell>
          <cell r="D113" t="str">
            <v>*</v>
          </cell>
          <cell r="E113" t="str">
            <v>*</v>
          </cell>
          <cell r="F113">
            <v>1</v>
          </cell>
          <cell r="G113">
            <v>0</v>
          </cell>
          <cell r="H113">
            <v>0</v>
          </cell>
          <cell r="N113" t="str">
            <v>35.00.000.5102.000000.0000.0000</v>
          </cell>
          <cell r="O113" t="str">
            <v>35.00.000.4110.000000.0000.0000</v>
          </cell>
          <cell r="P113" t="str">
            <v>Make</v>
          </cell>
        </row>
        <row r="114">
          <cell r="A114" t="str">
            <v>200120-001</v>
          </cell>
          <cell r="B114" t="str">
            <v>Frozen</v>
          </cell>
          <cell r="D114" t="str">
            <v>*</v>
          </cell>
          <cell r="E114" t="str">
            <v>*</v>
          </cell>
          <cell r="F114">
            <v>1</v>
          </cell>
          <cell r="G114">
            <v>0</v>
          </cell>
          <cell r="H114">
            <v>0</v>
          </cell>
          <cell r="N114" t="str">
            <v>35.00.000.5102.000000.0000.0000</v>
          </cell>
          <cell r="O114" t="str">
            <v>35.00.000.4110.000000.0000.0000</v>
          </cell>
          <cell r="P114" t="str">
            <v>Make</v>
          </cell>
        </row>
        <row r="115">
          <cell r="A115" t="str">
            <v>200121-001</v>
          </cell>
          <cell r="B115" t="str">
            <v>Frozen</v>
          </cell>
          <cell r="D115" t="str">
            <v>*</v>
          </cell>
          <cell r="F115">
            <v>1</v>
          </cell>
          <cell r="G115">
            <v>0</v>
          </cell>
          <cell r="H115">
            <v>2.8000000000000001E-2</v>
          </cell>
          <cell r="I115">
            <v>2.8000000000000001E-2</v>
          </cell>
          <cell r="N115" t="str">
            <v>35.00.000.5102.000000.0000.0000</v>
          </cell>
          <cell r="O115" t="str">
            <v>35.00.000.4110.000000.0000.0000</v>
          </cell>
          <cell r="P115" t="str">
            <v>Buy</v>
          </cell>
        </row>
        <row r="116">
          <cell r="A116" t="str">
            <v>200122-001</v>
          </cell>
          <cell r="B116" t="str">
            <v>Frozen</v>
          </cell>
          <cell r="D116" t="str">
            <v>*</v>
          </cell>
          <cell r="F116">
            <v>1</v>
          </cell>
          <cell r="G116">
            <v>0</v>
          </cell>
          <cell r="H116">
            <v>2.74925</v>
          </cell>
          <cell r="I116">
            <v>2.74925</v>
          </cell>
          <cell r="N116" t="str">
            <v>35.00.000.5102.000000.0000.0000</v>
          </cell>
          <cell r="O116" t="str">
            <v>35.00.000.4110.000000.0000.0000</v>
          </cell>
          <cell r="P116" t="str">
            <v>Buy</v>
          </cell>
        </row>
        <row r="117">
          <cell r="A117" t="str">
            <v>200124-001</v>
          </cell>
          <cell r="B117" t="str">
            <v>Frozen</v>
          </cell>
          <cell r="D117" t="str">
            <v>*</v>
          </cell>
          <cell r="F117">
            <v>1</v>
          </cell>
          <cell r="G117">
            <v>0</v>
          </cell>
          <cell r="H117">
            <v>11.782500000000001</v>
          </cell>
          <cell r="I117">
            <v>11.782500000000001</v>
          </cell>
          <cell r="N117" t="str">
            <v>35.00.000.5102.000000.0000.0000</v>
          </cell>
          <cell r="O117" t="str">
            <v>35.00.000.4110.000000.0000.0000</v>
          </cell>
          <cell r="P117" t="str">
            <v>Buy</v>
          </cell>
        </row>
        <row r="118">
          <cell r="A118" t="str">
            <v>200125-001</v>
          </cell>
          <cell r="B118" t="str">
            <v>Frozen</v>
          </cell>
          <cell r="D118" t="str">
            <v>*</v>
          </cell>
          <cell r="F118">
            <v>1</v>
          </cell>
          <cell r="G118">
            <v>0</v>
          </cell>
          <cell r="H118">
            <v>11.782500000000001</v>
          </cell>
          <cell r="I118">
            <v>11.782500000000001</v>
          </cell>
          <cell r="N118" t="str">
            <v>35.00.000.5102.000000.0000.0000</v>
          </cell>
          <cell r="O118" t="str">
            <v>35.00.000.4110.000000.0000.0000</v>
          </cell>
          <cell r="P118" t="str">
            <v>Buy</v>
          </cell>
        </row>
        <row r="119">
          <cell r="A119" t="str">
            <v>200128-001</v>
          </cell>
          <cell r="B119" t="str">
            <v>Frozen</v>
          </cell>
          <cell r="D119" t="str">
            <v>*</v>
          </cell>
          <cell r="F119">
            <v>1</v>
          </cell>
          <cell r="G119">
            <v>0</v>
          </cell>
          <cell r="H119">
            <v>0.15709999999999999</v>
          </cell>
          <cell r="I119">
            <v>0.15709999999999999</v>
          </cell>
          <cell r="N119" t="str">
            <v>35.00.000.5102.000000.0000.0000</v>
          </cell>
          <cell r="O119" t="str">
            <v>35.00.000.4110.000000.0000.0000</v>
          </cell>
          <cell r="P119" t="str">
            <v>Buy</v>
          </cell>
        </row>
        <row r="120">
          <cell r="A120" t="str">
            <v>200129-001</v>
          </cell>
          <cell r="B120" t="str">
            <v>Frozen</v>
          </cell>
          <cell r="D120" t="str">
            <v>*</v>
          </cell>
          <cell r="F120">
            <v>1</v>
          </cell>
          <cell r="G120">
            <v>0</v>
          </cell>
          <cell r="H120">
            <v>2.25</v>
          </cell>
          <cell r="I120">
            <v>2.25</v>
          </cell>
          <cell r="N120" t="str">
            <v>35.00.000.5102.000000.0000.0000</v>
          </cell>
          <cell r="O120" t="str">
            <v>35.00.000.4110.000000.0000.0000</v>
          </cell>
          <cell r="P120" t="str">
            <v>Buy</v>
          </cell>
        </row>
        <row r="121">
          <cell r="A121" t="str">
            <v>200131-001</v>
          </cell>
          <cell r="B121" t="str">
            <v>Frozen</v>
          </cell>
          <cell r="D121" t="str">
            <v>*</v>
          </cell>
          <cell r="F121">
            <v>1</v>
          </cell>
          <cell r="G121">
            <v>0</v>
          </cell>
          <cell r="H121">
            <v>0.33</v>
          </cell>
          <cell r="I121">
            <v>0.33</v>
          </cell>
          <cell r="N121" t="str">
            <v>35.00.000.5102.000000.0000.0000</v>
          </cell>
          <cell r="O121" t="str">
            <v>35.00.000.4110.000000.0000.0000</v>
          </cell>
          <cell r="P121" t="str">
            <v>Buy</v>
          </cell>
        </row>
        <row r="122">
          <cell r="A122" t="str">
            <v>200134-001</v>
          </cell>
          <cell r="B122" t="str">
            <v>Frozen</v>
          </cell>
          <cell r="D122" t="str">
            <v>*</v>
          </cell>
          <cell r="E122" t="str">
            <v>*</v>
          </cell>
          <cell r="F122">
            <v>1</v>
          </cell>
          <cell r="G122">
            <v>0</v>
          </cell>
          <cell r="H122">
            <v>0</v>
          </cell>
          <cell r="N122" t="str">
            <v>35.00.000.5102.000000.0000.0000</v>
          </cell>
          <cell r="O122" t="str">
            <v>35.00.000.4110.000000.0000.0000</v>
          </cell>
          <cell r="P122" t="str">
            <v>Make</v>
          </cell>
        </row>
        <row r="123">
          <cell r="A123" t="str">
            <v>300001-001</v>
          </cell>
          <cell r="B123" t="str">
            <v>Frozen</v>
          </cell>
          <cell r="D123" t="str">
            <v>*</v>
          </cell>
          <cell r="E123" t="str">
            <v>*</v>
          </cell>
          <cell r="F123">
            <v>1</v>
          </cell>
          <cell r="G123">
            <v>0</v>
          </cell>
          <cell r="H123">
            <v>27.543289999999999</v>
          </cell>
          <cell r="I123">
            <v>24.693290000000001</v>
          </cell>
          <cell r="K123">
            <v>0.45</v>
          </cell>
          <cell r="M123">
            <v>2.4</v>
          </cell>
          <cell r="N123" t="str">
            <v>35.00.000.5101.000000.0000.0000</v>
          </cell>
          <cell r="O123" t="str">
            <v>35.00.000.4010.000000.0000.0000</v>
          </cell>
          <cell r="P123" t="str">
            <v>Make</v>
          </cell>
        </row>
        <row r="124">
          <cell r="A124" t="str">
            <v>300001-002</v>
          </cell>
          <cell r="B124" t="str">
            <v>Frozen</v>
          </cell>
          <cell r="D124" t="str">
            <v>*</v>
          </cell>
          <cell r="E124" t="str">
            <v>*</v>
          </cell>
          <cell r="F124">
            <v>1</v>
          </cell>
          <cell r="G124">
            <v>0</v>
          </cell>
          <cell r="H124">
            <v>28.277100000000001</v>
          </cell>
          <cell r="I124">
            <v>25.427099999999999</v>
          </cell>
          <cell r="K124">
            <v>0.45</v>
          </cell>
          <cell r="M124">
            <v>2.4</v>
          </cell>
          <cell r="N124" t="str">
            <v>35.00.000.5101.000000.0000.0000</v>
          </cell>
          <cell r="O124" t="str">
            <v>35.00.000.4010.000000.0000.0000</v>
          </cell>
          <cell r="P124" t="str">
            <v>Make</v>
          </cell>
        </row>
        <row r="125">
          <cell r="A125" t="str">
            <v>300002-001</v>
          </cell>
          <cell r="B125" t="str">
            <v>Frozen</v>
          </cell>
          <cell r="D125" t="str">
            <v>*</v>
          </cell>
          <cell r="E125" t="str">
            <v>*</v>
          </cell>
          <cell r="F125">
            <v>1</v>
          </cell>
          <cell r="G125">
            <v>0</v>
          </cell>
          <cell r="H125">
            <v>23.003900000000002</v>
          </cell>
          <cell r="I125">
            <v>23.003900000000002</v>
          </cell>
          <cell r="N125" t="str">
            <v>35.00.000.5101.000000.0000.0000</v>
          </cell>
          <cell r="O125" t="str">
            <v>35.00.000.4010.000000.0000.0000</v>
          </cell>
          <cell r="P125" t="str">
            <v>Make</v>
          </cell>
        </row>
        <row r="126">
          <cell r="A126" t="str">
            <v>300003-001</v>
          </cell>
          <cell r="B126" t="str">
            <v>Frozen</v>
          </cell>
          <cell r="D126" t="str">
            <v>*</v>
          </cell>
          <cell r="E126" t="str">
            <v>*</v>
          </cell>
          <cell r="F126">
            <v>1</v>
          </cell>
          <cell r="G126">
            <v>0</v>
          </cell>
          <cell r="H126">
            <v>23.003900000000002</v>
          </cell>
          <cell r="I126">
            <v>23.003900000000002</v>
          </cell>
          <cell r="N126" t="str">
            <v>35.00.000.5101.000000.0000.0000</v>
          </cell>
          <cell r="O126" t="str">
            <v>35.00.000.4010.000000.0000.0000</v>
          </cell>
          <cell r="P126" t="str">
            <v>Make</v>
          </cell>
        </row>
        <row r="127">
          <cell r="A127" t="str">
            <v>300004-001</v>
          </cell>
          <cell r="B127" t="str">
            <v>Frozen</v>
          </cell>
          <cell r="D127" t="str">
            <v>*</v>
          </cell>
          <cell r="E127" t="str">
            <v>*</v>
          </cell>
          <cell r="F127">
            <v>1</v>
          </cell>
          <cell r="G127">
            <v>0</v>
          </cell>
          <cell r="H127">
            <v>22.633859999999999</v>
          </cell>
          <cell r="I127">
            <v>22.633859999999999</v>
          </cell>
          <cell r="N127" t="str">
            <v>35.00.000.5101.000000.0000.0000</v>
          </cell>
          <cell r="O127" t="str">
            <v>35.00.000.4010.000000.0000.0000</v>
          </cell>
          <cell r="P127" t="str">
            <v>Make</v>
          </cell>
        </row>
        <row r="128">
          <cell r="A128" t="str">
            <v>300005-001</v>
          </cell>
          <cell r="B128" t="str">
            <v>Frozen</v>
          </cell>
          <cell r="D128" t="str">
            <v>*</v>
          </cell>
          <cell r="E128" t="str">
            <v>*</v>
          </cell>
          <cell r="F128">
            <v>1</v>
          </cell>
          <cell r="G128">
            <v>0</v>
          </cell>
          <cell r="H128">
            <v>0</v>
          </cell>
          <cell r="N128" t="str">
            <v>35.00.000.5101.000000.0000.0000</v>
          </cell>
          <cell r="O128" t="str">
            <v>35.00.000.4010.000000.0000.0000</v>
          </cell>
          <cell r="P128" t="str">
            <v>Make</v>
          </cell>
        </row>
        <row r="129">
          <cell r="A129" t="str">
            <v>300006-001</v>
          </cell>
          <cell r="B129" t="str">
            <v>Frozen</v>
          </cell>
          <cell r="D129" t="str">
            <v>*</v>
          </cell>
          <cell r="F129">
            <v>1</v>
          </cell>
          <cell r="G129">
            <v>0</v>
          </cell>
          <cell r="H129">
            <v>0.47536</v>
          </cell>
          <cell r="I129">
            <v>0.47536</v>
          </cell>
          <cell r="N129" t="str">
            <v>35.00.000.5101.000000.0000.0000</v>
          </cell>
          <cell r="O129" t="str">
            <v>35.00.000.4010.000000.0000.0000</v>
          </cell>
          <cell r="P129" t="str">
            <v>Buy</v>
          </cell>
        </row>
        <row r="130">
          <cell r="A130" t="str">
            <v>300008-001</v>
          </cell>
          <cell r="B130" t="str">
            <v>Frozen</v>
          </cell>
          <cell r="D130" t="str">
            <v>*</v>
          </cell>
          <cell r="F130">
            <v>1</v>
          </cell>
          <cell r="G130">
            <v>0</v>
          </cell>
          <cell r="H130">
            <v>4.4999999999999998E-2</v>
          </cell>
          <cell r="I130">
            <v>4.4999999999999998E-2</v>
          </cell>
          <cell r="N130" t="str">
            <v>35.00.000.5101.000000.0000.0000</v>
          </cell>
          <cell r="O130" t="str">
            <v>35.00.000.4010.000000.0000.0000</v>
          </cell>
          <cell r="P130" t="str">
            <v>Buy</v>
          </cell>
        </row>
        <row r="131">
          <cell r="A131" t="str">
            <v>300010-001</v>
          </cell>
          <cell r="B131" t="str">
            <v>Frozen</v>
          </cell>
          <cell r="D131" t="str">
            <v>*</v>
          </cell>
          <cell r="F131">
            <v>1</v>
          </cell>
          <cell r="G131">
            <v>0</v>
          </cell>
          <cell r="H131">
            <v>7</v>
          </cell>
          <cell r="I131">
            <v>7</v>
          </cell>
          <cell r="N131" t="str">
            <v>35.00.000.5101.000000.0000.0000</v>
          </cell>
          <cell r="O131" t="str">
            <v>35.00.000.4010.000000.0000.0000</v>
          </cell>
          <cell r="P131" t="str">
            <v>Buy</v>
          </cell>
        </row>
        <row r="132">
          <cell r="A132" t="str">
            <v>300013-001</v>
          </cell>
          <cell r="B132" t="str">
            <v>Frozen</v>
          </cell>
          <cell r="D132" t="str">
            <v>*</v>
          </cell>
          <cell r="F132">
            <v>1</v>
          </cell>
          <cell r="G132">
            <v>0</v>
          </cell>
          <cell r="H132">
            <v>7</v>
          </cell>
          <cell r="I132">
            <v>7</v>
          </cell>
          <cell r="N132" t="str">
            <v>35.00.000.5101.000000.0000.0000</v>
          </cell>
          <cell r="O132" t="str">
            <v>35.00.000.4010.000000.0000.0000</v>
          </cell>
          <cell r="P132" t="str">
            <v>Buy</v>
          </cell>
        </row>
        <row r="133">
          <cell r="A133" t="str">
            <v>300015-001</v>
          </cell>
          <cell r="B133" t="str">
            <v>Frozen</v>
          </cell>
          <cell r="D133" t="str">
            <v>*</v>
          </cell>
          <cell r="F133">
            <v>1</v>
          </cell>
          <cell r="G133">
            <v>0</v>
          </cell>
          <cell r="H133">
            <v>97</v>
          </cell>
          <cell r="I133">
            <v>97</v>
          </cell>
          <cell r="N133" t="str">
            <v>35.00.000.5101.000000.0000.0000</v>
          </cell>
          <cell r="O133" t="str">
            <v>35.00.000.4010.000000.0000.0000</v>
          </cell>
          <cell r="P133" t="str">
            <v>Buy</v>
          </cell>
        </row>
        <row r="134">
          <cell r="A134" t="str">
            <v>300016-001</v>
          </cell>
          <cell r="B134" t="str">
            <v>Frozen</v>
          </cell>
          <cell r="D134" t="str">
            <v>*</v>
          </cell>
          <cell r="F134">
            <v>1</v>
          </cell>
          <cell r="G134">
            <v>0</v>
          </cell>
          <cell r="H134">
            <v>1.4</v>
          </cell>
          <cell r="I134">
            <v>1.4</v>
          </cell>
          <cell r="N134" t="str">
            <v>35.00.000.5101.000000.0000.0000</v>
          </cell>
          <cell r="O134" t="str">
            <v>35.00.000.4010.000000.0000.0000</v>
          </cell>
          <cell r="P134" t="str">
            <v>Buy</v>
          </cell>
        </row>
        <row r="135">
          <cell r="A135" t="str">
            <v>300040-001</v>
          </cell>
          <cell r="B135" t="str">
            <v>Frozen</v>
          </cell>
          <cell r="D135" t="str">
            <v>*</v>
          </cell>
          <cell r="E135" t="str">
            <v>*</v>
          </cell>
          <cell r="F135">
            <v>1</v>
          </cell>
          <cell r="G135">
            <v>0</v>
          </cell>
          <cell r="H135">
            <v>90.481570000000005</v>
          </cell>
          <cell r="I135">
            <v>90.481570000000005</v>
          </cell>
          <cell r="N135" t="str">
            <v>35.00.000.5101.000000.0000.0000</v>
          </cell>
          <cell r="O135" t="str">
            <v>35.00.000.4010.000000.0000.0000</v>
          </cell>
          <cell r="P135" t="str">
            <v>Make</v>
          </cell>
        </row>
        <row r="136">
          <cell r="A136" t="str">
            <v>300040-002</v>
          </cell>
          <cell r="B136" t="str">
            <v>Frozen</v>
          </cell>
          <cell r="D136" t="str">
            <v>*</v>
          </cell>
          <cell r="E136" t="str">
            <v>*</v>
          </cell>
          <cell r="F136">
            <v>1</v>
          </cell>
          <cell r="G136">
            <v>0</v>
          </cell>
          <cell r="H136">
            <v>94.866200000000006</v>
          </cell>
          <cell r="I136">
            <v>94.866200000000006</v>
          </cell>
          <cell r="N136" t="str">
            <v>35.00.000.5102.000000.0000.0000</v>
          </cell>
          <cell r="O136" t="str">
            <v>35.00.000.4110.000000.0000.0000</v>
          </cell>
          <cell r="P136" t="str">
            <v>Make</v>
          </cell>
        </row>
        <row r="137">
          <cell r="A137" t="str">
            <v>300041-001</v>
          </cell>
          <cell r="B137" t="str">
            <v>Frozen</v>
          </cell>
          <cell r="D137" t="str">
            <v>*</v>
          </cell>
          <cell r="E137" t="str">
            <v>*</v>
          </cell>
          <cell r="F137">
            <v>1</v>
          </cell>
          <cell r="G137">
            <v>0</v>
          </cell>
          <cell r="N137" t="str">
            <v>35.00.000.5101.000000.0000.0000</v>
          </cell>
          <cell r="O137" t="str">
            <v>35.00.000.4010.000000.0000.0000</v>
          </cell>
          <cell r="P137" t="str">
            <v>Make</v>
          </cell>
        </row>
        <row r="138">
          <cell r="A138" t="str">
            <v>300042-001</v>
          </cell>
          <cell r="B138" t="str">
            <v>Frozen</v>
          </cell>
          <cell r="D138" t="str">
            <v>*</v>
          </cell>
          <cell r="E138" t="str">
            <v>*</v>
          </cell>
          <cell r="F138">
            <v>1</v>
          </cell>
          <cell r="G138">
            <v>0</v>
          </cell>
          <cell r="H138">
            <v>90.481570000000005</v>
          </cell>
          <cell r="I138">
            <v>90.481570000000005</v>
          </cell>
          <cell r="N138" t="str">
            <v>35.00.000.5101.000000.0000.0000</v>
          </cell>
          <cell r="O138" t="str">
            <v>35.00.000.4010.000000.0000.0000</v>
          </cell>
          <cell r="P138" t="str">
            <v>Make</v>
          </cell>
        </row>
        <row r="139">
          <cell r="A139" t="str">
            <v>300043-001</v>
          </cell>
          <cell r="B139" t="str">
            <v>Frozen</v>
          </cell>
          <cell r="D139" t="str">
            <v>*</v>
          </cell>
          <cell r="E139" t="str">
            <v>*</v>
          </cell>
          <cell r="F139">
            <v>1</v>
          </cell>
          <cell r="G139">
            <v>0</v>
          </cell>
          <cell r="H139">
            <v>90.481570000000005</v>
          </cell>
          <cell r="I139">
            <v>90.481570000000005</v>
          </cell>
          <cell r="N139" t="str">
            <v>35.00.000.5101.000000.0000.0000</v>
          </cell>
          <cell r="O139" t="str">
            <v>35.00.000.4010.000000.0000.0000</v>
          </cell>
          <cell r="P139" t="str">
            <v>Make</v>
          </cell>
        </row>
        <row r="140">
          <cell r="A140" t="str">
            <v>300043-002</v>
          </cell>
          <cell r="B140" t="str">
            <v>Frozen</v>
          </cell>
          <cell r="D140" t="str">
            <v>*</v>
          </cell>
          <cell r="E140" t="str">
            <v>*</v>
          </cell>
          <cell r="F140">
            <v>1</v>
          </cell>
          <cell r="G140">
            <v>0</v>
          </cell>
          <cell r="H140">
            <v>94.866200000000006</v>
          </cell>
          <cell r="I140">
            <v>94.866200000000006</v>
          </cell>
          <cell r="N140" t="str">
            <v>35.00.000.5102.000000.0000.0000</v>
          </cell>
          <cell r="O140" t="str">
            <v>35.00.000.4110.000000.0000.0000</v>
          </cell>
          <cell r="P140" t="str">
            <v>Make</v>
          </cell>
        </row>
        <row r="141">
          <cell r="A141" t="str">
            <v>300044-001</v>
          </cell>
          <cell r="B141" t="str">
            <v>Frozen</v>
          </cell>
          <cell r="D141" t="str">
            <v>*</v>
          </cell>
          <cell r="F141">
            <v>1</v>
          </cell>
          <cell r="G141">
            <v>0</v>
          </cell>
          <cell r="H141">
            <v>0.04</v>
          </cell>
          <cell r="I141">
            <v>0.04</v>
          </cell>
          <cell r="N141" t="str">
            <v>35.00.000.5101.000000.0000.0000</v>
          </cell>
          <cell r="O141" t="str">
            <v>35.00.000.4010.000000.0000.0000</v>
          </cell>
          <cell r="P141" t="str">
            <v>Buy</v>
          </cell>
        </row>
        <row r="142">
          <cell r="A142" t="str">
            <v>300044-002</v>
          </cell>
          <cell r="B142" t="str">
            <v>Frozen</v>
          </cell>
          <cell r="D142" t="str">
            <v>*</v>
          </cell>
          <cell r="F142">
            <v>1</v>
          </cell>
          <cell r="G142">
            <v>0</v>
          </cell>
          <cell r="H142">
            <v>3.5000000000000003E-2</v>
          </cell>
          <cell r="I142">
            <v>3.5000000000000003E-2</v>
          </cell>
          <cell r="N142" t="str">
            <v>35.00.000.5101.000000.0000.0000</v>
          </cell>
          <cell r="O142" t="str">
            <v>35.00.000.4010.000000.0000.0000</v>
          </cell>
          <cell r="P142" t="str">
            <v>Buy</v>
          </cell>
        </row>
        <row r="143">
          <cell r="A143" t="str">
            <v>300045-001</v>
          </cell>
          <cell r="B143" t="str">
            <v>Frozen</v>
          </cell>
          <cell r="D143" t="str">
            <v>*</v>
          </cell>
          <cell r="E143" t="str">
            <v>*</v>
          </cell>
          <cell r="F143">
            <v>1</v>
          </cell>
          <cell r="G143">
            <v>0</v>
          </cell>
          <cell r="H143">
            <v>95.406570000000002</v>
          </cell>
          <cell r="I143">
            <v>92.556569999999994</v>
          </cell>
          <cell r="K143">
            <v>0.45</v>
          </cell>
          <cell r="M143">
            <v>2.4</v>
          </cell>
          <cell r="N143" t="str">
            <v>35.00.000.5101.000000.0000.0000</v>
          </cell>
          <cell r="O143" t="str">
            <v>35.00.000.4010.000000.0000.0000</v>
          </cell>
          <cell r="P143" t="str">
            <v>Make</v>
          </cell>
        </row>
        <row r="144">
          <cell r="A144" t="str">
            <v>300045-002</v>
          </cell>
          <cell r="B144" t="str">
            <v>Frozen</v>
          </cell>
          <cell r="D144" t="str">
            <v>*</v>
          </cell>
          <cell r="E144" t="str">
            <v>*</v>
          </cell>
          <cell r="F144">
            <v>1</v>
          </cell>
          <cell r="G144">
            <v>0</v>
          </cell>
          <cell r="H144">
            <v>99.467830000000006</v>
          </cell>
          <cell r="I144">
            <v>96.617829999999998</v>
          </cell>
          <cell r="K144">
            <v>0.45</v>
          </cell>
          <cell r="M144">
            <v>2.4</v>
          </cell>
          <cell r="N144" t="str">
            <v>35.00.000.5102.000000.0000.0000</v>
          </cell>
          <cell r="O144" t="str">
            <v>35.00.000.4110.000000.0000.0000</v>
          </cell>
          <cell r="P144" t="str">
            <v>Make</v>
          </cell>
        </row>
        <row r="145">
          <cell r="A145" t="str">
            <v>300045-004</v>
          </cell>
          <cell r="B145" t="str">
            <v>Frozen</v>
          </cell>
          <cell r="D145" t="str">
            <v>*</v>
          </cell>
          <cell r="E145" t="str">
            <v>*</v>
          </cell>
          <cell r="F145">
            <v>1</v>
          </cell>
          <cell r="G145">
            <v>0</v>
          </cell>
          <cell r="H145">
            <v>115.59256999999999</v>
          </cell>
          <cell r="I145">
            <v>112.74257</v>
          </cell>
          <cell r="K145">
            <v>0.45</v>
          </cell>
          <cell r="M145">
            <v>2.4</v>
          </cell>
          <cell r="N145" t="str">
            <v>35.00.000.5102.000000.0000.0000</v>
          </cell>
          <cell r="O145" t="str">
            <v>35.00.000.4110.000000.0000.0000</v>
          </cell>
          <cell r="P145" t="str">
            <v>Make</v>
          </cell>
        </row>
        <row r="146">
          <cell r="A146" t="str">
            <v>300045-101</v>
          </cell>
          <cell r="B146" t="str">
            <v>Frozen</v>
          </cell>
          <cell r="D146" t="str">
            <v>*</v>
          </cell>
          <cell r="E146" t="str">
            <v>*</v>
          </cell>
          <cell r="F146">
            <v>1</v>
          </cell>
          <cell r="G146">
            <v>0</v>
          </cell>
          <cell r="H146">
            <v>99.791200000000003</v>
          </cell>
          <cell r="I146">
            <v>96.941199999999995</v>
          </cell>
          <cell r="K146">
            <v>0.45</v>
          </cell>
          <cell r="M146">
            <v>2.4</v>
          </cell>
          <cell r="N146" t="str">
            <v>35.00.000.5102.000000.0000.0000</v>
          </cell>
          <cell r="O146" t="str">
            <v>35.00.000.4110.000000.0000.0000</v>
          </cell>
          <cell r="P146" t="str">
            <v>Make</v>
          </cell>
        </row>
        <row r="147">
          <cell r="A147" t="str">
            <v>300045-102</v>
          </cell>
          <cell r="B147" t="str">
            <v>Frozen</v>
          </cell>
          <cell r="D147" t="str">
            <v>*</v>
          </cell>
          <cell r="E147" t="str">
            <v>*</v>
          </cell>
          <cell r="F147">
            <v>1</v>
          </cell>
          <cell r="G147">
            <v>0</v>
          </cell>
          <cell r="H147">
            <v>103.85245999999999</v>
          </cell>
          <cell r="I147">
            <v>101.00246</v>
          </cell>
          <cell r="K147">
            <v>0.45</v>
          </cell>
          <cell r="M147">
            <v>2.4</v>
          </cell>
          <cell r="N147" t="str">
            <v>35.00.000.5102.000000.0000.0000</v>
          </cell>
          <cell r="O147" t="str">
            <v>35.00.000.4110.000000.0000.0000</v>
          </cell>
          <cell r="P147" t="str">
            <v>Make</v>
          </cell>
        </row>
        <row r="148">
          <cell r="A148" t="str">
            <v>300045-104</v>
          </cell>
          <cell r="B148" t="str">
            <v>Frozen</v>
          </cell>
          <cell r="D148" t="str">
            <v>*</v>
          </cell>
          <cell r="E148" t="str">
            <v>*</v>
          </cell>
          <cell r="F148">
            <v>1</v>
          </cell>
          <cell r="G148">
            <v>0</v>
          </cell>
          <cell r="H148">
            <v>119.9772</v>
          </cell>
          <cell r="I148">
            <v>117.1272</v>
          </cell>
          <cell r="K148">
            <v>0.45</v>
          </cell>
          <cell r="M148">
            <v>2.4</v>
          </cell>
          <cell r="N148" t="str">
            <v>35.00.000.5102.000000.0000.0000</v>
          </cell>
          <cell r="O148" t="str">
            <v>35.00.000.4110.000000.0000.0000</v>
          </cell>
          <cell r="P148" t="str">
            <v>Make</v>
          </cell>
        </row>
        <row r="149">
          <cell r="A149" t="str">
            <v>300046-001</v>
          </cell>
          <cell r="B149" t="str">
            <v>Frozen</v>
          </cell>
          <cell r="D149" t="str">
            <v>*</v>
          </cell>
          <cell r="F149">
            <v>1</v>
          </cell>
          <cell r="G149">
            <v>0</v>
          </cell>
          <cell r="H149">
            <v>2.0306299999999999</v>
          </cell>
          <cell r="I149">
            <v>2.0306299999999999</v>
          </cell>
          <cell r="N149" t="str">
            <v>35.00.000.5102.000000.0000.0000</v>
          </cell>
          <cell r="O149" t="str">
            <v>35.00.000.4110.000000.0000.0000</v>
          </cell>
          <cell r="P149" t="str">
            <v>Buy</v>
          </cell>
        </row>
        <row r="150">
          <cell r="A150" t="str">
            <v>300046-002</v>
          </cell>
          <cell r="B150" t="str">
            <v>Frozen</v>
          </cell>
          <cell r="D150" t="str">
            <v>*</v>
          </cell>
          <cell r="F150">
            <v>1</v>
          </cell>
          <cell r="G150">
            <v>0</v>
          </cell>
          <cell r="H150">
            <v>2.0306299999999999</v>
          </cell>
          <cell r="I150">
            <v>2.0306299999999999</v>
          </cell>
          <cell r="N150" t="str">
            <v>35.00.000.5102.000000.0000.0000</v>
          </cell>
          <cell r="O150" t="str">
            <v>35.00.000.4110.000000.0000.0000</v>
          </cell>
          <cell r="P150" t="str">
            <v>Buy</v>
          </cell>
        </row>
        <row r="151">
          <cell r="A151" t="str">
            <v>300047-001</v>
          </cell>
          <cell r="B151" t="str">
            <v>Frozen</v>
          </cell>
          <cell r="D151" t="str">
            <v>*</v>
          </cell>
          <cell r="F151">
            <v>1</v>
          </cell>
          <cell r="G151">
            <v>0</v>
          </cell>
          <cell r="H151">
            <v>2.0306299999999999</v>
          </cell>
          <cell r="I151">
            <v>2.0306299999999999</v>
          </cell>
          <cell r="N151" t="str">
            <v>35.00.000.5102.000000.0000.0000</v>
          </cell>
          <cell r="O151" t="str">
            <v>35.00.000.4110.000000.0000.0000</v>
          </cell>
          <cell r="P151" t="str">
            <v>Buy</v>
          </cell>
        </row>
        <row r="152">
          <cell r="A152" t="str">
            <v>300047-002</v>
          </cell>
          <cell r="B152" t="str">
            <v>Frozen</v>
          </cell>
          <cell r="D152" t="str">
            <v>*</v>
          </cell>
          <cell r="F152">
            <v>1</v>
          </cell>
          <cell r="G152">
            <v>0</v>
          </cell>
          <cell r="H152">
            <v>2.0306299999999999</v>
          </cell>
          <cell r="I152">
            <v>2.0306299999999999</v>
          </cell>
          <cell r="N152" t="str">
            <v>35.00.000.5102.000000.0000.0000</v>
          </cell>
          <cell r="O152" t="str">
            <v>35.00.000.4110.000000.0000.0000</v>
          </cell>
          <cell r="P152" t="str">
            <v>Buy</v>
          </cell>
        </row>
        <row r="153">
          <cell r="A153" t="str">
            <v>300048-001</v>
          </cell>
          <cell r="B153" t="str">
            <v>Frozen</v>
          </cell>
          <cell r="D153" t="str">
            <v>*</v>
          </cell>
          <cell r="F153">
            <v>1</v>
          </cell>
          <cell r="G153">
            <v>0</v>
          </cell>
          <cell r="H153">
            <v>1.97</v>
          </cell>
          <cell r="I153">
            <v>1.97</v>
          </cell>
          <cell r="N153" t="str">
            <v>35.00.000.5101.000000.0000.0000</v>
          </cell>
          <cell r="O153" t="str">
            <v>35.00.000.4010.000000.0000.0000</v>
          </cell>
          <cell r="P153" t="str">
            <v>Buy</v>
          </cell>
        </row>
        <row r="154">
          <cell r="A154" t="str">
            <v>300048-002</v>
          </cell>
          <cell r="B154" t="str">
            <v>Frozen</v>
          </cell>
          <cell r="D154" t="str">
            <v>*</v>
          </cell>
          <cell r="F154">
            <v>1</v>
          </cell>
          <cell r="G154">
            <v>0</v>
          </cell>
          <cell r="H154">
            <v>1.97</v>
          </cell>
          <cell r="I154">
            <v>1.97</v>
          </cell>
          <cell r="N154" t="str">
            <v>35.00.000.5101.000000.0000.0000</v>
          </cell>
          <cell r="O154" t="str">
            <v>35.00.000.4010.000000.0000.0000</v>
          </cell>
          <cell r="P154" t="str">
            <v>Buy</v>
          </cell>
        </row>
        <row r="155">
          <cell r="A155" t="str">
            <v>300048-003</v>
          </cell>
          <cell r="B155" t="str">
            <v>Frozen</v>
          </cell>
          <cell r="D155" t="str">
            <v>*</v>
          </cell>
          <cell r="F155">
            <v>1</v>
          </cell>
          <cell r="G155">
            <v>0</v>
          </cell>
          <cell r="H155">
            <v>1.97</v>
          </cell>
          <cell r="I155">
            <v>1.97</v>
          </cell>
          <cell r="N155" t="str">
            <v>35.00.000.5102.000000.0000.0000</v>
          </cell>
          <cell r="O155" t="str">
            <v>35.00.000.4110.000000.0000.0000</v>
          </cell>
          <cell r="P155" t="str">
            <v>Buy</v>
          </cell>
        </row>
        <row r="156">
          <cell r="A156" t="str">
            <v>300050-001</v>
          </cell>
          <cell r="B156" t="str">
            <v>Frozen</v>
          </cell>
          <cell r="D156" t="str">
            <v>*</v>
          </cell>
          <cell r="E156" t="str">
            <v>*</v>
          </cell>
          <cell r="F156">
            <v>1</v>
          </cell>
          <cell r="G156">
            <v>0</v>
          </cell>
          <cell r="H156">
            <v>101.45508</v>
          </cell>
          <cell r="I156">
            <v>101.45508</v>
          </cell>
          <cell r="N156" t="str">
            <v>35.00.000.5101.000000.0000.0000</v>
          </cell>
          <cell r="O156" t="str">
            <v>35.00.000.4010.000000.0000.0000</v>
          </cell>
          <cell r="P156" t="str">
            <v>Make</v>
          </cell>
        </row>
        <row r="157">
          <cell r="A157" t="str">
            <v>300051-001</v>
          </cell>
          <cell r="B157" t="str">
            <v>Frozen</v>
          </cell>
          <cell r="D157" t="str">
            <v>*</v>
          </cell>
          <cell r="E157" t="str">
            <v>*</v>
          </cell>
          <cell r="F157">
            <v>1</v>
          </cell>
          <cell r="G157">
            <v>0</v>
          </cell>
          <cell r="H157">
            <v>101.45508</v>
          </cell>
          <cell r="I157">
            <v>101.45508</v>
          </cell>
          <cell r="N157" t="str">
            <v>35.00.000.5101.000000.0000.0000</v>
          </cell>
          <cell r="O157" t="str">
            <v>35.00.000.4010.000000.0000.0000</v>
          </cell>
          <cell r="P157" t="str">
            <v>Make</v>
          </cell>
        </row>
        <row r="158">
          <cell r="A158" t="str">
            <v>300052-001</v>
          </cell>
          <cell r="B158" t="str">
            <v>Frozen</v>
          </cell>
          <cell r="D158" t="str">
            <v>*</v>
          </cell>
          <cell r="E158" t="str">
            <v>*</v>
          </cell>
          <cell r="F158">
            <v>1</v>
          </cell>
          <cell r="G158">
            <v>0</v>
          </cell>
          <cell r="H158">
            <v>101.45508</v>
          </cell>
          <cell r="I158">
            <v>101.45508</v>
          </cell>
          <cell r="N158" t="str">
            <v>35.00.000.5101.000000.0000.0000</v>
          </cell>
          <cell r="O158" t="str">
            <v>35.00.000.4010.000000.0000.0000</v>
          </cell>
          <cell r="P158" t="str">
            <v>Make</v>
          </cell>
        </row>
        <row r="159">
          <cell r="A159" t="str">
            <v>300053-001</v>
          </cell>
          <cell r="B159" t="str">
            <v>Frozen</v>
          </cell>
          <cell r="D159" t="str">
            <v>*</v>
          </cell>
          <cell r="E159" t="str">
            <v>*</v>
          </cell>
          <cell r="F159">
            <v>1</v>
          </cell>
          <cell r="G159">
            <v>0</v>
          </cell>
          <cell r="H159">
            <v>101.45508</v>
          </cell>
          <cell r="I159">
            <v>101.45508</v>
          </cell>
          <cell r="N159" t="str">
            <v>35.00.000.5101.000000.0000.0000</v>
          </cell>
          <cell r="O159" t="str">
            <v>35.00.000.4010.000000.0000.0000</v>
          </cell>
          <cell r="P159" t="str">
            <v>Make</v>
          </cell>
        </row>
        <row r="160">
          <cell r="A160" t="str">
            <v>300055-001</v>
          </cell>
          <cell r="B160" t="str">
            <v>Frozen</v>
          </cell>
          <cell r="D160" t="str">
            <v>*</v>
          </cell>
          <cell r="E160" t="str">
            <v>*</v>
          </cell>
          <cell r="F160">
            <v>1</v>
          </cell>
          <cell r="G160">
            <v>0</v>
          </cell>
          <cell r="H160">
            <v>104.71892</v>
          </cell>
          <cell r="I160">
            <v>101.86892</v>
          </cell>
          <cell r="K160">
            <v>0.45</v>
          </cell>
          <cell r="M160">
            <v>2.4</v>
          </cell>
          <cell r="N160" t="str">
            <v>35.00.000.5101.000000.0000.0000</v>
          </cell>
          <cell r="O160" t="str">
            <v>35.00.000.4010.000000.0000.0000</v>
          </cell>
          <cell r="P160" t="str">
            <v>Make</v>
          </cell>
        </row>
        <row r="161">
          <cell r="A161" t="str">
            <v>300055-003</v>
          </cell>
          <cell r="B161" t="str">
            <v>Frozen</v>
          </cell>
          <cell r="D161" t="str">
            <v>*</v>
          </cell>
          <cell r="E161" t="str">
            <v>*</v>
          </cell>
          <cell r="F161">
            <v>1</v>
          </cell>
          <cell r="G161">
            <v>0</v>
          </cell>
          <cell r="H161">
            <v>139.78018</v>
          </cell>
          <cell r="I161">
            <v>136.93018000000001</v>
          </cell>
          <cell r="K161">
            <v>0.45</v>
          </cell>
          <cell r="M161">
            <v>2.4</v>
          </cell>
          <cell r="N161" t="str">
            <v>35.00.000.5101.000000.0000.0000</v>
          </cell>
          <cell r="O161" t="str">
            <v>35.00.000.4010.000000.0000.0000</v>
          </cell>
          <cell r="P161" t="str">
            <v>Make</v>
          </cell>
        </row>
        <row r="162">
          <cell r="A162" t="str">
            <v>300061-001</v>
          </cell>
          <cell r="B162" t="str">
            <v>Frozen</v>
          </cell>
          <cell r="D162" t="str">
            <v>*</v>
          </cell>
          <cell r="E162" t="str">
            <v>*</v>
          </cell>
          <cell r="F162">
            <v>1</v>
          </cell>
          <cell r="G162">
            <v>0</v>
          </cell>
          <cell r="H162">
            <v>24.217929999999999</v>
          </cell>
          <cell r="I162">
            <v>24.217929999999999</v>
          </cell>
          <cell r="N162" t="str">
            <v>35.00.000.5102.000000.0000.0000</v>
          </cell>
          <cell r="O162" t="str">
            <v>35.00.000.4110.000000.0000.0000</v>
          </cell>
          <cell r="P162" t="str">
            <v>Make</v>
          </cell>
        </row>
        <row r="163">
          <cell r="A163" t="str">
            <v>300061-002</v>
          </cell>
          <cell r="B163" t="str">
            <v>Frozen</v>
          </cell>
          <cell r="D163" t="str">
            <v>*</v>
          </cell>
          <cell r="E163" t="str">
            <v>*</v>
          </cell>
          <cell r="F163">
            <v>1</v>
          </cell>
          <cell r="G163">
            <v>0</v>
          </cell>
          <cell r="H163">
            <v>24.45036</v>
          </cell>
          <cell r="I163">
            <v>24.45036</v>
          </cell>
          <cell r="N163" t="str">
            <v>35.00.000.5102.000000.0000.0000</v>
          </cell>
          <cell r="O163" t="str">
            <v>35.00.000.4110.000000.0000.0000</v>
          </cell>
          <cell r="P163" t="str">
            <v>Make</v>
          </cell>
        </row>
        <row r="164">
          <cell r="A164" t="str">
            <v>300062-001</v>
          </cell>
          <cell r="B164" t="str">
            <v>Frozen</v>
          </cell>
          <cell r="D164" t="str">
            <v>*</v>
          </cell>
          <cell r="E164" t="str">
            <v>*</v>
          </cell>
          <cell r="F164">
            <v>1</v>
          </cell>
          <cell r="G164">
            <v>0</v>
          </cell>
          <cell r="H164">
            <v>0</v>
          </cell>
          <cell r="N164" t="str">
            <v>35.00.000.5102.000000.0000.0000</v>
          </cell>
          <cell r="O164" t="str">
            <v>35.00.000.4110.000000.0000.0000</v>
          </cell>
          <cell r="P164" t="str">
            <v>Make</v>
          </cell>
        </row>
        <row r="165">
          <cell r="A165" t="str">
            <v>300062-002</v>
          </cell>
          <cell r="B165" t="str">
            <v>Frozen</v>
          </cell>
          <cell r="D165" t="str">
            <v>*</v>
          </cell>
          <cell r="E165" t="str">
            <v>*</v>
          </cell>
          <cell r="F165">
            <v>1</v>
          </cell>
          <cell r="G165">
            <v>0</v>
          </cell>
          <cell r="H165">
            <v>0</v>
          </cell>
          <cell r="N165" t="str">
            <v>35.00.000.5102.000000.0000.0000</v>
          </cell>
          <cell r="O165" t="str">
            <v>35.00.000.4110.000000.0000.0000</v>
          </cell>
          <cell r="P165" t="str">
            <v>Make</v>
          </cell>
        </row>
        <row r="166">
          <cell r="A166" t="str">
            <v>300063-001</v>
          </cell>
          <cell r="B166" t="str">
            <v>Frozen</v>
          </cell>
          <cell r="D166" t="str">
            <v>*</v>
          </cell>
          <cell r="E166" t="str">
            <v>*</v>
          </cell>
          <cell r="F166">
            <v>1</v>
          </cell>
          <cell r="G166">
            <v>0</v>
          </cell>
          <cell r="H166">
            <v>24.217929999999999</v>
          </cell>
          <cell r="I166">
            <v>24.217929999999999</v>
          </cell>
          <cell r="N166" t="str">
            <v>35.00.000.5102.000000.0000.0000</v>
          </cell>
          <cell r="O166" t="str">
            <v>35.00.000.4110.000000.0000.0000</v>
          </cell>
          <cell r="P166" t="str">
            <v>Make</v>
          </cell>
        </row>
        <row r="167">
          <cell r="A167" t="str">
            <v>300063-002</v>
          </cell>
          <cell r="B167" t="str">
            <v>Frozen</v>
          </cell>
          <cell r="D167" t="str">
            <v>*</v>
          </cell>
          <cell r="E167" t="str">
            <v>*</v>
          </cell>
          <cell r="F167">
            <v>1</v>
          </cell>
          <cell r="G167">
            <v>0</v>
          </cell>
          <cell r="H167">
            <v>24.45036</v>
          </cell>
          <cell r="I167">
            <v>24.45036</v>
          </cell>
          <cell r="N167" t="str">
            <v>35.00.000.5102.000000.0000.0000</v>
          </cell>
          <cell r="O167" t="str">
            <v>35.00.000.4110.000000.0000.0000</v>
          </cell>
          <cell r="P167" t="str">
            <v>Make</v>
          </cell>
        </row>
        <row r="168">
          <cell r="A168" t="str">
            <v>300064-001</v>
          </cell>
          <cell r="B168" t="str">
            <v>Frozen</v>
          </cell>
          <cell r="D168" t="str">
            <v>*</v>
          </cell>
          <cell r="E168" t="str">
            <v>*</v>
          </cell>
          <cell r="F168">
            <v>1</v>
          </cell>
          <cell r="G168">
            <v>0</v>
          </cell>
          <cell r="H168">
            <v>0</v>
          </cell>
          <cell r="N168" t="str">
            <v>35.00.000.5102.000000.0000.0000</v>
          </cell>
          <cell r="O168" t="str">
            <v>35.00.000.4110.000000.0000.0000</v>
          </cell>
          <cell r="P168" t="str">
            <v>Make</v>
          </cell>
        </row>
        <row r="169">
          <cell r="A169" t="str">
            <v>300064-002</v>
          </cell>
          <cell r="B169" t="str">
            <v>Frozen</v>
          </cell>
          <cell r="D169" t="str">
            <v>*</v>
          </cell>
          <cell r="E169" t="str">
            <v>*</v>
          </cell>
          <cell r="F169">
            <v>1</v>
          </cell>
          <cell r="G169">
            <v>0</v>
          </cell>
          <cell r="H169">
            <v>0</v>
          </cell>
          <cell r="N169" t="str">
            <v>35.00.000.5102.000000.0000.0000</v>
          </cell>
          <cell r="O169" t="str">
            <v>35.00.000.4110.000000.0000.0000</v>
          </cell>
          <cell r="P169" t="str">
            <v>Make</v>
          </cell>
        </row>
        <row r="170">
          <cell r="A170" t="str">
            <v>300065-001</v>
          </cell>
          <cell r="B170" t="str">
            <v>Frozen</v>
          </cell>
          <cell r="D170" t="str">
            <v>*</v>
          </cell>
          <cell r="F170">
            <v>1</v>
          </cell>
          <cell r="G170">
            <v>0</v>
          </cell>
          <cell r="H170">
            <v>7</v>
          </cell>
          <cell r="I170">
            <v>7</v>
          </cell>
          <cell r="N170" t="str">
            <v>35.00.000.5101.000000.0000.0000</v>
          </cell>
          <cell r="O170" t="str">
            <v>35.00.000.4010.000000.0000.0000</v>
          </cell>
          <cell r="P170" t="str">
            <v>Buy</v>
          </cell>
        </row>
        <row r="171">
          <cell r="A171" t="str">
            <v>300066-001</v>
          </cell>
          <cell r="B171" t="str">
            <v>Frozen</v>
          </cell>
          <cell r="D171" t="str">
            <v>*</v>
          </cell>
          <cell r="F171">
            <v>1</v>
          </cell>
          <cell r="G171">
            <v>0</v>
          </cell>
          <cell r="H171">
            <v>7</v>
          </cell>
          <cell r="I171">
            <v>7</v>
          </cell>
          <cell r="N171" t="str">
            <v>35.00.000.5101.000000.0000.0000</v>
          </cell>
          <cell r="O171" t="str">
            <v>35.00.000.4010.000000.0000.0000</v>
          </cell>
          <cell r="P171" t="str">
            <v>Buy</v>
          </cell>
        </row>
        <row r="172">
          <cell r="A172" t="str">
            <v>300067-001</v>
          </cell>
          <cell r="B172" t="str">
            <v>Frozen</v>
          </cell>
          <cell r="D172" t="str">
            <v>*</v>
          </cell>
          <cell r="F172">
            <v>1</v>
          </cell>
          <cell r="G172">
            <v>0</v>
          </cell>
          <cell r="H172">
            <v>97</v>
          </cell>
          <cell r="I172">
            <v>97</v>
          </cell>
          <cell r="N172" t="str">
            <v>35.00.000.5102.000000.0000.0000</v>
          </cell>
          <cell r="O172" t="str">
            <v>35.00.000.4110.000000.0000.0000</v>
          </cell>
          <cell r="P172" t="str">
            <v>Buy</v>
          </cell>
        </row>
        <row r="173">
          <cell r="A173" t="str">
            <v>300068-001</v>
          </cell>
          <cell r="B173" t="str">
            <v>Frozen</v>
          </cell>
          <cell r="D173" t="str">
            <v>*</v>
          </cell>
          <cell r="F173">
            <v>1</v>
          </cell>
          <cell r="G173">
            <v>0</v>
          </cell>
          <cell r="H173">
            <v>1.4</v>
          </cell>
          <cell r="I173">
            <v>1.4</v>
          </cell>
          <cell r="N173" t="str">
            <v>35.00.000.5102.000000.0000.0000</v>
          </cell>
          <cell r="O173" t="str">
            <v>35.00.000.4110.000000.0000.0000</v>
          </cell>
          <cell r="P173" t="str">
            <v>Buy</v>
          </cell>
        </row>
        <row r="174">
          <cell r="A174" t="str">
            <v>300069-001</v>
          </cell>
          <cell r="B174" t="str">
            <v>Frozen</v>
          </cell>
          <cell r="D174" t="str">
            <v>*</v>
          </cell>
          <cell r="F174">
            <v>1</v>
          </cell>
          <cell r="G174">
            <v>0</v>
          </cell>
          <cell r="H174">
            <v>11.552</v>
          </cell>
          <cell r="I174">
            <v>11.552</v>
          </cell>
          <cell r="N174" t="str">
            <v>35.00.000.5102.000000.0000.0000</v>
          </cell>
          <cell r="O174" t="str">
            <v>35.00.000.4110.000000.0000.0000</v>
          </cell>
          <cell r="P174" t="str">
            <v>Buy</v>
          </cell>
        </row>
        <row r="175">
          <cell r="A175" t="str">
            <v>300070-001</v>
          </cell>
          <cell r="B175" t="str">
            <v>Frozen</v>
          </cell>
          <cell r="D175" t="str">
            <v>*</v>
          </cell>
          <cell r="F175">
            <v>1</v>
          </cell>
          <cell r="G175">
            <v>0</v>
          </cell>
          <cell r="H175">
            <v>8.6639999999999997</v>
          </cell>
          <cell r="I175">
            <v>8.6639999999999997</v>
          </cell>
          <cell r="N175" t="str">
            <v>35.00.000.5102.000000.0000.0000</v>
          </cell>
          <cell r="O175" t="str">
            <v>35.00.000.4110.000000.0000.0000</v>
          </cell>
          <cell r="P175" t="str">
            <v>Buy</v>
          </cell>
        </row>
        <row r="176">
          <cell r="A176" t="str">
            <v>300071-001</v>
          </cell>
          <cell r="B176" t="str">
            <v>Frozen</v>
          </cell>
          <cell r="D176" t="str">
            <v>*</v>
          </cell>
          <cell r="E176" t="str">
            <v>*</v>
          </cell>
          <cell r="F176">
            <v>1</v>
          </cell>
          <cell r="G176">
            <v>0</v>
          </cell>
          <cell r="H176">
            <v>99.068929999999995</v>
          </cell>
          <cell r="I176">
            <v>99.068929999999995</v>
          </cell>
          <cell r="N176" t="str">
            <v>35.00.000.5102.000000.0000.0000</v>
          </cell>
          <cell r="O176" t="str">
            <v>35.00.000.4110.000000.0000.0000</v>
          </cell>
          <cell r="P176" t="str">
            <v>Make</v>
          </cell>
        </row>
        <row r="177">
          <cell r="A177" t="str">
            <v>300072-001</v>
          </cell>
          <cell r="B177" t="str">
            <v>Frozen</v>
          </cell>
          <cell r="D177" t="str">
            <v>*</v>
          </cell>
          <cell r="E177" t="str">
            <v>*</v>
          </cell>
          <cell r="F177">
            <v>1</v>
          </cell>
          <cell r="G177">
            <v>0</v>
          </cell>
          <cell r="N177" t="str">
            <v>35.00.000.5102.000000.0000.0000</v>
          </cell>
          <cell r="O177" t="str">
            <v>35.00.000.4110.000000.0000.0000</v>
          </cell>
          <cell r="P177" t="str">
            <v>Make</v>
          </cell>
        </row>
        <row r="178">
          <cell r="A178" t="str">
            <v>300073-001</v>
          </cell>
          <cell r="B178" t="str">
            <v>Frozen</v>
          </cell>
          <cell r="D178" t="str">
            <v>*</v>
          </cell>
          <cell r="E178" t="str">
            <v>*</v>
          </cell>
          <cell r="F178">
            <v>1</v>
          </cell>
          <cell r="G178">
            <v>0</v>
          </cell>
          <cell r="H178">
            <v>0</v>
          </cell>
          <cell r="N178" t="str">
            <v>35.00.000.5102.000000.0000.0000</v>
          </cell>
          <cell r="O178" t="str">
            <v>35.00.000.4110.000000.0000.0000</v>
          </cell>
          <cell r="P178" t="str">
            <v>Make</v>
          </cell>
        </row>
        <row r="179">
          <cell r="A179" t="str">
            <v>300074-001</v>
          </cell>
          <cell r="B179" t="str">
            <v>Frozen</v>
          </cell>
          <cell r="D179" t="str">
            <v>*</v>
          </cell>
          <cell r="E179" t="str">
            <v>*</v>
          </cell>
          <cell r="F179">
            <v>1</v>
          </cell>
          <cell r="G179">
            <v>0</v>
          </cell>
          <cell r="H179">
            <v>99.068929999999995</v>
          </cell>
          <cell r="I179">
            <v>99.068929999999995</v>
          </cell>
          <cell r="N179" t="str">
            <v>35.00.000.5102.000000.0000.0000</v>
          </cell>
          <cell r="O179" t="str">
            <v>35.00.000.4110.000000.0000.0000</v>
          </cell>
          <cell r="P179" t="str">
            <v>Make</v>
          </cell>
        </row>
        <row r="180">
          <cell r="A180" t="str">
            <v>300075-001</v>
          </cell>
          <cell r="B180" t="str">
            <v>Frozen</v>
          </cell>
          <cell r="D180" t="str">
            <v>*</v>
          </cell>
          <cell r="E180" t="str">
            <v>*</v>
          </cell>
          <cell r="F180">
            <v>1</v>
          </cell>
          <cell r="G180">
            <v>0</v>
          </cell>
          <cell r="H180">
            <v>102.36277</v>
          </cell>
          <cell r="I180">
            <v>99.512770000000003</v>
          </cell>
          <cell r="K180">
            <v>0.45</v>
          </cell>
          <cell r="M180">
            <v>2.4</v>
          </cell>
          <cell r="N180" t="str">
            <v>35.00.000.5101.000000.0000.0000</v>
          </cell>
          <cell r="O180" t="str">
            <v>35.00.000.4010.000000.0000.0000</v>
          </cell>
          <cell r="P180" t="str">
            <v>Make</v>
          </cell>
        </row>
        <row r="181">
          <cell r="A181" t="str">
            <v>300075-003</v>
          </cell>
          <cell r="B181" t="str">
            <v>Frozen</v>
          </cell>
          <cell r="D181" t="str">
            <v>*</v>
          </cell>
          <cell r="E181" t="str">
            <v>*</v>
          </cell>
          <cell r="F181">
            <v>1</v>
          </cell>
          <cell r="G181">
            <v>0</v>
          </cell>
          <cell r="H181">
            <v>106.42403</v>
          </cell>
          <cell r="I181">
            <v>103.57402999999999</v>
          </cell>
          <cell r="K181">
            <v>0.45</v>
          </cell>
          <cell r="M181">
            <v>2.4</v>
          </cell>
          <cell r="N181" t="str">
            <v>35.00.000.5101.000000.0000.0000</v>
          </cell>
          <cell r="O181" t="str">
            <v>35.00.000.4010.000000.0000.0000</v>
          </cell>
          <cell r="P181" t="str">
            <v>Make</v>
          </cell>
        </row>
        <row r="182">
          <cell r="A182" t="str">
            <v>VAL-100028-003</v>
          </cell>
          <cell r="B182" t="str">
            <v>Frozen</v>
          </cell>
          <cell r="D182" t="str">
            <v>*</v>
          </cell>
          <cell r="F182">
            <v>1</v>
          </cell>
          <cell r="G182">
            <v>0</v>
          </cell>
          <cell r="H182">
            <v>0</v>
          </cell>
          <cell r="N182" t="str">
            <v>35.00.000.5101.000000.0000.0000</v>
          </cell>
          <cell r="O182" t="str">
            <v>35.00.000.4010.000000.0000.0000</v>
          </cell>
          <cell r="P182" t="str">
            <v>Buy</v>
          </cell>
        </row>
      </sheetData>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
      <sheetName val="U10"/>
      <sheetName val="U20"/>
      <sheetName val="U30"/>
      <sheetName val="U40"/>
      <sheetName val="U50"/>
      <sheetName val="U60"/>
      <sheetName val="U70"/>
      <sheetName val="U80"/>
      <sheetName val="U90"/>
      <sheetName val="U100"/>
      <sheetName val="U110"/>
      <sheetName val="U200-OH"/>
      <sheetName val="U300-G &amp; A"/>
      <sheetName val="U400-Operating Exp"/>
      <sheetName val="U600-profit from other operatio"/>
      <sheetName val="U700-non-operating income"/>
      <sheetName val="U800-non-operating expenses"/>
      <sheetName val="U500-Financial Exp "/>
      <sheetName val="CRA-Detail"/>
      <sheetName val="Control Risk Aspects"/>
      <sheetName val="Customize Work Program"/>
      <sheetName val="Master"/>
      <sheetName val="Sheet5"/>
      <sheetName val="费用明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WIP"/>
      <sheetName val="SFG_ND"/>
      <sheetName val="PPSG09"/>
      <sheetName val="PPSG31"/>
      <sheetName val="PPSG32"/>
      <sheetName val="PPSG33"/>
      <sheetName val="PPSG34"/>
      <sheetName val="PPSG35"/>
      <sheetName val="PPSG41"/>
      <sheetName val="PPSG51"/>
      <sheetName val="PPSG61"/>
      <sheetName val="PPSG71"/>
      <sheetName val="PPSG72"/>
      <sheetName val="PPSG81"/>
      <sheetName val="Adjust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O"/>
      <sheetName val="Bank"/>
      <sheetName val="hk0403"/>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dit Lookup"/>
      <sheetName val="JV"/>
      <sheetName val="Accounts"/>
      <sheetName val="Entities"/>
      <sheetName val="Pd"/>
      <sheetName val="Perio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PT for FAR"/>
      <sheetName val="Sheet3"/>
      <sheetName val="Sheet2"/>
      <sheetName val="BKD"/>
      <sheetName val="Check"/>
      <sheetName val="RPT Combine"/>
      <sheetName val="3rd Combine"/>
      <sheetName val="invoiced-3rd"/>
      <sheetName val="invoiced-rpt"/>
      <sheetName val="GIT"/>
      <sheetName val="GRIR-3rd"/>
      <sheetName val="GRIR-rpt"/>
      <sheetName val="PRC to US"/>
      <sheetName val="AP Subsequent Testing"/>
      <sheetName val="GRIR correction 抽样"/>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upporting"/>
      <sheetName val="Abnormal"/>
      <sheetName val="Capex"/>
      <sheetName val="10 Largest Customers"/>
      <sheetName val="InterBP Sales,Purchases&amp;Stocks"/>
      <sheetName val="Qty Sold in kg"/>
      <sheetName val="Sales in Local $"/>
      <sheetName val="Selling Price in kg"/>
      <sheetName val="COGS in Local $"/>
      <sheetName val="COGS per kg"/>
      <sheetName val="GP%"/>
      <sheetName val="dso"/>
      <sheetName val="MthVar_Sales&amp;COS"/>
      <sheetName val="YTDVar_Sales&amp;COS"/>
      <sheetName val="Actual_Budget Analysis - Month"/>
      <sheetName val="Var to Budget_YTD&amp;FYF"/>
      <sheetName val="Budget"/>
      <sheetName val="Qty Sold in kg - Budget"/>
      <sheetName val="Sales in Local $ - Budget"/>
      <sheetName val="COGS in Local $ - Budget"/>
      <sheetName val="Detail_Budget"/>
      <sheetName val="CSV"/>
      <sheetName val="Validation"/>
      <sheetName val="XREF"/>
      <sheetName val="Disposal List-WX"/>
      <sheetName val="parameters"/>
      <sheetName val="checklist"/>
      <sheetName val="平衡"/>
      <sheetName val="其他应付款"/>
      <sheetName val="其它应收款"/>
      <sheetName val="应付账款"/>
      <sheetName val="预付货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94"/>
      <sheetName val="A6.302"/>
      <sheetName val="A6.303"/>
      <sheetName val="A8.100"/>
      <sheetName val="A2.100"/>
      <sheetName val="AJE-not used"/>
      <sheetName val=" RJE-not used"/>
      <sheetName val="CF2005"/>
      <sheetName val="CF-not used"/>
      <sheetName val="BS restate-not used 05"/>
      <sheetName val="BS 2005"/>
      <sheetName val="PL restate-not used 05"/>
      <sheetName val="PL 2005"/>
      <sheetName val="C101"/>
      <sheetName val="G101"/>
      <sheetName val="G202"/>
      <sheetName val="I101"/>
      <sheetName val="K100"/>
      <sheetName val="K201"/>
      <sheetName val="N101"/>
      <sheetName val="N202"/>
      <sheetName val="N401"/>
      <sheetName val="N501"/>
      <sheetName val="O101"/>
      <sheetName val="O102"/>
      <sheetName val="O103"/>
      <sheetName val="O201"/>
      <sheetName val="O301"/>
      <sheetName val="S101"/>
      <sheetName val="S201"/>
      <sheetName val="T101"/>
      <sheetName val="U101"/>
      <sheetName val="U102"/>
      <sheetName val="U201"/>
      <sheetName val="U301"/>
      <sheetName val="U401"/>
      <sheetName val="U601"/>
      <sheetName val="U701"/>
      <sheetName val="TREASURY "/>
      <sheetName val="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ncome Statement Analytic"/>
      <sheetName val="Balance Sheet Analytic"/>
      <sheetName val="Drill-Down Lists"/>
      <sheetName val="Account Num Descript - Bal Sht "/>
      <sheetName val="Account Num Descript - Inc Stmt"/>
      <sheetName val="Month and Ye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bDetails"/>
      <sheetName val="Cover"/>
      <sheetName val="CFStmt"/>
      <sheetName val="A3-1&amp;2"/>
      <sheetName val="A3-3"/>
      <sheetName val="C"/>
      <sheetName val="G"/>
      <sheetName val="H"/>
      <sheetName val="P"/>
      <sheetName val="T"/>
      <sheetName val="U1"/>
      <sheetName val="AA20"/>
      <sheetName val="U3"/>
      <sheetName val="A3-4"/>
      <sheetName val="A3-5"/>
      <sheetName val="Blank"/>
      <sheetName val="COA"/>
      <sheetName val="TB_05"/>
      <sheetName val="jun94"/>
      <sheetName val="Guide"/>
      <sheetName val="WC"/>
      <sheetName val="Bank (Final)"/>
      <sheetName val="Profit and Loss"/>
      <sheetName val="AR Sheet"/>
    </sheetNames>
    <sheetDataSet>
      <sheetData sheetId="0" refreshError="1">
        <row r="56">
          <cell r="A56" t="str">
            <v>BALANCE SHEET</v>
          </cell>
          <cell r="C56" t="str">
            <v>A3-1&amp;2</v>
          </cell>
        </row>
        <row r="57">
          <cell r="A57" t="str">
            <v>ASSETS</v>
          </cell>
          <cell r="C57" t="str">
            <v>A3-1</v>
          </cell>
        </row>
        <row r="58">
          <cell r="A58" t="str">
            <v>LIABILITIES</v>
          </cell>
          <cell r="C58" t="str">
            <v>A3-2</v>
          </cell>
        </row>
        <row r="59">
          <cell r="A59" t="str">
            <v>PROFIT &amp; LOSS</v>
          </cell>
          <cell r="C59" t="str">
            <v>A3-3</v>
          </cell>
        </row>
        <row r="60">
          <cell r="A60" t="str">
            <v>CASH &amp; BANK BALANCES</v>
          </cell>
          <cell r="C60" t="str">
            <v>C</v>
          </cell>
        </row>
        <row r="61">
          <cell r="A61" t="str">
            <v>MARKETABLE SECURITIES</v>
          </cell>
          <cell r="C61" t="str">
            <v>D</v>
          </cell>
        </row>
        <row r="62">
          <cell r="A62" t="str">
            <v>TRADE DEBTORS</v>
          </cell>
          <cell r="C62" t="str">
            <v>E</v>
          </cell>
        </row>
        <row r="63">
          <cell r="A63" t="str">
            <v>CONFIRMATION OF TRADE DEBTORS</v>
          </cell>
          <cell r="C63" t="str">
            <v>EE</v>
          </cell>
        </row>
        <row r="64">
          <cell r="A64" t="str">
            <v>STOCKS</v>
          </cell>
          <cell r="C64" t="str">
            <v>F</v>
          </cell>
        </row>
        <row r="65">
          <cell r="A65" t="str">
            <v>OTHER CURRENT ASSETS</v>
          </cell>
          <cell r="C65" t="str">
            <v>G</v>
          </cell>
        </row>
        <row r="66">
          <cell r="A66" t="str">
            <v>INVESTMENTS</v>
          </cell>
          <cell r="C66" t="str">
            <v>H</v>
          </cell>
        </row>
        <row r="67">
          <cell r="A67" t="str">
            <v>INTERCOMPANY BALANCES</v>
          </cell>
          <cell r="C67" t="str">
            <v>I</v>
          </cell>
        </row>
        <row r="68">
          <cell r="A68" t="str">
            <v>LONG-TERM RECEIVABLES, NON-CURRENT DEPOSITS &amp; OTHER ASSETS</v>
          </cell>
          <cell r="C68" t="str">
            <v>J</v>
          </cell>
        </row>
        <row r="69">
          <cell r="A69" t="str">
            <v>PROPERTY, PLANT &amp; EQUIPMENT</v>
          </cell>
          <cell r="C69" t="str">
            <v>K</v>
          </cell>
        </row>
        <row r="70">
          <cell r="A70" t="str">
            <v>INTANGIBLES &amp; DEFERRED CHARGES</v>
          </cell>
          <cell r="C70" t="str">
            <v>L</v>
          </cell>
        </row>
        <row r="71">
          <cell r="A71" t="str">
            <v>TRADE CREDITORS</v>
          </cell>
          <cell r="C71" t="str">
            <v>N</v>
          </cell>
        </row>
        <row r="72">
          <cell r="A72" t="str">
            <v>CONFIRMATION OF TRADE CREDITORS</v>
          </cell>
          <cell r="C72" t="str">
            <v>NN</v>
          </cell>
        </row>
        <row r="73">
          <cell r="A73" t="str">
            <v>OTHER CREDITORS</v>
          </cell>
          <cell r="C73" t="str">
            <v>P</v>
          </cell>
        </row>
        <row r="74">
          <cell r="A74" t="str">
            <v>INCOME TAXES PAYABLE</v>
          </cell>
          <cell r="C74" t="str">
            <v>O</v>
          </cell>
        </row>
        <row r="75">
          <cell r="A75" t="str">
            <v>ACCRUED LIABILITIES &amp; DEFERRED INCOME</v>
          </cell>
          <cell r="C75" t="str">
            <v>P</v>
          </cell>
        </row>
        <row r="76">
          <cell r="A76" t="str">
            <v>LONG-TERM DEBTS</v>
          </cell>
          <cell r="C76" t="str">
            <v>Q</v>
          </cell>
        </row>
        <row r="77">
          <cell r="A77" t="str">
            <v>DEFERRED INCOME TAXES</v>
          </cell>
          <cell r="C77" t="str">
            <v>R</v>
          </cell>
        </row>
        <row r="78">
          <cell r="A78" t="str">
            <v>COMMITMENTS &amp; CONTINGENCIES</v>
          </cell>
          <cell r="C78" t="str">
            <v>S</v>
          </cell>
        </row>
        <row r="79">
          <cell r="A79" t="str">
            <v>SHAREHOLDERS' EQUITY</v>
          </cell>
          <cell r="C79" t="str">
            <v>T</v>
          </cell>
        </row>
        <row r="80">
          <cell r="A80" t="str">
            <v>TURNOVER</v>
          </cell>
          <cell r="C80" t="str">
            <v>U1</v>
          </cell>
        </row>
        <row r="81">
          <cell r="A81" t="str">
            <v>COST OF SALES</v>
          </cell>
          <cell r="C81" t="str">
            <v>U2</v>
          </cell>
        </row>
        <row r="82">
          <cell r="A82" t="str">
            <v>OPERATING EXPENSES</v>
          </cell>
          <cell r="C82" t="str">
            <v>U3</v>
          </cell>
        </row>
        <row r="83">
          <cell r="A83" t="str">
            <v>PERSONNEL EXPENSES</v>
          </cell>
          <cell r="C83" t="str">
            <v>U4</v>
          </cell>
        </row>
        <row r="84">
          <cell r="A84" t="str">
            <v>OTHER INCOME</v>
          </cell>
          <cell r="C84" t="str">
            <v>U7</v>
          </cell>
        </row>
        <row r="85">
          <cell r="A85" t="str">
            <v>ADJUSTING JOURNAL ENTRIES</v>
          </cell>
          <cell r="C85" t="str">
            <v>A3-4</v>
          </cell>
        </row>
        <row r="86">
          <cell r="A86" t="str">
            <v>RECLASSIFICATION JOURNAL ENTRIES</v>
          </cell>
          <cell r="C86" t="str">
            <v>A3-5</v>
          </cell>
        </row>
        <row r="87">
          <cell r="A87" t="str">
            <v>CASHFLOW STATEMENT</v>
          </cell>
          <cell r="C87" t="str">
            <v>A3-9</v>
          </cell>
        </row>
        <row r="88">
          <cell r="A88" t="str">
            <v>RELATED PARTY TRANSACTIONS</v>
          </cell>
          <cell r="C88" t="str">
            <v>A3-20</v>
          </cell>
        </row>
        <row r="89">
          <cell r="A89" t="str">
            <v>FOREIGN EXCHANGE ANALYSIS</v>
          </cell>
          <cell r="C89" t="str">
            <v>A3-23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Analytic"/>
      <sheetName val="Income Statement Analytic"/>
      <sheetName val="Input Period Here"/>
      <sheetName val="Monthly-OOB Summary"/>
      <sheetName val="Actual"/>
      <sheetName val="Month and Year"/>
      <sheetName val="BS&amp;IS"/>
      <sheetName val="pca sets"/>
      <sheetName val="FDM Mapping-BS-ECC5"/>
      <sheetName val="FDM Mapping-IS"/>
      <sheetName val="FDM Mapping-ECC6"/>
      <sheetName val="JE Checking Log"/>
      <sheetName val="Monthly-Direct CF Errors"/>
      <sheetName val="Monthly-Backlog &amp; Orders LC"/>
      <sheetName val="ME Checklist"/>
      <sheetName val="QTR-OOB Summary"/>
      <sheetName val="QTR-Reserve OOB"/>
      <sheetName val="QTR-Supplemental OOB"/>
      <sheetName val="Tax JE-Check"/>
      <sheetName val="Tax BS Roll Review"/>
      <sheetName val="YE OOB"/>
      <sheetName val="Multiple PeriodEntity-Francis"/>
      <sheetName val="All Entities Yearly Comparison"/>
      <sheetName val="Actual Year End"/>
      <sheetName val="Dropdown List"/>
      <sheetName val="Monthly-CF Err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roll"/>
      <sheetName val="Paylist&amp;JE"/>
      <sheetName val="HR Data"/>
      <sheetName val="Attendance"/>
      <sheetName val="Allowance"/>
      <sheetName val="Property"/>
    </sheetNames>
    <sheetDataSet>
      <sheetData sheetId="0"/>
      <sheetData sheetId="1"/>
      <sheetData sheetId="2"/>
      <sheetData sheetId="3">
        <row r="3">
          <cell r="C3">
            <v>40878</v>
          </cell>
        </row>
      </sheetData>
      <sheetData sheetId="4">
        <row r="6">
          <cell r="B6" t="str">
            <v>G134</v>
          </cell>
        </row>
      </sheetData>
      <sheetData sheetId="5">
        <row r="4">
          <cell r="D4" t="str">
            <v>个人 Individual</v>
          </cell>
          <cell r="I4" t="str">
            <v>公司 Company</v>
          </cell>
        </row>
        <row r="5">
          <cell r="C5" t="str">
            <v>托管中心
Check Location</v>
          </cell>
          <cell r="D5" t="str">
            <v xml:space="preserve">养老保险
Social Insurance1 </v>
          </cell>
          <cell r="E5" t="str">
            <v>医疗保险
Social Benefit2</v>
          </cell>
          <cell r="F5" t="str">
            <v>医疗救助
Social Insurance3</v>
          </cell>
          <cell r="G5" t="str">
            <v>失业保险
Social Insurance4</v>
          </cell>
          <cell r="H5" t="str">
            <v xml:space="preserve">公积金
CPF </v>
          </cell>
          <cell r="I5" t="str">
            <v xml:space="preserve">养老保险
Social Insurance1 </v>
          </cell>
          <cell r="J5" t="str">
            <v>医疗保险
Social Insurance2</v>
          </cell>
          <cell r="K5" t="str">
            <v>失业保险
Social Insurance4</v>
          </cell>
          <cell r="L5" t="str">
            <v>工伤保险
Social Insurance5</v>
          </cell>
          <cell r="M5" t="str">
            <v>生育保险
Social Insurance6</v>
          </cell>
          <cell r="N5" t="str">
            <v xml:space="preserve">公积金
CPF </v>
          </cell>
          <cell r="O5" t="str">
            <v>综合保险
Social Insurance7</v>
          </cell>
        </row>
        <row r="6">
          <cell r="C6" t="str">
            <v>CZEPZ</v>
          </cell>
          <cell r="D6">
            <v>0.08</v>
          </cell>
          <cell r="E6">
            <v>0.02</v>
          </cell>
          <cell r="F6">
            <v>5</v>
          </cell>
          <cell r="G6">
            <v>0.01</v>
          </cell>
          <cell r="H6">
            <v>0.1</v>
          </cell>
          <cell r="I6">
            <v>0.20499999999999999</v>
          </cell>
          <cell r="J6">
            <v>0.08</v>
          </cell>
          <cell r="K6">
            <v>0.02</v>
          </cell>
          <cell r="L6">
            <v>0.01</v>
          </cell>
          <cell r="M6">
            <v>8.0000000000000002E-3</v>
          </cell>
          <cell r="N6">
            <v>0.1</v>
          </cell>
        </row>
        <row r="7">
          <cell r="C7" t="str">
            <v>CZEPZ - OuKai</v>
          </cell>
          <cell r="D7">
            <v>0.08</v>
          </cell>
          <cell r="E7">
            <v>0.02</v>
          </cell>
          <cell r="F7">
            <v>5</v>
          </cell>
          <cell r="G7">
            <v>0.01</v>
          </cell>
          <cell r="H7">
            <v>0.1</v>
          </cell>
          <cell r="I7">
            <v>0.20499999999999999</v>
          </cell>
          <cell r="J7">
            <v>0.08</v>
          </cell>
          <cell r="K7">
            <v>0.02</v>
          </cell>
          <cell r="L7">
            <v>5.0000000000000001E-3</v>
          </cell>
          <cell r="M7">
            <v>8.0000000000000002E-3</v>
          </cell>
          <cell r="N7">
            <v>0.1</v>
          </cell>
        </row>
        <row r="8">
          <cell r="C8" t="str">
            <v>CZEPZ - Dongxu</v>
          </cell>
          <cell r="D8">
            <v>0.08</v>
          </cell>
          <cell r="E8">
            <v>0.02</v>
          </cell>
          <cell r="F8">
            <v>5</v>
          </cell>
          <cell r="G8">
            <v>0.01</v>
          </cell>
          <cell r="H8">
            <v>0.1</v>
          </cell>
          <cell r="I8">
            <v>0.20499999999999999</v>
          </cell>
          <cell r="J8">
            <v>0.08</v>
          </cell>
          <cell r="K8">
            <v>0.02</v>
          </cell>
          <cell r="L8">
            <v>0.01</v>
          </cell>
          <cell r="M8">
            <v>8.0000000000000002E-3</v>
          </cell>
          <cell r="N8">
            <v>0.1</v>
          </cell>
        </row>
        <row r="9">
          <cell r="C9" t="str">
            <v>CZEPZ - FESCO(SuZ)</v>
          </cell>
          <cell r="D9">
            <v>0.08</v>
          </cell>
          <cell r="E9">
            <v>0.03</v>
          </cell>
          <cell r="H9">
            <v>0.08</v>
          </cell>
          <cell r="I9">
            <v>0.15</v>
          </cell>
          <cell r="J9">
            <v>0.01</v>
          </cell>
          <cell r="K9">
            <v>0.01</v>
          </cell>
          <cell r="L9">
            <v>0.01</v>
          </cell>
          <cell r="M9">
            <v>0.01</v>
          </cell>
          <cell r="N9">
            <v>0.08</v>
          </cell>
        </row>
        <row r="10">
          <cell r="C10" t="str">
            <v>CZEPZ - FESCO(NJ)</v>
          </cell>
          <cell r="D10">
            <v>0.08</v>
          </cell>
          <cell r="E10">
            <v>0.02</v>
          </cell>
          <cell r="F10">
            <v>10</v>
          </cell>
          <cell r="G10">
            <v>0.01</v>
          </cell>
          <cell r="H10">
            <v>0.1</v>
          </cell>
          <cell r="I10">
            <v>0.2</v>
          </cell>
          <cell r="J10">
            <v>0.09</v>
          </cell>
          <cell r="K10">
            <v>0.01</v>
          </cell>
          <cell r="L10">
            <v>5.0000000000000001E-3</v>
          </cell>
          <cell r="M10">
            <v>8.0000000000000002E-3</v>
          </cell>
          <cell r="N10">
            <v>0.1</v>
          </cell>
        </row>
        <row r="11">
          <cell r="C11" t="str">
            <v>CZEPZ - FESCO(SH)</v>
          </cell>
          <cell r="D11">
            <v>0.08</v>
          </cell>
          <cell r="E11">
            <v>0.02</v>
          </cell>
          <cell r="G11">
            <v>0.01</v>
          </cell>
          <cell r="H11">
            <v>7.0000000000000007E-2</v>
          </cell>
          <cell r="I11">
            <v>0.22</v>
          </cell>
          <cell r="J11">
            <v>0.12</v>
          </cell>
          <cell r="K11">
            <v>0.02</v>
          </cell>
          <cell r="L11">
            <v>5.0000000000000001E-3</v>
          </cell>
          <cell r="M11">
            <v>5.0000000000000001E-3</v>
          </cell>
          <cell r="N11">
            <v>7.0000000000000007E-2</v>
          </cell>
        </row>
        <row r="12">
          <cell r="C12" t="str">
            <v>CZEPZ - FESCO(ShenZ)</v>
          </cell>
          <cell r="D12">
            <v>0.08</v>
          </cell>
          <cell r="E12">
            <v>0.02</v>
          </cell>
          <cell r="G12">
            <v>0.01</v>
          </cell>
          <cell r="I12">
            <v>0.11</v>
          </cell>
          <cell r="J12">
            <v>4.4999999999999998E-2</v>
          </cell>
          <cell r="K12">
            <v>15.58</v>
          </cell>
          <cell r="L12">
            <v>2.5000000000000001E-3</v>
          </cell>
          <cell r="M12">
            <v>5.0000000000000001E-3</v>
          </cell>
          <cell r="N12">
            <v>0.13</v>
          </cell>
          <cell r="O12">
            <v>15.58</v>
          </cell>
        </row>
        <row r="13">
          <cell r="C13" t="str">
            <v>CZEPZ - FESCO(Wuxi)</v>
          </cell>
          <cell r="D13">
            <v>0.08</v>
          </cell>
          <cell r="E13">
            <v>0.02</v>
          </cell>
          <cell r="G13">
            <v>0.01</v>
          </cell>
          <cell r="H13">
            <v>0.1</v>
          </cell>
          <cell r="I13">
            <v>0.2</v>
          </cell>
          <cell r="J13">
            <v>0.09</v>
          </cell>
          <cell r="K13">
            <v>0.02</v>
          </cell>
          <cell r="L13">
            <v>3.0000000000000001E-3</v>
          </cell>
          <cell r="M13">
            <v>6.0000000000000001E-3</v>
          </cell>
          <cell r="N13">
            <v>0.1</v>
          </cell>
        </row>
        <row r="14">
          <cell r="C14" t="str">
            <v>ZJEPZ</v>
          </cell>
          <cell r="D14">
            <v>0.08</v>
          </cell>
          <cell r="E14">
            <v>2.5000000000000001E-2</v>
          </cell>
          <cell r="G14">
            <v>0.01</v>
          </cell>
          <cell r="H14">
            <v>0.1</v>
          </cell>
          <cell r="I14">
            <v>0.21</v>
          </cell>
          <cell r="J14">
            <v>0.09</v>
          </cell>
          <cell r="K14">
            <v>0.02</v>
          </cell>
          <cell r="L14">
            <v>0.01</v>
          </cell>
          <cell r="M14">
            <v>6.0000000000000001E-3</v>
          </cell>
          <cell r="N14">
            <v>0.1</v>
          </cell>
        </row>
        <row r="15">
          <cell r="C15" t="str">
            <v>ZJEPZ - FESCO(SuZ)</v>
          </cell>
          <cell r="D15">
            <v>0.08</v>
          </cell>
          <cell r="E15">
            <v>0.03</v>
          </cell>
          <cell r="H15">
            <v>0.08</v>
          </cell>
          <cell r="I15">
            <v>0.15</v>
          </cell>
          <cell r="J15">
            <v>0.01</v>
          </cell>
          <cell r="K15">
            <v>0.01</v>
          </cell>
          <cell r="L15">
            <v>0.01</v>
          </cell>
          <cell r="M15">
            <v>0.01</v>
          </cell>
          <cell r="N15">
            <v>0.08</v>
          </cell>
        </row>
        <row r="18">
          <cell r="F18" t="str">
            <v>等级(下限)
Grand (Low Limited)</v>
          </cell>
          <cell r="G18" t="str">
            <v xml:space="preserve">税率
ITT Rate </v>
          </cell>
          <cell r="H18" t="str">
            <v>扣除数
Deduction</v>
          </cell>
        </row>
        <row r="19">
          <cell r="F19">
            <v>0</v>
          </cell>
          <cell r="G19">
            <v>0.03</v>
          </cell>
          <cell r="H19">
            <v>0</v>
          </cell>
        </row>
        <row r="20">
          <cell r="F20">
            <v>1500</v>
          </cell>
          <cell r="G20">
            <v>0.1</v>
          </cell>
          <cell r="H20">
            <v>105</v>
          </cell>
        </row>
        <row r="21">
          <cell r="F21">
            <v>4500</v>
          </cell>
          <cell r="G21">
            <v>0.2</v>
          </cell>
          <cell r="H21">
            <v>555</v>
          </cell>
        </row>
        <row r="22">
          <cell r="F22">
            <v>9000</v>
          </cell>
          <cell r="G22">
            <v>0.25</v>
          </cell>
          <cell r="H22">
            <v>1005</v>
          </cell>
        </row>
        <row r="23">
          <cell r="F23">
            <v>35000</v>
          </cell>
          <cell r="G23">
            <v>0.3</v>
          </cell>
          <cell r="H23">
            <v>2755</v>
          </cell>
        </row>
        <row r="24">
          <cell r="F24">
            <v>55000</v>
          </cell>
          <cell r="G24">
            <v>0.35</v>
          </cell>
          <cell r="H24">
            <v>5505</v>
          </cell>
        </row>
        <row r="25">
          <cell r="F25">
            <v>80000</v>
          </cell>
          <cell r="G25">
            <v>0.45</v>
          </cell>
          <cell r="H25">
            <v>13505</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RP16"/>
      <sheetName val="Macro1"/>
    </sheetNames>
    <sheetDataSet>
      <sheetData sheetId="0"/>
      <sheetData sheetId="1">
        <row r="1">
          <cell r="A1" t="str">
            <v>Macro1</v>
          </cell>
        </row>
        <row r="8">
          <cell r="A8" t="str">
            <v>Macro2</v>
          </cell>
        </row>
        <row r="15">
          <cell r="A15" t="str">
            <v>Macro3</v>
          </cell>
        </row>
        <row r="22">
          <cell r="A22" t="str">
            <v>Macro4</v>
          </cell>
        </row>
        <row r="29">
          <cell r="A29" t="str">
            <v>Macro5</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row r="1">
          <cell r="A1" t="str">
            <v>100027-002</v>
          </cell>
          <cell r="B1">
            <v>68351.8</v>
          </cell>
        </row>
        <row r="2">
          <cell r="A2" t="str">
            <v>100028-002</v>
          </cell>
          <cell r="B2">
            <v>314351</v>
          </cell>
        </row>
        <row r="3">
          <cell r="A3" t="str">
            <v>100028-003</v>
          </cell>
          <cell r="B3">
            <v>6590.35</v>
          </cell>
        </row>
        <row r="4">
          <cell r="A4" t="str">
            <v>100151-001</v>
          </cell>
          <cell r="B4">
            <v>11172.5</v>
          </cell>
        </row>
        <row r="5">
          <cell r="A5" t="str">
            <v>100152-001</v>
          </cell>
          <cell r="B5">
            <v>6431.7</v>
          </cell>
        </row>
        <row r="6">
          <cell r="A6" t="str">
            <v>100171-001</v>
          </cell>
          <cell r="B6">
            <v>22243</v>
          </cell>
        </row>
        <row r="7">
          <cell r="A7" t="str">
            <v>100172-001</v>
          </cell>
          <cell r="B7">
            <v>149256.57</v>
          </cell>
        </row>
        <row r="8">
          <cell r="A8" t="str">
            <v>100192-001</v>
          </cell>
          <cell r="B8">
            <v>21421.25</v>
          </cell>
        </row>
        <row r="9">
          <cell r="A9" t="str">
            <v>100204-001</v>
          </cell>
          <cell r="B9">
            <v>50485</v>
          </cell>
        </row>
        <row r="10">
          <cell r="A10" t="str">
            <v>200002-001</v>
          </cell>
          <cell r="B10">
            <v>827264</v>
          </cell>
        </row>
        <row r="11">
          <cell r="A11" t="str">
            <v>200004-001</v>
          </cell>
          <cell r="B11">
            <v>550</v>
          </cell>
        </row>
        <row r="12">
          <cell r="A12" t="str">
            <v>200006-001</v>
          </cell>
          <cell r="B12">
            <v>886811</v>
          </cell>
        </row>
        <row r="13">
          <cell r="A13" t="str">
            <v>200007-001</v>
          </cell>
          <cell r="B13">
            <v>1111135</v>
          </cell>
        </row>
        <row r="14">
          <cell r="A14" t="str">
            <v>200009-001</v>
          </cell>
          <cell r="B14">
            <v>404077</v>
          </cell>
        </row>
        <row r="15">
          <cell r="A15" t="str">
            <v>200010-001</v>
          </cell>
          <cell r="B15">
            <v>2006286</v>
          </cell>
        </row>
        <row r="16">
          <cell r="A16" t="str">
            <v>200012-001</v>
          </cell>
          <cell r="B16">
            <v>1187268</v>
          </cell>
        </row>
        <row r="17">
          <cell r="A17" t="str">
            <v>200012-005</v>
          </cell>
          <cell r="B17">
            <v>146100</v>
          </cell>
        </row>
        <row r="18">
          <cell r="A18" t="str">
            <v>200012-006</v>
          </cell>
          <cell r="B18">
            <v>146900</v>
          </cell>
        </row>
        <row r="19">
          <cell r="A19" t="str">
            <v>200013-001</v>
          </cell>
          <cell r="B19">
            <v>6860</v>
          </cell>
        </row>
        <row r="20">
          <cell r="A20" t="str">
            <v>200013-003</v>
          </cell>
          <cell r="B20">
            <v>45712</v>
          </cell>
        </row>
        <row r="21">
          <cell r="A21" t="str">
            <v>200013-004</v>
          </cell>
          <cell r="B21">
            <v>14320</v>
          </cell>
        </row>
        <row r="22">
          <cell r="A22" t="str">
            <v>200013-005</v>
          </cell>
          <cell r="B22">
            <v>10340</v>
          </cell>
        </row>
        <row r="23">
          <cell r="A23" t="str">
            <v>200016-001</v>
          </cell>
          <cell r="B23">
            <v>86526.186300000001</v>
          </cell>
        </row>
        <row r="24">
          <cell r="A24" t="str">
            <v>200016-002</v>
          </cell>
          <cell r="B24">
            <v>15833.964</v>
          </cell>
        </row>
        <row r="25">
          <cell r="A25" t="str">
            <v>200017-001</v>
          </cell>
          <cell r="B25">
            <v>60690.32</v>
          </cell>
        </row>
        <row r="26">
          <cell r="A26" t="str">
            <v>200017-002</v>
          </cell>
          <cell r="B26">
            <v>18450.86</v>
          </cell>
        </row>
        <row r="27">
          <cell r="A27" t="str">
            <v>200018-001</v>
          </cell>
          <cell r="B27">
            <v>59769.012000000002</v>
          </cell>
        </row>
        <row r="28">
          <cell r="A28" t="str">
            <v>200019-001</v>
          </cell>
          <cell r="B28">
            <v>24404</v>
          </cell>
        </row>
        <row r="29">
          <cell r="A29" t="str">
            <v>200019-002</v>
          </cell>
          <cell r="B29">
            <v>23776</v>
          </cell>
        </row>
        <row r="30">
          <cell r="A30" t="str">
            <v>200019-003</v>
          </cell>
          <cell r="B30">
            <v>17130</v>
          </cell>
        </row>
        <row r="31">
          <cell r="A31" t="str">
            <v>200019-004</v>
          </cell>
          <cell r="B31">
            <v>14532</v>
          </cell>
        </row>
        <row r="32">
          <cell r="A32" t="str">
            <v>200025-002</v>
          </cell>
          <cell r="B32">
            <v>4.0149999999999997</v>
          </cell>
        </row>
        <row r="33">
          <cell r="A33" t="str">
            <v>200028-001</v>
          </cell>
          <cell r="B33">
            <v>877348</v>
          </cell>
        </row>
        <row r="34">
          <cell r="A34" t="str">
            <v>200058-001</v>
          </cell>
          <cell r="B34">
            <v>43652</v>
          </cell>
        </row>
        <row r="35">
          <cell r="A35" t="str">
            <v>200059-001</v>
          </cell>
          <cell r="B35">
            <v>68241</v>
          </cell>
        </row>
        <row r="36">
          <cell r="A36" t="str">
            <v>200060-001</v>
          </cell>
          <cell r="B36">
            <v>43579</v>
          </cell>
        </row>
        <row r="37">
          <cell r="A37" t="str">
            <v>200061-001</v>
          </cell>
          <cell r="B37">
            <v>68384</v>
          </cell>
        </row>
        <row r="38">
          <cell r="A38" t="str">
            <v>200062-001</v>
          </cell>
          <cell r="B38">
            <v>119342</v>
          </cell>
        </row>
        <row r="39">
          <cell r="A39" t="str">
            <v>200065-001</v>
          </cell>
          <cell r="B39">
            <v>184034</v>
          </cell>
        </row>
        <row r="40">
          <cell r="A40" t="str">
            <v>200067-001</v>
          </cell>
          <cell r="B40">
            <v>53623</v>
          </cell>
        </row>
        <row r="41">
          <cell r="A41" t="str">
            <v>200068-001</v>
          </cell>
          <cell r="B41">
            <v>17256</v>
          </cell>
        </row>
        <row r="42">
          <cell r="A42" t="str">
            <v>200068-002</v>
          </cell>
          <cell r="B42">
            <v>26473</v>
          </cell>
        </row>
        <row r="43">
          <cell r="A43" t="str">
            <v>200070-001</v>
          </cell>
          <cell r="B43">
            <v>23737</v>
          </cell>
        </row>
        <row r="44">
          <cell r="A44" t="str">
            <v>200070-002</v>
          </cell>
          <cell r="B44">
            <v>30231</v>
          </cell>
        </row>
        <row r="45">
          <cell r="A45" t="str">
            <v>200071-001</v>
          </cell>
          <cell r="B45">
            <v>27020</v>
          </cell>
        </row>
        <row r="46">
          <cell r="A46" t="str">
            <v>200072-001</v>
          </cell>
          <cell r="B46">
            <v>21500</v>
          </cell>
        </row>
        <row r="47">
          <cell r="A47" t="str">
            <v>200080-001</v>
          </cell>
          <cell r="B47">
            <v>340500</v>
          </cell>
        </row>
        <row r="48">
          <cell r="A48" t="str">
            <v>200099-001</v>
          </cell>
          <cell r="B48">
            <v>79499</v>
          </cell>
        </row>
        <row r="49">
          <cell r="A49" t="str">
            <v>200100-001</v>
          </cell>
          <cell r="B49">
            <v>56000</v>
          </cell>
        </row>
        <row r="50">
          <cell r="A50" t="str">
            <v>200101-001</v>
          </cell>
          <cell r="B50">
            <v>9150</v>
          </cell>
        </row>
        <row r="51">
          <cell r="A51" t="str">
            <v>200121-001</v>
          </cell>
          <cell r="B51">
            <v>74353</v>
          </cell>
        </row>
        <row r="52">
          <cell r="A52" t="str">
            <v>200122-001</v>
          </cell>
          <cell r="B52">
            <v>6375</v>
          </cell>
        </row>
        <row r="53">
          <cell r="A53" t="str">
            <v>200124-001</v>
          </cell>
          <cell r="B53">
            <v>2730</v>
          </cell>
        </row>
        <row r="54">
          <cell r="A54" t="str">
            <v>200125-001</v>
          </cell>
          <cell r="B54">
            <v>3930</v>
          </cell>
        </row>
        <row r="55">
          <cell r="A55" t="str">
            <v>200129-001</v>
          </cell>
          <cell r="B55">
            <v>2580</v>
          </cell>
        </row>
        <row r="56">
          <cell r="A56" t="str">
            <v>200131-001</v>
          </cell>
          <cell r="B56">
            <v>150182</v>
          </cell>
        </row>
        <row r="57">
          <cell r="A57" t="str">
            <v>300006-001</v>
          </cell>
          <cell r="B57">
            <v>557157</v>
          </cell>
        </row>
        <row r="58">
          <cell r="A58" t="str">
            <v>300008-001</v>
          </cell>
          <cell r="B58">
            <v>294292</v>
          </cell>
        </row>
        <row r="59">
          <cell r="A59" t="str">
            <v>300044-001</v>
          </cell>
          <cell r="B59">
            <v>86560</v>
          </cell>
        </row>
        <row r="60">
          <cell r="A60" t="str">
            <v>300044-002</v>
          </cell>
          <cell r="B60">
            <v>84997</v>
          </cell>
        </row>
        <row r="61">
          <cell r="A61" t="str">
            <v>300046-001</v>
          </cell>
          <cell r="B61">
            <v>26202</v>
          </cell>
        </row>
        <row r="62">
          <cell r="A62" t="str">
            <v>300046-002</v>
          </cell>
          <cell r="B62">
            <v>9030</v>
          </cell>
        </row>
        <row r="63">
          <cell r="A63" t="str">
            <v>300047-001</v>
          </cell>
          <cell r="B63">
            <v>33482</v>
          </cell>
        </row>
        <row r="64">
          <cell r="A64" t="str">
            <v>300047-002</v>
          </cell>
          <cell r="B64">
            <v>9125</v>
          </cell>
        </row>
        <row r="65">
          <cell r="A65" t="str">
            <v>300048-001</v>
          </cell>
          <cell r="B65">
            <v>4250</v>
          </cell>
        </row>
        <row r="66">
          <cell r="A66" t="str">
            <v>300048-002</v>
          </cell>
          <cell r="B66">
            <v>485</v>
          </cell>
        </row>
        <row r="67">
          <cell r="A67" t="str">
            <v>300048-003</v>
          </cell>
          <cell r="B67">
            <v>3130</v>
          </cell>
        </row>
        <row r="68">
          <cell r="A68" t="str">
            <v>300040-001</v>
          </cell>
          <cell r="B68">
            <v>8846</v>
          </cell>
        </row>
        <row r="69">
          <cell r="A69" t="str">
            <v>300045-001</v>
          </cell>
          <cell r="B69">
            <v>1094</v>
          </cell>
        </row>
        <row r="70">
          <cell r="A70" t="str">
            <v>300045-002</v>
          </cell>
          <cell r="B70">
            <v>1047</v>
          </cell>
        </row>
        <row r="71">
          <cell r="A71" t="str">
            <v>300045-004</v>
          </cell>
          <cell r="B71">
            <v>0</v>
          </cell>
        </row>
        <row r="72">
          <cell r="A72" t="str">
            <v>300050-001</v>
          </cell>
          <cell r="B72">
            <v>2534</v>
          </cell>
        </row>
        <row r="73">
          <cell r="A73" t="str">
            <v>300055-001</v>
          </cell>
          <cell r="B73">
            <v>0</v>
          </cell>
        </row>
        <row r="74">
          <cell r="A74" t="str">
            <v>300055-003</v>
          </cell>
          <cell r="B74">
            <v>720</v>
          </cell>
        </row>
        <row r="75">
          <cell r="A75" t="str">
            <v>300071-001</v>
          </cell>
          <cell r="B75">
            <v>3113</v>
          </cell>
        </row>
        <row r="76">
          <cell r="A76" t="str">
            <v>300075-001</v>
          </cell>
          <cell r="B76">
            <v>2586</v>
          </cell>
        </row>
        <row r="77">
          <cell r="A77" t="str">
            <v>300075-003</v>
          </cell>
          <cell r="B77">
            <v>936</v>
          </cell>
        </row>
        <row r="78">
          <cell r="A78" t="str">
            <v>300001-001</v>
          </cell>
          <cell r="B78">
            <v>0</v>
          </cell>
        </row>
        <row r="79">
          <cell r="A79" t="str">
            <v>300063-001</v>
          </cell>
          <cell r="B79">
            <v>21734</v>
          </cell>
        </row>
        <row r="80">
          <cell r="A80" t="str">
            <v>300001-002</v>
          </cell>
          <cell r="B80">
            <v>0</v>
          </cell>
        </row>
        <row r="81">
          <cell r="A81" t="str">
            <v>300063-002</v>
          </cell>
          <cell r="B81">
            <v>12682</v>
          </cell>
        </row>
        <row r="82">
          <cell r="A82" t="str">
            <v>200077-001</v>
          </cell>
          <cell r="B82">
            <v>93</v>
          </cell>
        </row>
        <row r="83">
          <cell r="A83" t="str">
            <v>200079-001</v>
          </cell>
          <cell r="B83">
            <v>7081</v>
          </cell>
        </row>
        <row r="84">
          <cell r="A84" t="str">
            <v>200079-002</v>
          </cell>
          <cell r="B84">
            <v>392</v>
          </cell>
        </row>
        <row r="85">
          <cell r="A85" t="str">
            <v>200106-002</v>
          </cell>
          <cell r="B85">
            <v>2777</v>
          </cell>
        </row>
        <row r="86">
          <cell r="A86" t="str">
            <v>200107-001</v>
          </cell>
          <cell r="B86">
            <v>12264</v>
          </cell>
        </row>
        <row r="87">
          <cell r="A87" t="str">
            <v>200107-002</v>
          </cell>
          <cell r="B87">
            <v>21399</v>
          </cell>
        </row>
        <row r="88">
          <cell r="A88" t="str">
            <v>200116-001</v>
          </cell>
          <cell r="B88">
            <v>403</v>
          </cell>
        </row>
        <row r="89">
          <cell r="A89" t="str">
            <v>200118-001</v>
          </cell>
          <cell r="B89">
            <v>4526</v>
          </cell>
        </row>
        <row r="90">
          <cell r="A90" t="str">
            <v>300040-002</v>
          </cell>
          <cell r="B90">
            <v>18</v>
          </cell>
        </row>
        <row r="91">
          <cell r="A91" t="str">
            <v>300043-001</v>
          </cell>
          <cell r="B91">
            <v>5908</v>
          </cell>
        </row>
        <row r="92">
          <cell r="A92" t="str">
            <v>300043-002</v>
          </cell>
          <cell r="B92">
            <v>2149</v>
          </cell>
        </row>
        <row r="93">
          <cell r="A93" t="str">
            <v>300061-001</v>
          </cell>
          <cell r="B93">
            <v>11753</v>
          </cell>
        </row>
        <row r="94">
          <cell r="A94" t="str">
            <v>300061-002</v>
          </cell>
          <cell r="B94">
            <v>22913</v>
          </cell>
        </row>
        <row r="95">
          <cell r="A95" t="str">
            <v>300074-001</v>
          </cell>
          <cell r="B95">
            <v>4806</v>
          </cell>
        </row>
      </sheetData>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Data"/>
      <sheetName val="Cover"/>
      <sheetName val="BSTemplate"/>
      <sheetName val="TB"/>
      <sheetName val="FDM"/>
      <sheetName val="JE"/>
      <sheetName val="HFM"/>
      <sheetName val="BS11100"/>
      <sheetName val="502047"/>
      <sheetName val="502658"/>
      <sheetName val="BOA-USD  (2)"/>
      <sheetName val="BOA-EUR (2)"/>
      <sheetName val="502690"/>
      <sheetName val="bank draft (2)"/>
      <sheetName val="BOC-CNY (2)"/>
      <sheetName val="ICBC-CNY  (2)"/>
      <sheetName val="BS15100"/>
      <sheetName val="AR ageing report"/>
      <sheetName val="BS15200"/>
      <sheetName val="ssc charge"/>
      <sheetName val="deposit"/>
      <sheetName val="bidding deposit"/>
      <sheetName val="BS15300"/>
      <sheetName val="unbilled sales"/>
      <sheetName val="Mengniu adj"/>
      <sheetName val="BS15400"/>
      <sheetName val="accrual sales"/>
      <sheetName val="ICO AR ageing"/>
      <sheetName val="BS15430"/>
      <sheetName val="BOA"/>
      <sheetName val="BS15600"/>
      <sheetName val="bad debt"/>
      <sheetName val="BS15650"/>
      <sheetName val="credit memo resere"/>
      <sheetName val="BS15440"/>
      <sheetName val="BS21100"/>
      <sheetName val="GIT ageing"/>
      <sheetName val="551000 RM"/>
      <sheetName val="BS21200"/>
      <sheetName val="561000"/>
      <sheetName val="Sheet1"/>
      <sheetName val="561010"/>
      <sheetName val="571020"/>
      <sheetName val="BS21300"/>
      <sheetName val="adjust cost"/>
      <sheetName val="552100 "/>
      <sheetName val="552500"/>
      <sheetName val="FG"/>
      <sheetName val="BS23200"/>
      <sheetName val="shrinkage reseve"/>
      <sheetName val="BS21400"/>
      <sheetName val="BS21400-1"/>
      <sheetName val="BS21400-2"/>
      <sheetName val="BS23300"/>
      <sheetName val="585100E&amp;O"/>
      <sheetName val="BS26100"/>
      <sheetName val="BS26200"/>
      <sheetName val="DEFER TAX"/>
      <sheetName val="BS27010"/>
      <sheetName val="Sheet3"/>
      <sheetName val="BS27010-1"/>
      <sheetName val="530301"/>
      <sheetName val="BS27045"/>
      <sheetName val="BS27050"/>
      <sheetName val="540100"/>
      <sheetName val="BS27060"/>
      <sheetName val="540401"/>
      <sheetName val="BS33120"/>
      <sheetName val="BS33130"/>
      <sheetName val="BS33150"/>
      <sheetName val="CIP detail"/>
      <sheetName val="CIP"/>
      <sheetName val="BS33600"/>
      <sheetName val="depre adj"/>
      <sheetName val="FA Intag. GAAP JE"/>
      <sheetName val="FA &amp; Intag full llist"/>
      <sheetName val="BS52100"/>
      <sheetName val="Employee exp"/>
      <sheetName val="AP ageing"/>
      <sheetName val="BS52150"/>
      <sheetName val="detail"/>
      <sheetName val="3rd GRIR"/>
      <sheetName val="731600"/>
      <sheetName val="IC GRIR"/>
      <sheetName val="Sheet2"/>
      <sheetName val="BS52200"/>
      <sheetName val="AP interco"/>
      <sheetName val="BS53670"/>
      <sheetName val="prof fee"/>
      <sheetName val="BS53710"/>
      <sheetName val="VAT Recon"/>
      <sheetName val="output VAT 1507"/>
      <sheetName val="input VAT 1507"/>
      <sheetName val="BS53770"/>
      <sheetName val="COMMISSION"/>
      <sheetName val="BS53810"/>
      <sheetName val="customer adv524710"/>
      <sheetName val="524735&amp;524750"/>
      <sheetName val="731102"/>
      <sheetName val="BS61300"/>
      <sheetName val="BS42100"/>
      <sheetName val="BS53630"/>
      <sheetName val="740040"/>
      <sheetName val="BS27100"/>
      <sheetName val="BS41100"/>
      <sheetName val="651590"/>
      <sheetName val="651595"/>
      <sheetName val="BS42600"/>
      <sheetName val="BS42350"/>
      <sheetName val="BS43600"/>
      <sheetName val="BS43350"/>
      <sheetName val="BS52230"/>
      <sheetName val="BS53100"/>
      <sheetName val="715105"/>
      <sheetName val="BS53200"/>
      <sheetName val="BS53500"/>
      <sheetName val="bonus "/>
      <sheetName val="BS53512"/>
      <sheetName val="BS53510"/>
      <sheetName val="BS53505"/>
      <sheetName val="740070&amp;80&amp;90"/>
      <sheetName val="BS53300"/>
      <sheetName val="Sheet6"/>
      <sheetName val="740010"/>
      <sheetName val="BS53520"/>
      <sheetName val="SIP"/>
      <sheetName val="BS53540"/>
      <sheetName val="736100&amp;736020"/>
      <sheetName val="BS53550"/>
      <sheetName val="735003"/>
      <sheetName val="BS53560"/>
      <sheetName val="711000"/>
      <sheetName val="BS53580"/>
      <sheetName val="vacation pay"/>
      <sheetName val="BS53820"/>
      <sheetName val="specific warrenty1"/>
      <sheetName val="warranty"/>
      <sheetName val="BS53900"/>
      <sheetName val="738001&amp;738002"/>
      <sheetName val="BS62200"/>
      <sheetName val="BS62100"/>
      <sheetName val="BS64900"/>
      <sheetName val="704000"/>
      <sheetName val="BS65900"/>
      <sheetName val="NPV"/>
      <sheetName val="Accretion_Depreciation"/>
      <sheetName val="BS80100"/>
      <sheetName val="BS81100"/>
      <sheetName val="BS85100"/>
      <sheetName val="Journals"/>
      <sheetName val="Depn"/>
      <sheetName val="Details"/>
      <sheetName val="BSTemplate (4)"/>
      <sheetName val="BSTemplate (3)"/>
      <sheetName val="input vat"/>
      <sheetName val="Journals Goodwill adj"/>
      <sheetName val="VAT before bil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Var Summary"/>
      <sheetName val="FT_China_ops"/>
      <sheetName val=" FT_Australia"/>
      <sheetName val="FT_Japan"/>
      <sheetName val=" FT_Singapore"/>
      <sheetName val=" FT_India"/>
      <sheetName val="FT_Korea"/>
      <sheetName val="Balance Sheet Analytic"/>
      <sheetName val="Income Statement Analytic"/>
      <sheetName val="Month and Year"/>
      <sheetName val="Masterdata"/>
      <sheetName val="Entity"/>
      <sheetName val="Check list"/>
      <sheetName val="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 310304"/>
      <sheetName val="PRC IAS JA"/>
      <sheetName val="IAS R JA"/>
      <sheetName val="SUAD"/>
      <sheetName val="FS"/>
      <sheetName val="cash flow2004"/>
      <sheetName val="cash flow2003"/>
      <sheetName val="highlight"/>
      <sheetName val="highlight NB"/>
      <sheetName val="IAS highl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ory Value report"/>
      <sheetName val="Macro1"/>
    </sheetNames>
    <sheetDataSet>
      <sheetData sheetId="0" refreshError="1"/>
      <sheetData sheetId="1">
        <row r="99">
          <cell r="A99" t="str">
            <v>Recover</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FMBSDB"/>
      <sheetName val="BSTemplate"/>
      <sheetName val="Calcu_BaseUSD"/>
      <sheetName val="Cover"/>
      <sheetName val="Sheet1"/>
      <sheetName val="SPX Account Rec Guidance"/>
      <sheetName val="SAPTB"/>
      <sheetName val="JE Summary"/>
      <sheetName val="HFM BS"/>
      <sheetName val="BS11100"/>
      <sheetName val="501010+502809"/>
      <sheetName val="502809"/>
      <sheetName val="501110+502801"/>
      <sheetName val="502801"/>
      <sheetName val="501000+502808"/>
      <sheetName val="502770"/>
      <sheetName val="502820"/>
      <sheetName val="502830"/>
      <sheetName val="502840"/>
      <sheetName val="BS15100"/>
      <sheetName val="AR3rd"/>
      <sheetName val="BS15200"/>
      <sheetName val="52X000"/>
      <sheetName val="BS15200_bd"/>
      <sheetName val="BS15300"/>
      <sheetName val="571002"/>
      <sheetName val="POC suppotting"/>
      <sheetName val="BS34100"/>
      <sheetName val="cash pool BOA"/>
      <sheetName val="BS15400"/>
      <sheetName val="57X000"/>
      <sheetName val="BS15430"/>
      <sheetName val="BS15440"/>
      <sheetName val="541001"/>
      <sheetName val="541002"/>
      <sheetName val="BS15600"/>
      <sheetName val="BS21100"/>
      <sheetName val="GIT aging"/>
      <sheetName val="BS21200"/>
      <sheetName val="561000"/>
      <sheetName val="561010"/>
      <sheetName val="BS15650"/>
      <sheetName val="Credit Memo"/>
      <sheetName val="credit memo calculate"/>
      <sheetName val="BS21300"/>
      <sheetName val="552X00"/>
      <sheetName val="BS23300"/>
      <sheetName val="wip E&amp;O"/>
      <sheetName val="BS26100"/>
      <sheetName val="BS26200"/>
      <sheetName val="Push down"/>
      <sheetName val="BS27010"/>
      <sheetName val="530302"/>
      <sheetName val="530300"/>
      <sheetName val="BS27050"/>
      <sheetName val="BS27050_BD"/>
      <sheetName val="Amortization template"/>
      <sheetName val="BS27060"/>
      <sheetName val="540400"/>
      <sheetName val="BS27075"/>
      <sheetName val="Deposit"/>
      <sheetName val="BS27100"/>
      <sheetName val="540320"/>
      <sheetName val="540300"/>
      <sheetName val="BS33130"/>
      <sheetName val="BS33600"/>
      <sheetName val="GAAP"/>
      <sheetName val="Status Summary (PA)"/>
      <sheetName val="2185 - China Ltd"/>
      <sheetName val="BS41100"/>
      <sheetName val="651590"/>
      <sheetName val="BS42100"/>
      <sheetName val="BS48205"/>
      <sheetName val="BS48205 supportting "/>
      <sheetName val="BS52100"/>
      <sheetName val="721002"/>
      <sheetName val="72X000"/>
      <sheetName val="BS52150"/>
      <sheetName val="731600"/>
      <sheetName val="721409"/>
      <sheetName val="738400"/>
      <sheetName val="738401"/>
      <sheetName val="738404"/>
      <sheetName val="BS52200"/>
      <sheetName val="77X000"/>
      <sheetName val="ICGIT"/>
      <sheetName val="BS52230"/>
      <sheetName val="Cash Pool"/>
      <sheetName val="BS53200"/>
      <sheetName val="BS53512"/>
      <sheetName val="740090"/>
      <sheetName val="BS53515"/>
      <sheetName val="738600"/>
      <sheetName val="BS53550"/>
      <sheetName val="731801"/>
      <sheetName val="BS53540"/>
      <sheetName val="736000"/>
      <sheetName val="BS53580"/>
      <sheetName val="736210"/>
      <sheetName val="BS53670"/>
      <sheetName val="738100"/>
      <sheetName val="BS53630"/>
      <sheetName val="740040"/>
      <sheetName val="BS53710"/>
      <sheetName val="734001"/>
      <sheetName val="VAT recon"/>
      <sheetName val="not issue invoice"/>
      <sheetName val="VAT input"/>
      <sheetName val="734400"/>
      <sheetName val="BS53770"/>
      <sheetName val="733010"/>
      <sheetName val="BS53810"/>
      <sheetName val="5247XX+731XXX"/>
      <sheetName val="BS53820"/>
      <sheetName val="712000"/>
      <sheetName val="BS53650"/>
      <sheetName val="BS53900"/>
      <sheetName val="738000"/>
      <sheetName val="738018&amp;738001"/>
      <sheetName val="BS61300"/>
      <sheetName val="BS62200"/>
      <sheetName val="BS64900"/>
      <sheetName val="BS80100"/>
      <sheetName val="BS81100"/>
      <sheetName val="BS83100"/>
      <sheetName val="BS85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CJE Details"/>
      <sheetName val="ex.rate 07"/>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oitte Team"/>
      <sheetName val="PBC"/>
      <sheetName val="FA List"/>
      <sheetName val="FA MVT"/>
      <sheetName val="Accrued Liability"/>
      <sheetName val="Sales-Product"/>
      <sheetName val="Sales-Customer"/>
      <sheetName val="GP by Month"/>
      <sheetName val="Manu"/>
      <sheetName val="Non Operating"/>
      <sheetName val="GA"/>
      <sheetName val="Selling"/>
      <sheetName val="Financial"/>
      <sheetName val="Related Party"/>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
      <sheetName val="Staff adv."/>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建信置业"/>
      <sheetName val="杭州华健"/>
      <sheetName val="绍兴信达"/>
      <sheetName val="恒兴房产"/>
      <sheetName val="01-中建置业"/>
      <sheetName val="Tickmarks"/>
      <sheetName val="Interco Balance"/>
      <sheetName val=" BKD "/>
      <sheetName val="Sheet1"/>
      <sheetName val="母公司"/>
      <sheetName val="Leadsheet"/>
      <sheetName val="Dropdown List"/>
      <sheetName val="无形资产汇总表"/>
      <sheetName val="试算平衡表"/>
      <sheetName val="For report-2017"/>
      <sheetName val="5. Resource and Costs Review"/>
      <sheetName val="Sample Design"/>
      <sheetName val="BS"/>
      <sheetName val="PL"/>
      <sheetName val="盘点表"/>
      <sheetName val="A430"/>
      <sheetName val="货币资金-刘超"/>
      <sheetName val="PER SALES ORG"/>
      <sheetName val="银行存款"/>
      <sheetName val="关联方往来余额"/>
      <sheetName val="DANH SÁCH KH -GIÁ"/>
      <sheetName val="B"/>
      <sheetName val="movement"/>
      <sheetName val="其他货币资金.dbf"/>
      <sheetName val="银行存款.dbf"/>
      <sheetName val="递延所得税变动"/>
      <sheetName val="预计负债"/>
      <sheetName val="迈科 - AR"/>
      <sheetName val="Tổng hợp công nợ"/>
      <sheetName val="TGNH-VND"/>
      <sheetName val="CDPS"/>
      <sheetName val="Nhập liệu"/>
      <sheetName val="Danh muc"/>
      <sheetName val="Giá thành"/>
      <sheetName val="Tổng hợp Z"/>
      <sheetName val="Tàikhoản"/>
      <sheetName val="Data"/>
      <sheetName val="NXT"/>
      <sheetName val="Sổ CPKD"/>
      <sheetName val="Lead"/>
      <sheetName val="Links"/>
      <sheetName val="Summary"/>
      <sheetName val="2004"/>
      <sheetName val="关联方往来余额-刘凯、白"/>
      <sheetName val="Plan Control Testing"/>
      <sheetName val="CIP"/>
      <sheetName val="总合并"/>
      <sheetName val="调整明细"/>
      <sheetName val="存货Dy"/>
      <sheetName val="5.基础档案"/>
      <sheetName val="1.合同台账"/>
      <sheetName val="玛钢"/>
      <sheetName val="迈科调整"/>
      <sheetName val="loan database"/>
      <sheetName val="迈科"/>
      <sheetName val="合并层面调整"/>
      <sheetName val="玛钢调整"/>
      <sheetName val="坏账-迈科"/>
      <sheetName val="ECL计算"/>
      <sheetName val="质保金2017"/>
      <sheetName val="YS02-02"/>
      <sheetName val="U1 P&amp;L"/>
      <sheetName val="报表-汇总表核对"/>
      <sheetName val="Worksheet in 6140-1 AP-暂估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oitte Team"/>
      <sheetName val="PBC"/>
      <sheetName val="FA List"/>
      <sheetName val="FA MVT"/>
      <sheetName val="CIT MVT"/>
      <sheetName val="Accrued Liability"/>
      <sheetName val="Sales-Product"/>
      <sheetName val="Sales-Customer"/>
      <sheetName val="GP by Month"/>
      <sheetName val="Manu"/>
      <sheetName val="Non Operating"/>
      <sheetName val="GA"/>
      <sheetName val="Selling"/>
      <sheetName val="Financial"/>
      <sheetName val="Related Party"/>
      <sheetName val="Related Party 2017"/>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
      <sheetName val="1-RPT List"/>
      <sheetName val="2-RPT Transactions and Balances"/>
      <sheetName val="2-1 Confirmation Control"/>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 Breakdown"/>
      <sheetName val="Sheet1"/>
      <sheetName val="mail merge"/>
      <sheetName val="contact"/>
      <sheetName val="Sheet4"/>
      <sheetName val="mail merge (2)"/>
      <sheetName val="Overseas"/>
      <sheetName val="Dome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horisation"/>
      <sheetName val="Summary - P&amp;L (S$)"/>
      <sheetName val="Operational P&amp;L"/>
      <sheetName val="P&amp;L (S$) - Actual Ratio"/>
      <sheetName val="PL(S$)-Actual"/>
      <sheetName val="PL(RMB)-Actual"/>
      <sheetName val="BS (S$) - Actual Ratio"/>
      <sheetName val="BS (S$) - Actual"/>
      <sheetName val="BS (RMB) - Actual"/>
      <sheetName val="AP List - Feb 05"/>
      <sheetName val="Prepayment"/>
      <sheetName val="Inventory Summary"/>
      <sheetName val="Bank"/>
      <sheetName val="ar"/>
      <sheetName val="Other AR"/>
      <sheetName val="FA"/>
      <sheetName val="科目余额表"/>
      <sheetName val="明细分类帐"/>
      <sheetName val="明细分类帐 (2)"/>
      <sheetName val="明细分类帐 (3)"/>
      <sheetName val="明细分类帐 (4)"/>
      <sheetName val="明细分类帐 (5)"/>
      <sheetName val="明细分类帐 (6)"/>
      <sheetName val="2005 YTD Actual"/>
      <sheetName val="jun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应收"/>
      <sheetName val="应付"/>
      <sheetName val="6-1133"/>
      <sheetName val="其他应付"/>
      <sheetName val="7-1131"/>
      <sheetName val="7-2121"/>
      <sheetName val="7-1133"/>
      <sheetName val="8-1131"/>
      <sheetName val="8-2121"/>
      <sheetName val="9-1131"/>
      <sheetName val="9-2121"/>
      <sheetName val="10-1131"/>
      <sheetName val="10-1133"/>
      <sheetName val="10-2121"/>
      <sheetName val="11-1131"/>
      <sheetName val="11-2121"/>
      <sheetName val="12-1131"/>
      <sheetName val="12-2121-1"/>
      <sheetName val="12-2121"/>
      <sheetName val="Sheet2"/>
      <sheetName val="Sheet1"/>
      <sheetName val="ar"/>
      <sheetName val="JobDetails"/>
      <sheetName val="U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78">
          <cell r="L78">
            <v>8648862.6799999997</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客户基本资料"/>
      <sheetName val="资产负债表"/>
      <sheetName val="利润表及分配表"/>
      <sheetName val="现金流量表"/>
      <sheetName val="财务指标统计表"/>
      <sheetName val="外汇情况表"/>
      <sheetName val="经费支出额明细表"/>
      <sheetName val="应纳税调整表(CN)"/>
      <sheetName val="应纳税调整表(EN)"/>
      <sheetName val="负债表CN"/>
      <sheetName val="负债表EN"/>
      <sheetName val="利润表"/>
      <sheetName val="利润表EN"/>
      <sheetName val="流量表CN"/>
      <sheetName val="流量表EN"/>
      <sheetName val="应纳税调整表CN"/>
      <sheetName val="应纳税调整表EN"/>
      <sheetName val="TBHB1-Assets"/>
      <sheetName val="TBHB1-L&amp;E"/>
      <sheetName val="TBHB1-PL"/>
      <sheetName val="税务利润"/>
      <sheetName val="HB1adjustment"/>
      <sheetName val="利润表CN"/>
      <sheetName val="CN-Assets"/>
      <sheetName val="CN-L&amp;E"/>
      <sheetName val="CN-PL"/>
      <sheetName val="reclassify"/>
      <sheetName val="调整"/>
      <sheetName val="toptrial"/>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heetName val="cogs"/>
      <sheetName val="Sales"/>
      <sheetName val="Stock"/>
      <sheetName val="labor"/>
      <sheetName val="overheads"/>
      <sheetName val="GA"/>
      <sheetName val="FE"/>
      <sheetName val="Exchange rate"/>
      <sheetName val="10-2121"/>
      <sheetName val="南海联邦"/>
      <sheetName val="ar"/>
      <sheetName val="级差图"/>
      <sheetName val="增减指示图"/>
      <sheetName val="2列 一个多层(3)"/>
      <sheetName val="AP List "/>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Deloitte new">
      <a:dk1>
        <a:srgbClr val="000000"/>
      </a:dk1>
      <a:lt1>
        <a:srgbClr val="FFFFFF"/>
      </a:lt1>
      <a:dk2>
        <a:srgbClr val="002776"/>
      </a:dk2>
      <a:lt2>
        <a:srgbClr val="FFFFFF"/>
      </a:lt2>
      <a:accent1>
        <a:srgbClr val="00A1DE"/>
      </a:accent1>
      <a:accent2>
        <a:srgbClr val="92D400"/>
      </a:accent2>
      <a:accent3>
        <a:srgbClr val="72C7E7"/>
      </a:accent3>
      <a:accent4>
        <a:srgbClr val="3C8A2E"/>
      </a:accent4>
      <a:accent5>
        <a:srgbClr val="002776"/>
      </a:accent5>
      <a:accent6>
        <a:srgbClr val="C9DD03"/>
      </a:accent6>
      <a:hlink>
        <a:srgbClr val="00A1DE"/>
      </a:hlink>
      <a:folHlink>
        <a:srgbClr val="72C7E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B10" sqref="B10"/>
    </sheetView>
  </sheetViews>
  <sheetFormatPr defaultColWidth="9" defaultRowHeight="15"/>
  <cols>
    <col min="1" max="1" width="17.4140625" customWidth="1"/>
    <col min="2" max="2" width="44.83203125" customWidth="1"/>
  </cols>
  <sheetData>
    <row r="1" spans="1:7">
      <c r="A1" s="292" t="s">
        <v>0</v>
      </c>
      <c r="B1" t="str">
        <f>'1 组织结构及管理架构'!A1</f>
        <v>斯必克（上海）流体技术有限公司</v>
      </c>
    </row>
    <row r="2" spans="1:7">
      <c r="A2" s="292" t="s">
        <v>1</v>
      </c>
      <c r="B2" t="str" cm="1">
        <f t="array" ref="B2:G2">RIGHT(LEFT('3 分部财务数据'!A5:F5,8),2)</f>
        <v>24</v>
      </c>
      <c r="C2" t="str">
        <v/>
      </c>
      <c r="D2" t="str">
        <v/>
      </c>
      <c r="E2" t="str">
        <v/>
      </c>
      <c r="F2" t="str">
        <v/>
      </c>
      <c r="G2" t="str">
        <v/>
      </c>
    </row>
    <row r="3" spans="1:7">
      <c r="A3" s="292" t="s">
        <v>2</v>
      </c>
      <c r="B3" t="str">
        <f>资料清单!A5</f>
        <v>立信税务师事务所有限公司</v>
      </c>
    </row>
    <row r="4" spans="1:7">
      <c r="A4" s="292" t="s">
        <v>3</v>
      </c>
      <c r="B4" t="str">
        <f>资料清单!A6</f>
        <v>立信税务</v>
      </c>
    </row>
    <row r="5" spans="1:7">
      <c r="A5" s="292" t="s">
        <v>4</v>
      </c>
      <c r="B5" t="str">
        <f>资料清单!A7</f>
        <v>斯必克流体</v>
      </c>
    </row>
    <row r="6" spans="1:7">
      <c r="A6" s="292" t="s">
        <v>5</v>
      </c>
      <c r="B6" t="str">
        <f>资料清单!A8</f>
        <v>斯必克投资</v>
      </c>
    </row>
    <row r="7" spans="1:7">
      <c r="A7" s="292" t="s">
        <v>6</v>
      </c>
      <c r="B7" t="str">
        <f>集团背景情况!A1</f>
        <v>使用kimi生成约500字的集团介绍</v>
      </c>
    </row>
    <row r="8" spans="1:7">
      <c r="A8" s="292" t="s">
        <v>7</v>
      </c>
      <c r="B8" t="str">
        <f>公司经营背景资料!A1</f>
        <v>根据企业访谈进行整理。</v>
      </c>
    </row>
    <row r="9" spans="1:7">
      <c r="A9" s="292"/>
    </row>
  </sheetData>
  <phoneticPr fontId="9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30" sqref="I30"/>
    </sheetView>
  </sheetViews>
  <sheetFormatPr defaultColWidth="9" defaultRowHeight="15"/>
  <sheetData>
    <row r="1" spans="1:1">
      <c r="A1" s="292" t="s">
        <v>8</v>
      </c>
    </row>
  </sheetData>
  <phoneticPr fontId="9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sheetData>
    <row r="1" spans="1:1">
      <c r="A1" s="292" t="s">
        <v>9</v>
      </c>
    </row>
  </sheetData>
  <phoneticPr fontId="9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B10" sqref="B10"/>
    </sheetView>
  </sheetViews>
  <sheetFormatPr defaultColWidth="9" defaultRowHeight="15"/>
  <cols>
    <col min="2" max="2" width="15.33203125" customWidth="1"/>
  </cols>
  <sheetData>
    <row r="1" spans="1:3">
      <c r="A1" t="s">
        <v>10</v>
      </c>
      <c r="B1" t="s">
        <v>11</v>
      </c>
      <c r="C1" t="s">
        <v>12</v>
      </c>
    </row>
    <row r="2" spans="1:3">
      <c r="A2" t="s">
        <v>13</v>
      </c>
    </row>
    <row r="3" spans="1:3">
      <c r="A3" t="s">
        <v>14</v>
      </c>
    </row>
    <row r="4" spans="1:3">
      <c r="A4" t="s">
        <v>15</v>
      </c>
    </row>
  </sheetData>
  <phoneticPr fontId="9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C10" sqref="C10"/>
    </sheetView>
  </sheetViews>
  <sheetFormatPr defaultColWidth="9" defaultRowHeight="15"/>
  <cols>
    <col min="1" max="1" width="29" customWidth="1"/>
  </cols>
  <sheetData>
    <row r="1" spans="1:2">
      <c r="A1" s="292" t="s">
        <v>16</v>
      </c>
      <c r="B1" s="292" t="s">
        <v>17</v>
      </c>
    </row>
    <row r="2" spans="1:2">
      <c r="A2" s="292" t="s">
        <v>18</v>
      </c>
      <c r="B2" s="292" t="s">
        <v>17</v>
      </c>
    </row>
    <row r="3" spans="1:2">
      <c r="A3" s="292" t="s">
        <v>19</v>
      </c>
      <c r="B3" s="292" t="s">
        <v>17</v>
      </c>
    </row>
    <row r="4" spans="1:2">
      <c r="A4" s="292" t="s">
        <v>20</v>
      </c>
      <c r="B4" s="292" t="s">
        <v>17</v>
      </c>
    </row>
    <row r="5" spans="1:2">
      <c r="A5" s="292" t="s">
        <v>21</v>
      </c>
      <c r="B5" s="292" t="s">
        <v>22</v>
      </c>
    </row>
  </sheetData>
  <phoneticPr fontId="9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 sqref="B1"/>
    </sheetView>
  </sheetViews>
  <sheetFormatPr defaultColWidth="9" defaultRowHeight="15"/>
  <cols>
    <col min="1" max="1" width="21.58203125" customWidth="1"/>
  </cols>
  <sheetData>
    <row r="1" spans="1:1">
      <c r="A1" s="292" t="s">
        <v>23</v>
      </c>
    </row>
  </sheetData>
  <phoneticPr fontId="9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2060"/>
    <pageSetUpPr fitToPage="1"/>
  </sheetPr>
  <dimension ref="A1:C22"/>
  <sheetViews>
    <sheetView showGridLines="0" view="pageBreakPreview" topLeftCell="A5" zoomScaleNormal="100" workbookViewId="0">
      <selection activeCell="A9" sqref="A9"/>
    </sheetView>
  </sheetViews>
  <sheetFormatPr defaultColWidth="9" defaultRowHeight="14"/>
  <cols>
    <col min="1" max="1" width="109.58203125" style="276" customWidth="1"/>
    <col min="2" max="2" width="26.58203125" style="276" customWidth="1"/>
    <col min="3" max="254" width="9" style="276"/>
    <col min="255" max="255" width="67.75" style="276" customWidth="1"/>
    <col min="256" max="256" width="17.08203125" style="276" customWidth="1"/>
    <col min="257" max="257" width="31.08203125" style="276" customWidth="1"/>
    <col min="258" max="510" width="9" style="276"/>
    <col min="511" max="511" width="67.75" style="276" customWidth="1"/>
    <col min="512" max="512" width="17.08203125" style="276" customWidth="1"/>
    <col min="513" max="513" width="31.08203125" style="276" customWidth="1"/>
    <col min="514" max="766" width="9" style="276"/>
    <col min="767" max="767" width="67.75" style="276" customWidth="1"/>
    <col min="768" max="768" width="17.08203125" style="276" customWidth="1"/>
    <col min="769" max="769" width="31.08203125" style="276" customWidth="1"/>
    <col min="770" max="1022" width="9" style="276"/>
    <col min="1023" max="1023" width="67.75" style="276" customWidth="1"/>
    <col min="1024" max="1024" width="17.08203125" style="276" customWidth="1"/>
    <col min="1025" max="1025" width="31.08203125" style="276" customWidth="1"/>
    <col min="1026" max="1278" width="9" style="276"/>
    <col min="1279" max="1279" width="67.75" style="276" customWidth="1"/>
    <col min="1280" max="1280" width="17.08203125" style="276" customWidth="1"/>
    <col min="1281" max="1281" width="31.08203125" style="276" customWidth="1"/>
    <col min="1282" max="1534" width="9" style="276"/>
    <col min="1535" max="1535" width="67.75" style="276" customWidth="1"/>
    <col min="1536" max="1536" width="17.08203125" style="276" customWidth="1"/>
    <col min="1537" max="1537" width="31.08203125" style="276" customWidth="1"/>
    <col min="1538" max="1790" width="9" style="276"/>
    <col min="1791" max="1791" width="67.75" style="276" customWidth="1"/>
    <col min="1792" max="1792" width="17.08203125" style="276" customWidth="1"/>
    <col min="1793" max="1793" width="31.08203125" style="276" customWidth="1"/>
    <col min="1794" max="2046" width="9" style="276"/>
    <col min="2047" max="2047" width="67.75" style="276" customWidth="1"/>
    <col min="2048" max="2048" width="17.08203125" style="276" customWidth="1"/>
    <col min="2049" max="2049" width="31.08203125" style="276" customWidth="1"/>
    <col min="2050" max="2302" width="9" style="276"/>
    <col min="2303" max="2303" width="67.75" style="276" customWidth="1"/>
    <col min="2304" max="2304" width="17.08203125" style="276" customWidth="1"/>
    <col min="2305" max="2305" width="31.08203125" style="276" customWidth="1"/>
    <col min="2306" max="2558" width="9" style="276"/>
    <col min="2559" max="2559" width="67.75" style="276" customWidth="1"/>
    <col min="2560" max="2560" width="17.08203125" style="276" customWidth="1"/>
    <col min="2561" max="2561" width="31.08203125" style="276" customWidth="1"/>
    <col min="2562" max="2814" width="9" style="276"/>
    <col min="2815" max="2815" width="67.75" style="276" customWidth="1"/>
    <col min="2816" max="2816" width="17.08203125" style="276" customWidth="1"/>
    <col min="2817" max="2817" width="31.08203125" style="276" customWidth="1"/>
    <col min="2818" max="3070" width="9" style="276"/>
    <col min="3071" max="3071" width="67.75" style="276" customWidth="1"/>
    <col min="3072" max="3072" width="17.08203125" style="276" customWidth="1"/>
    <col min="3073" max="3073" width="31.08203125" style="276" customWidth="1"/>
    <col min="3074" max="3326" width="9" style="276"/>
    <col min="3327" max="3327" width="67.75" style="276" customWidth="1"/>
    <col min="3328" max="3328" width="17.08203125" style="276" customWidth="1"/>
    <col min="3329" max="3329" width="31.08203125" style="276" customWidth="1"/>
    <col min="3330" max="3582" width="9" style="276"/>
    <col min="3583" max="3583" width="67.75" style="276" customWidth="1"/>
    <col min="3584" max="3584" width="17.08203125" style="276" customWidth="1"/>
    <col min="3585" max="3585" width="31.08203125" style="276" customWidth="1"/>
    <col min="3586" max="3838" width="9" style="276"/>
    <col min="3839" max="3839" width="67.75" style="276" customWidth="1"/>
    <col min="3840" max="3840" width="17.08203125" style="276" customWidth="1"/>
    <col min="3841" max="3841" width="31.08203125" style="276" customWidth="1"/>
    <col min="3842" max="4094" width="9" style="276"/>
    <col min="4095" max="4095" width="67.75" style="276" customWidth="1"/>
    <col min="4096" max="4096" width="17.08203125" style="276" customWidth="1"/>
    <col min="4097" max="4097" width="31.08203125" style="276" customWidth="1"/>
    <col min="4098" max="4350" width="9" style="276"/>
    <col min="4351" max="4351" width="67.75" style="276" customWidth="1"/>
    <col min="4352" max="4352" width="17.08203125" style="276" customWidth="1"/>
    <col min="4353" max="4353" width="31.08203125" style="276" customWidth="1"/>
    <col min="4354" max="4606" width="9" style="276"/>
    <col min="4607" max="4607" width="67.75" style="276" customWidth="1"/>
    <col min="4608" max="4608" width="17.08203125" style="276" customWidth="1"/>
    <col min="4609" max="4609" width="31.08203125" style="276" customWidth="1"/>
    <col min="4610" max="4862" width="9" style="276"/>
    <col min="4863" max="4863" width="67.75" style="276" customWidth="1"/>
    <col min="4864" max="4864" width="17.08203125" style="276" customWidth="1"/>
    <col min="4865" max="4865" width="31.08203125" style="276" customWidth="1"/>
    <col min="4866" max="5118" width="9" style="276"/>
    <col min="5119" max="5119" width="67.75" style="276" customWidth="1"/>
    <col min="5120" max="5120" width="17.08203125" style="276" customWidth="1"/>
    <col min="5121" max="5121" width="31.08203125" style="276" customWidth="1"/>
    <col min="5122" max="5374" width="9" style="276"/>
    <col min="5375" max="5375" width="67.75" style="276" customWidth="1"/>
    <col min="5376" max="5376" width="17.08203125" style="276" customWidth="1"/>
    <col min="5377" max="5377" width="31.08203125" style="276" customWidth="1"/>
    <col min="5378" max="5630" width="9" style="276"/>
    <col min="5631" max="5631" width="67.75" style="276" customWidth="1"/>
    <col min="5632" max="5632" width="17.08203125" style="276" customWidth="1"/>
    <col min="5633" max="5633" width="31.08203125" style="276" customWidth="1"/>
    <col min="5634" max="5886" width="9" style="276"/>
    <col min="5887" max="5887" width="67.75" style="276" customWidth="1"/>
    <col min="5888" max="5888" width="17.08203125" style="276" customWidth="1"/>
    <col min="5889" max="5889" width="31.08203125" style="276" customWidth="1"/>
    <col min="5890" max="6142" width="9" style="276"/>
    <col min="6143" max="6143" width="67.75" style="276" customWidth="1"/>
    <col min="6144" max="6144" width="17.08203125" style="276" customWidth="1"/>
    <col min="6145" max="6145" width="31.08203125" style="276" customWidth="1"/>
    <col min="6146" max="6398" width="9" style="276"/>
    <col min="6399" max="6399" width="67.75" style="276" customWidth="1"/>
    <col min="6400" max="6400" width="17.08203125" style="276" customWidth="1"/>
    <col min="6401" max="6401" width="31.08203125" style="276" customWidth="1"/>
    <col min="6402" max="6654" width="9" style="276"/>
    <col min="6655" max="6655" width="67.75" style="276" customWidth="1"/>
    <col min="6656" max="6656" width="17.08203125" style="276" customWidth="1"/>
    <col min="6657" max="6657" width="31.08203125" style="276" customWidth="1"/>
    <col min="6658" max="6910" width="9" style="276"/>
    <col min="6911" max="6911" width="67.75" style="276" customWidth="1"/>
    <col min="6912" max="6912" width="17.08203125" style="276" customWidth="1"/>
    <col min="6913" max="6913" width="31.08203125" style="276" customWidth="1"/>
    <col min="6914" max="7166" width="9" style="276"/>
    <col min="7167" max="7167" width="67.75" style="276" customWidth="1"/>
    <col min="7168" max="7168" width="17.08203125" style="276" customWidth="1"/>
    <col min="7169" max="7169" width="31.08203125" style="276" customWidth="1"/>
    <col min="7170" max="7422" width="9" style="276"/>
    <col min="7423" max="7423" width="67.75" style="276" customWidth="1"/>
    <col min="7424" max="7424" width="17.08203125" style="276" customWidth="1"/>
    <col min="7425" max="7425" width="31.08203125" style="276" customWidth="1"/>
    <col min="7426" max="7678" width="9" style="276"/>
    <col min="7679" max="7679" width="67.75" style="276" customWidth="1"/>
    <col min="7680" max="7680" width="17.08203125" style="276" customWidth="1"/>
    <col min="7681" max="7681" width="31.08203125" style="276" customWidth="1"/>
    <col min="7682" max="7934" width="9" style="276"/>
    <col min="7935" max="7935" width="67.75" style="276" customWidth="1"/>
    <col min="7936" max="7936" width="17.08203125" style="276" customWidth="1"/>
    <col min="7937" max="7937" width="31.08203125" style="276" customWidth="1"/>
    <col min="7938" max="8190" width="9" style="276"/>
    <col min="8191" max="8191" width="67.75" style="276" customWidth="1"/>
    <col min="8192" max="8192" width="17.08203125" style="276" customWidth="1"/>
    <col min="8193" max="8193" width="31.08203125" style="276" customWidth="1"/>
    <col min="8194" max="8446" width="9" style="276"/>
    <col min="8447" max="8447" width="67.75" style="276" customWidth="1"/>
    <col min="8448" max="8448" width="17.08203125" style="276" customWidth="1"/>
    <col min="8449" max="8449" width="31.08203125" style="276" customWidth="1"/>
    <col min="8450" max="8702" width="9" style="276"/>
    <col min="8703" max="8703" width="67.75" style="276" customWidth="1"/>
    <col min="8704" max="8704" width="17.08203125" style="276" customWidth="1"/>
    <col min="8705" max="8705" width="31.08203125" style="276" customWidth="1"/>
    <col min="8706" max="8958" width="9" style="276"/>
    <col min="8959" max="8959" width="67.75" style="276" customWidth="1"/>
    <col min="8960" max="8960" width="17.08203125" style="276" customWidth="1"/>
    <col min="8961" max="8961" width="31.08203125" style="276" customWidth="1"/>
    <col min="8962" max="9214" width="9" style="276"/>
    <col min="9215" max="9215" width="67.75" style="276" customWidth="1"/>
    <col min="9216" max="9216" width="17.08203125" style="276" customWidth="1"/>
    <col min="9217" max="9217" width="31.08203125" style="276" customWidth="1"/>
    <col min="9218" max="9470" width="9" style="276"/>
    <col min="9471" max="9471" width="67.75" style="276" customWidth="1"/>
    <col min="9472" max="9472" width="17.08203125" style="276" customWidth="1"/>
    <col min="9473" max="9473" width="31.08203125" style="276" customWidth="1"/>
    <col min="9474" max="9726" width="9" style="276"/>
    <col min="9727" max="9727" width="67.75" style="276" customWidth="1"/>
    <col min="9728" max="9728" width="17.08203125" style="276" customWidth="1"/>
    <col min="9729" max="9729" width="31.08203125" style="276" customWidth="1"/>
    <col min="9730" max="9982" width="9" style="276"/>
    <col min="9983" max="9983" width="67.75" style="276" customWidth="1"/>
    <col min="9984" max="9984" width="17.08203125" style="276" customWidth="1"/>
    <col min="9985" max="9985" width="31.08203125" style="276" customWidth="1"/>
    <col min="9986" max="10238" width="9" style="276"/>
    <col min="10239" max="10239" width="67.75" style="276" customWidth="1"/>
    <col min="10240" max="10240" width="17.08203125" style="276" customWidth="1"/>
    <col min="10241" max="10241" width="31.08203125" style="276" customWidth="1"/>
    <col min="10242" max="10494" width="9" style="276"/>
    <col min="10495" max="10495" width="67.75" style="276" customWidth="1"/>
    <col min="10496" max="10496" width="17.08203125" style="276" customWidth="1"/>
    <col min="10497" max="10497" width="31.08203125" style="276" customWidth="1"/>
    <col min="10498" max="10750" width="9" style="276"/>
    <col min="10751" max="10751" width="67.75" style="276" customWidth="1"/>
    <col min="10752" max="10752" width="17.08203125" style="276" customWidth="1"/>
    <col min="10753" max="10753" width="31.08203125" style="276" customWidth="1"/>
    <col min="10754" max="11006" width="9" style="276"/>
    <col min="11007" max="11007" width="67.75" style="276" customWidth="1"/>
    <col min="11008" max="11008" width="17.08203125" style="276" customWidth="1"/>
    <col min="11009" max="11009" width="31.08203125" style="276" customWidth="1"/>
    <col min="11010" max="11262" width="9" style="276"/>
    <col min="11263" max="11263" width="67.75" style="276" customWidth="1"/>
    <col min="11264" max="11264" width="17.08203125" style="276" customWidth="1"/>
    <col min="11265" max="11265" width="31.08203125" style="276" customWidth="1"/>
    <col min="11266" max="11518" width="9" style="276"/>
    <col min="11519" max="11519" width="67.75" style="276" customWidth="1"/>
    <col min="11520" max="11520" width="17.08203125" style="276" customWidth="1"/>
    <col min="11521" max="11521" width="31.08203125" style="276" customWidth="1"/>
    <col min="11522" max="11774" width="9" style="276"/>
    <col min="11775" max="11775" width="67.75" style="276" customWidth="1"/>
    <col min="11776" max="11776" width="17.08203125" style="276" customWidth="1"/>
    <col min="11777" max="11777" width="31.08203125" style="276" customWidth="1"/>
    <col min="11778" max="12030" width="9" style="276"/>
    <col min="12031" max="12031" width="67.75" style="276" customWidth="1"/>
    <col min="12032" max="12032" width="17.08203125" style="276" customWidth="1"/>
    <col min="12033" max="12033" width="31.08203125" style="276" customWidth="1"/>
    <col min="12034" max="12286" width="9" style="276"/>
    <col min="12287" max="12287" width="67.75" style="276" customWidth="1"/>
    <col min="12288" max="12288" width="17.08203125" style="276" customWidth="1"/>
    <col min="12289" max="12289" width="31.08203125" style="276" customWidth="1"/>
    <col min="12290" max="12542" width="9" style="276"/>
    <col min="12543" max="12543" width="67.75" style="276" customWidth="1"/>
    <col min="12544" max="12544" width="17.08203125" style="276" customWidth="1"/>
    <col min="12545" max="12545" width="31.08203125" style="276" customWidth="1"/>
    <col min="12546" max="12798" width="9" style="276"/>
    <col min="12799" max="12799" width="67.75" style="276" customWidth="1"/>
    <col min="12800" max="12800" width="17.08203125" style="276" customWidth="1"/>
    <col min="12801" max="12801" width="31.08203125" style="276" customWidth="1"/>
    <col min="12802" max="13054" width="9" style="276"/>
    <col min="13055" max="13055" width="67.75" style="276" customWidth="1"/>
    <col min="13056" max="13056" width="17.08203125" style="276" customWidth="1"/>
    <col min="13057" max="13057" width="31.08203125" style="276" customWidth="1"/>
    <col min="13058" max="13310" width="9" style="276"/>
    <col min="13311" max="13311" width="67.75" style="276" customWidth="1"/>
    <col min="13312" max="13312" width="17.08203125" style="276" customWidth="1"/>
    <col min="13313" max="13313" width="31.08203125" style="276" customWidth="1"/>
    <col min="13314" max="13566" width="9" style="276"/>
    <col min="13567" max="13567" width="67.75" style="276" customWidth="1"/>
    <col min="13568" max="13568" width="17.08203125" style="276" customWidth="1"/>
    <col min="13569" max="13569" width="31.08203125" style="276" customWidth="1"/>
    <col min="13570" max="13822" width="9" style="276"/>
    <col min="13823" max="13823" width="67.75" style="276" customWidth="1"/>
    <col min="13824" max="13824" width="17.08203125" style="276" customWidth="1"/>
    <col min="13825" max="13825" width="31.08203125" style="276" customWidth="1"/>
    <col min="13826" max="14078" width="9" style="276"/>
    <col min="14079" max="14079" width="67.75" style="276" customWidth="1"/>
    <col min="14080" max="14080" width="17.08203125" style="276" customWidth="1"/>
    <col min="14081" max="14081" width="31.08203125" style="276" customWidth="1"/>
    <col min="14082" max="14334" width="9" style="276"/>
    <col min="14335" max="14335" width="67.75" style="276" customWidth="1"/>
    <col min="14336" max="14336" width="17.08203125" style="276" customWidth="1"/>
    <col min="14337" max="14337" width="31.08203125" style="276" customWidth="1"/>
    <col min="14338" max="14590" width="9" style="276"/>
    <col min="14591" max="14591" width="67.75" style="276" customWidth="1"/>
    <col min="14592" max="14592" width="17.08203125" style="276" customWidth="1"/>
    <col min="14593" max="14593" width="31.08203125" style="276" customWidth="1"/>
    <col min="14594" max="14846" width="9" style="276"/>
    <col min="14847" max="14847" width="67.75" style="276" customWidth="1"/>
    <col min="14848" max="14848" width="17.08203125" style="276" customWidth="1"/>
    <col min="14849" max="14849" width="31.08203125" style="276" customWidth="1"/>
    <col min="14850" max="15102" width="9" style="276"/>
    <col min="15103" max="15103" width="67.75" style="276" customWidth="1"/>
    <col min="15104" max="15104" width="17.08203125" style="276" customWidth="1"/>
    <col min="15105" max="15105" width="31.08203125" style="276" customWidth="1"/>
    <col min="15106" max="15358" width="9" style="276"/>
    <col min="15359" max="15359" width="67.75" style="276" customWidth="1"/>
    <col min="15360" max="15360" width="17.08203125" style="276" customWidth="1"/>
    <col min="15361" max="15361" width="31.08203125" style="276" customWidth="1"/>
    <col min="15362" max="15614" width="9" style="276"/>
    <col min="15615" max="15615" width="67.75" style="276" customWidth="1"/>
    <col min="15616" max="15616" width="17.08203125" style="276" customWidth="1"/>
    <col min="15617" max="15617" width="31.08203125" style="276" customWidth="1"/>
    <col min="15618" max="15870" width="9" style="276"/>
    <col min="15871" max="15871" width="67.75" style="276" customWidth="1"/>
    <col min="15872" max="15872" width="17.08203125" style="276" customWidth="1"/>
    <col min="15873" max="15873" width="31.08203125" style="276" customWidth="1"/>
    <col min="15874" max="16126" width="9" style="276"/>
    <col min="16127" max="16127" width="67.75" style="276" customWidth="1"/>
    <col min="16128" max="16128" width="17.08203125" style="276" customWidth="1"/>
    <col min="16129" max="16129" width="31.08203125" style="276" customWidth="1"/>
    <col min="16130" max="16384" width="9" style="276"/>
  </cols>
  <sheetData>
    <row r="1" spans="1:3" ht="15">
      <c r="A1" s="298" t="s">
        <v>24</v>
      </c>
      <c r="B1" s="298"/>
      <c r="C1" s="277"/>
    </row>
    <row r="2" spans="1:3">
      <c r="A2" s="278"/>
      <c r="B2" s="278"/>
      <c r="C2" s="277"/>
    </row>
    <row r="3" spans="1:3" ht="13.5" customHeight="1">
      <c r="A3" s="279"/>
      <c r="B3" s="280"/>
      <c r="C3" s="277"/>
    </row>
    <row r="4" spans="1:3" ht="137.25" customHeight="1">
      <c r="A4" s="299" t="s">
        <v>25</v>
      </c>
      <c r="B4" s="300"/>
    </row>
    <row r="5" spans="1:3" ht="57.4" customHeight="1">
      <c r="A5" s="282" t="s">
        <v>26</v>
      </c>
      <c r="B5" s="281"/>
    </row>
    <row r="6" spans="1:3" ht="57.4" customHeight="1">
      <c r="A6" s="282" t="s">
        <v>27</v>
      </c>
      <c r="B6" s="281"/>
    </row>
    <row r="7" spans="1:3" ht="57.4" customHeight="1">
      <c r="A7" s="282" t="s">
        <v>28</v>
      </c>
      <c r="B7" s="281"/>
    </row>
    <row r="8" spans="1:3" ht="57.4" customHeight="1">
      <c r="A8" s="283" t="s">
        <v>29</v>
      </c>
      <c r="B8" s="281"/>
    </row>
    <row r="9" spans="1:3" ht="24.75" customHeight="1">
      <c r="A9" s="284" t="s">
        <v>30</v>
      </c>
      <c r="B9" s="284" t="s">
        <v>31</v>
      </c>
    </row>
    <row r="10" spans="1:3" ht="20.25" customHeight="1">
      <c r="A10" s="301" t="s">
        <v>32</v>
      </c>
      <c r="B10" s="301"/>
    </row>
    <row r="11" spans="1:3" ht="24" customHeight="1">
      <c r="A11" s="285" t="s">
        <v>33</v>
      </c>
      <c r="B11" s="286" t="s">
        <v>34</v>
      </c>
    </row>
    <row r="12" spans="1:3" ht="24" customHeight="1">
      <c r="A12" s="285" t="s">
        <v>35</v>
      </c>
      <c r="B12" s="302" t="s">
        <v>36</v>
      </c>
    </row>
    <row r="13" spans="1:3" ht="24" customHeight="1">
      <c r="A13" s="285" t="s">
        <v>37</v>
      </c>
      <c r="B13" s="303"/>
    </row>
    <row r="14" spans="1:3" ht="22.9" customHeight="1">
      <c r="A14" s="285" t="s">
        <v>38</v>
      </c>
      <c r="B14" s="286" t="s">
        <v>39</v>
      </c>
    </row>
    <row r="15" spans="1:3" ht="22.5" customHeight="1">
      <c r="A15" s="301" t="s">
        <v>40</v>
      </c>
      <c r="B15" s="301"/>
    </row>
    <row r="16" spans="1:3" ht="24" customHeight="1">
      <c r="A16" s="285" t="s">
        <v>41</v>
      </c>
      <c r="B16" s="286" t="s">
        <v>42</v>
      </c>
    </row>
    <row r="17" spans="1:2" ht="24" customHeight="1">
      <c r="A17" s="285" t="s">
        <v>43</v>
      </c>
      <c r="B17" s="287" t="s">
        <v>44</v>
      </c>
    </row>
    <row r="18" spans="1:2" ht="24" customHeight="1">
      <c r="A18" s="285" t="s">
        <v>45</v>
      </c>
      <c r="B18" s="288" t="s">
        <v>46</v>
      </c>
    </row>
    <row r="19" spans="1:2" ht="24" customHeight="1">
      <c r="A19" s="285" t="s">
        <v>47</v>
      </c>
      <c r="B19" s="287" t="s">
        <v>48</v>
      </c>
    </row>
    <row r="20" spans="1:2" ht="24" customHeight="1">
      <c r="A20" s="285" t="s">
        <v>49</v>
      </c>
      <c r="B20" s="289" t="s">
        <v>50</v>
      </c>
    </row>
    <row r="21" spans="1:2" ht="24" customHeight="1">
      <c r="A21" s="290" t="s">
        <v>51</v>
      </c>
      <c r="B21" s="291" t="s">
        <v>52</v>
      </c>
    </row>
    <row r="22" spans="1:2" ht="43.5" customHeight="1"/>
  </sheetData>
  <mergeCells count="5">
    <mergeCell ref="A1:B1"/>
    <mergeCell ref="A4:B4"/>
    <mergeCell ref="A10:B10"/>
    <mergeCell ref="A15:B15"/>
    <mergeCell ref="B12:B13"/>
  </mergeCells>
  <phoneticPr fontId="91" type="noConversion"/>
  <printOptions horizontalCentered="1"/>
  <pageMargins left="0.70866141732283505" right="0.70866141732283505" top="0.74803149606299202" bottom="0.74803149606299202" header="0.31496062992126" footer="0.31496062992126"/>
  <pageSetup paperSize="9" scale="90" fitToHeight="0" orientation="landscape" r:id="rId1"/>
  <headerFooter>
    <oddFooter>&amp;C&amp;"Times New Roman,Bold"&amp;10&lt;DRAFT - FOR DISCUSSION PURPOSES ONLY&gt;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A1:K25"/>
  <sheetViews>
    <sheetView showGridLines="0" zoomScaleSheetLayoutView="80" workbookViewId="0">
      <selection activeCell="C14" sqref="C14"/>
    </sheetView>
  </sheetViews>
  <sheetFormatPr defaultColWidth="9" defaultRowHeight="14"/>
  <cols>
    <col min="1" max="1" width="14.08203125" style="250" customWidth="1"/>
    <col min="2" max="2" width="21.33203125" style="250" customWidth="1"/>
    <col min="3" max="3" width="58.08203125" style="250" customWidth="1"/>
    <col min="4" max="4" width="16.75" style="250" customWidth="1"/>
    <col min="5" max="5" width="23.75" style="250" customWidth="1"/>
    <col min="6" max="6" width="9" style="251"/>
    <col min="7" max="16384" width="9" style="250"/>
  </cols>
  <sheetData>
    <row r="1" spans="1:11" ht="15.5">
      <c r="A1" s="252" t="s">
        <v>53</v>
      </c>
    </row>
    <row r="2" spans="1:11">
      <c r="A2" s="188"/>
    </row>
    <row r="3" spans="1:11" ht="15.5">
      <c r="A3" s="253" t="s">
        <v>54</v>
      </c>
    </row>
    <row r="4" spans="1:11">
      <c r="A4" s="253"/>
    </row>
    <row r="5" spans="1:11">
      <c r="A5" s="304" t="s">
        <v>55</v>
      </c>
      <c r="B5" s="304"/>
      <c r="C5" s="304"/>
      <c r="D5" s="304"/>
      <c r="E5" s="304"/>
      <c r="F5" s="304"/>
      <c r="G5" s="304"/>
      <c r="H5" s="304"/>
    </row>
    <row r="6" spans="1:11" s="249" customFormat="1" ht="19.899999999999999" customHeight="1">
      <c r="A6" s="308" t="s">
        <v>56</v>
      </c>
      <c r="B6" s="310" t="s">
        <v>57</v>
      </c>
      <c r="C6" s="308" t="s">
        <v>58</v>
      </c>
      <c r="D6" s="305" t="s">
        <v>59</v>
      </c>
      <c r="E6" s="306"/>
      <c r="F6" s="254"/>
      <c r="G6" s="307"/>
      <c r="H6" s="307"/>
      <c r="I6" s="307"/>
      <c r="J6" s="307"/>
      <c r="K6" s="307"/>
    </row>
    <row r="7" spans="1:11" ht="19.899999999999999" customHeight="1">
      <c r="A7" s="309"/>
      <c r="B7" s="309"/>
      <c r="C7" s="309"/>
      <c r="D7" s="256" t="s">
        <v>60</v>
      </c>
      <c r="E7" s="256" t="s">
        <v>61</v>
      </c>
      <c r="G7" s="307"/>
      <c r="H7" s="307"/>
      <c r="I7" s="307"/>
      <c r="J7" s="255"/>
      <c r="K7" s="255"/>
    </row>
    <row r="8" spans="1:11" ht="19.899999999999999" customHeight="1">
      <c r="A8" s="257" t="s">
        <v>264</v>
      </c>
      <c r="B8" s="257">
        <v>15</v>
      </c>
      <c r="C8" s="258" t="s">
        <v>264</v>
      </c>
      <c r="D8" s="259" t="s">
        <v>265</v>
      </c>
      <c r="E8" s="260" t="s">
        <v>266</v>
      </c>
      <c r="G8" s="261"/>
      <c r="H8" s="262"/>
      <c r="I8" s="261"/>
      <c r="J8" s="262"/>
      <c r="K8" s="262"/>
    </row>
    <row r="9" spans="1:11" ht="19.899999999999999" customHeight="1">
      <c r="A9" s="263" t="s">
        <v>267</v>
      </c>
      <c r="B9" s="264">
        <v>16</v>
      </c>
      <c r="C9" s="265" t="s">
        <v>267</v>
      </c>
      <c r="D9" s="266" t="s">
        <v>268</v>
      </c>
      <c r="E9" s="267" t="s">
        <v>269</v>
      </c>
      <c r="F9" s="268" t="s">
        <v>62</v>
      </c>
      <c r="G9" s="261"/>
      <c r="H9" s="262"/>
      <c r="I9" s="261"/>
      <c r="J9" s="262"/>
      <c r="K9" s="262"/>
    </row>
    <row r="10" spans="1:11" ht="19.899999999999999" customHeight="1">
      <c r="A10" s="257"/>
      <c r="B10" s="257"/>
      <c r="C10" s="258"/>
      <c r="D10" s="259"/>
      <c r="E10" s="260"/>
      <c r="G10" s="261"/>
      <c r="H10" s="262"/>
      <c r="I10" s="261"/>
      <c r="J10" s="262"/>
      <c r="K10" s="262"/>
    </row>
    <row r="11" spans="1:11" ht="19.899999999999999" customHeight="1">
      <c r="A11" s="257"/>
      <c r="B11" s="259"/>
      <c r="C11" s="258"/>
      <c r="D11" s="259"/>
      <c r="E11" s="260"/>
      <c r="G11" s="261"/>
      <c r="H11" s="262"/>
      <c r="I11" s="261"/>
      <c r="J11" s="262"/>
      <c r="K11" s="262"/>
    </row>
    <row r="12" spans="1:11" ht="19.899999999999999" customHeight="1">
      <c r="A12" s="269"/>
      <c r="B12" s="257"/>
      <c r="C12" s="258"/>
      <c r="D12" s="259"/>
      <c r="E12" s="260"/>
      <c r="G12" s="261"/>
      <c r="H12" s="262"/>
      <c r="I12" s="261"/>
      <c r="J12" s="262"/>
      <c r="K12" s="262"/>
    </row>
    <row r="13" spans="1:11" ht="19.899999999999999" customHeight="1">
      <c r="A13" s="269"/>
      <c r="B13" s="257"/>
      <c r="C13" s="258"/>
      <c r="D13" s="259"/>
      <c r="E13" s="260"/>
      <c r="G13" s="261"/>
      <c r="H13" s="262"/>
      <c r="I13" s="261"/>
      <c r="J13" s="262"/>
      <c r="K13" s="262"/>
    </row>
    <row r="14" spans="1:11" ht="19.899999999999999" customHeight="1">
      <c r="A14" s="263"/>
      <c r="B14" s="264"/>
      <c r="C14" s="265"/>
      <c r="D14" s="266"/>
      <c r="E14" s="267"/>
      <c r="F14" s="268"/>
      <c r="G14" s="261"/>
      <c r="H14" s="262"/>
      <c r="I14" s="261"/>
      <c r="J14" s="262"/>
      <c r="K14" s="262"/>
    </row>
    <row r="15" spans="1:11" ht="19.899999999999999" customHeight="1">
      <c r="A15" s="269"/>
      <c r="B15" s="257"/>
      <c r="C15" s="258"/>
      <c r="D15" s="259"/>
      <c r="E15" s="260"/>
      <c r="G15" s="261"/>
      <c r="H15" s="262"/>
      <c r="I15" s="261"/>
      <c r="J15" s="262"/>
      <c r="K15" s="262"/>
    </row>
    <row r="16" spans="1:11" ht="19.899999999999999" customHeight="1">
      <c r="A16" s="263"/>
      <c r="B16" s="264"/>
      <c r="C16" s="265"/>
      <c r="D16" s="266"/>
      <c r="E16" s="267"/>
      <c r="F16" s="268"/>
      <c r="G16" s="261"/>
      <c r="H16" s="262"/>
      <c r="I16" s="261"/>
      <c r="J16" s="262"/>
      <c r="K16" s="262"/>
    </row>
    <row r="17" spans="1:11" ht="19.899999999999999" customHeight="1">
      <c r="A17" s="269"/>
      <c r="B17" s="257"/>
      <c r="C17" s="258"/>
      <c r="D17" s="259"/>
      <c r="E17" s="260"/>
      <c r="G17" s="261"/>
      <c r="H17" s="262"/>
      <c r="I17" s="261"/>
      <c r="J17" s="262"/>
      <c r="K17" s="262"/>
    </row>
    <row r="18" spans="1:11" ht="19.899999999999999" customHeight="1">
      <c r="A18" s="263"/>
      <c r="B18" s="264"/>
      <c r="C18" s="265"/>
      <c r="D18" s="266"/>
      <c r="E18" s="267"/>
      <c r="F18" s="268"/>
      <c r="G18" s="261"/>
      <c r="H18" s="262"/>
      <c r="I18" s="261"/>
      <c r="J18" s="262"/>
      <c r="K18" s="262"/>
    </row>
    <row r="19" spans="1:11" ht="19.899999999999999" customHeight="1">
      <c r="A19" s="269"/>
      <c r="B19" s="257"/>
      <c r="C19" s="258"/>
      <c r="D19" s="259"/>
      <c r="E19" s="260"/>
      <c r="G19" s="261"/>
      <c r="H19" s="262"/>
      <c r="I19" s="261"/>
      <c r="J19" s="262"/>
      <c r="K19" s="262"/>
    </row>
    <row r="20" spans="1:11" ht="19.899999999999999" customHeight="1">
      <c r="A20" s="263"/>
      <c r="B20" s="264"/>
      <c r="C20" s="265"/>
      <c r="D20" s="266"/>
      <c r="E20" s="267"/>
      <c r="F20" s="268"/>
      <c r="G20" s="261"/>
      <c r="H20" s="262"/>
      <c r="I20" s="261"/>
      <c r="J20" s="262"/>
      <c r="K20" s="262"/>
    </row>
    <row r="21" spans="1:11" ht="19.899999999999999" customHeight="1">
      <c r="A21" s="269"/>
      <c r="B21" s="257"/>
      <c r="C21" s="258"/>
      <c r="D21" s="259"/>
      <c r="E21" s="260"/>
      <c r="G21" s="261"/>
      <c r="H21" s="262"/>
      <c r="I21" s="261"/>
      <c r="J21" s="262"/>
      <c r="K21" s="262"/>
    </row>
    <row r="22" spans="1:11" ht="19.899999999999999" customHeight="1">
      <c r="A22" s="269"/>
      <c r="B22" s="257"/>
      <c r="C22" s="258"/>
      <c r="D22" s="259"/>
      <c r="E22" s="260"/>
      <c r="G22" s="261"/>
      <c r="H22" s="262"/>
      <c r="I22" s="261"/>
      <c r="J22" s="262"/>
      <c r="K22" s="262"/>
    </row>
    <row r="23" spans="1:11" ht="19.899999999999999" customHeight="1">
      <c r="A23" s="270" t="s">
        <v>63</v>
      </c>
      <c r="B23" s="270">
        <f>SUM(B8:B22)</f>
        <v>31</v>
      </c>
      <c r="C23" s="271"/>
      <c r="D23" s="272"/>
      <c r="E23" s="272"/>
      <c r="F23" s="268"/>
      <c r="G23" s="273"/>
      <c r="H23" s="262"/>
      <c r="I23" s="261"/>
      <c r="J23" s="261"/>
      <c r="K23" s="261"/>
    </row>
    <row r="24" spans="1:11">
      <c r="A24" s="274"/>
      <c r="B24" s="274"/>
      <c r="C24" s="274"/>
      <c r="D24" s="274"/>
      <c r="E24" s="274"/>
      <c r="G24" s="273"/>
      <c r="H24" s="262"/>
      <c r="I24" s="261"/>
      <c r="J24" s="261"/>
      <c r="K24" s="261"/>
    </row>
    <row r="25" spans="1:11" ht="15.5">
      <c r="A25" s="275" t="s">
        <v>64</v>
      </c>
    </row>
  </sheetData>
  <mergeCells count="9">
    <mergeCell ref="A5:H5"/>
    <mergeCell ref="D6:E6"/>
    <mergeCell ref="J6:K6"/>
    <mergeCell ref="A6:A7"/>
    <mergeCell ref="B6:B7"/>
    <mergeCell ref="C6:C7"/>
    <mergeCell ref="G6:G7"/>
    <mergeCell ref="H6:H7"/>
    <mergeCell ref="I6:I7"/>
  </mergeCells>
  <phoneticPr fontId="91" type="noConversion"/>
  <pageMargins left="0.74803149606299202" right="0.74803149606299202" top="0.98425196850393704" bottom="0.98425196850393704" header="0.511811023622047" footer="0.511811023622047"/>
  <pageSetup paperSize="9" scale="80" orientation="landscape"/>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18"/>
  <sheetViews>
    <sheetView tabSelected="1" zoomScaleSheetLayoutView="80" workbookViewId="0">
      <selection activeCell="C8" sqref="C8:C16"/>
    </sheetView>
  </sheetViews>
  <sheetFormatPr defaultColWidth="7" defaultRowHeight="14"/>
  <cols>
    <col min="1" max="1" width="6" style="227" customWidth="1"/>
    <col min="2" max="2" width="32.75" style="228" customWidth="1"/>
    <col min="3" max="3" width="12.25" style="228" customWidth="1"/>
    <col min="4" max="4" width="16.75" style="228" customWidth="1"/>
    <col min="5" max="6" width="13.83203125" style="228" customWidth="1"/>
    <col min="7" max="7" width="26.33203125" style="228" customWidth="1"/>
    <col min="8" max="8" width="12" style="228" customWidth="1"/>
    <col min="9" max="9" width="15.5" style="228" customWidth="1"/>
    <col min="10" max="10" width="11.5" style="228" customWidth="1"/>
    <col min="11" max="11" width="15.33203125" style="228" customWidth="1"/>
    <col min="12" max="16384" width="7" style="228"/>
  </cols>
  <sheetData>
    <row r="1" spans="1:11" ht="19.149999999999999" customHeight="1">
      <c r="A1" s="229" t="str">
        <f>'1 组织结构及管理架构'!A1</f>
        <v>斯必克（上海）流体技术有限公司</v>
      </c>
    </row>
    <row r="2" spans="1:11">
      <c r="A2" s="230"/>
    </row>
    <row r="3" spans="1:11" s="224" customFormat="1" ht="15" customHeight="1">
      <c r="A3" s="224" t="s">
        <v>65</v>
      </c>
      <c r="B3" s="231"/>
      <c r="C3" s="231"/>
      <c r="D3" s="231"/>
      <c r="E3" s="231"/>
      <c r="F3" s="231"/>
      <c r="G3" s="231"/>
      <c r="H3" s="231"/>
      <c r="I3" s="231"/>
      <c r="J3" s="231"/>
    </row>
    <row r="4" spans="1:11" s="224" customFormat="1" ht="12.75" customHeight="1">
      <c r="A4" s="311" t="s">
        <v>66</v>
      </c>
      <c r="B4" s="311"/>
      <c r="C4" s="311"/>
      <c r="D4" s="311"/>
      <c r="E4" s="311"/>
      <c r="F4" s="311"/>
      <c r="G4" s="311"/>
      <c r="H4" s="311"/>
      <c r="I4" s="311"/>
      <c r="J4" s="311"/>
    </row>
    <row r="5" spans="1:11" s="225" customFormat="1" ht="19.899999999999999" customHeight="1">
      <c r="A5" s="313" t="s">
        <v>67</v>
      </c>
      <c r="B5" s="233" t="s">
        <v>68</v>
      </c>
      <c r="C5" s="233" t="s">
        <v>69</v>
      </c>
      <c r="D5" s="233" t="s">
        <v>70</v>
      </c>
      <c r="E5" s="234" t="s">
        <v>71</v>
      </c>
      <c r="F5" s="234" t="s">
        <v>72</v>
      </c>
      <c r="G5" s="233" t="s">
        <v>73</v>
      </c>
      <c r="H5" s="232" t="s">
        <v>74</v>
      </c>
      <c r="I5" s="232" t="s">
        <v>75</v>
      </c>
      <c r="J5" s="232" t="s">
        <v>76</v>
      </c>
      <c r="K5" s="244" t="s">
        <v>77</v>
      </c>
    </row>
    <row r="6" spans="1:11" s="225" customFormat="1" ht="19.899999999999999" customHeight="1">
      <c r="A6" s="313"/>
      <c r="B6" s="233">
        <v>1</v>
      </c>
      <c r="C6" s="233">
        <v>2</v>
      </c>
      <c r="D6" s="233">
        <v>3</v>
      </c>
      <c r="E6" s="234">
        <v>4</v>
      </c>
      <c r="F6" s="234">
        <v>5</v>
      </c>
      <c r="G6" s="233">
        <v>6</v>
      </c>
      <c r="H6" s="233">
        <v>7</v>
      </c>
      <c r="I6" s="233">
        <v>8</v>
      </c>
      <c r="J6" s="233">
        <v>9</v>
      </c>
      <c r="K6" s="233">
        <v>10</v>
      </c>
    </row>
    <row r="7" spans="1:11" s="224" customFormat="1" ht="30" customHeight="1" thickBot="1">
      <c r="A7" s="235">
        <v>1</v>
      </c>
      <c r="B7" s="236" t="s">
        <v>270</v>
      </c>
      <c r="C7" s="237" t="s">
        <v>271</v>
      </c>
      <c r="D7" s="237" t="s">
        <v>272</v>
      </c>
      <c r="E7" s="236" t="s">
        <v>270</v>
      </c>
      <c r="F7" s="237" t="s">
        <v>271</v>
      </c>
      <c r="G7" s="237" t="s">
        <v>272</v>
      </c>
      <c r="H7" s="236" t="s">
        <v>270</v>
      </c>
      <c r="I7" s="237" t="s">
        <v>271</v>
      </c>
      <c r="J7" s="237" t="s">
        <v>272</v>
      </c>
      <c r="K7" s="246" t="s">
        <v>273</v>
      </c>
    </row>
    <row r="8" spans="1:11" s="224" customFormat="1" ht="30" customHeight="1" thickBot="1">
      <c r="A8" s="239"/>
      <c r="B8" s="236"/>
      <c r="C8" s="296">
        <v>4.3499999999999997E-2</v>
      </c>
      <c r="D8" s="297">
        <v>5.0000000000000001E-3</v>
      </c>
      <c r="E8" s="294"/>
      <c r="F8" s="295"/>
      <c r="G8" s="295"/>
      <c r="H8" s="236"/>
      <c r="I8" s="237"/>
      <c r="J8" s="237"/>
      <c r="K8" s="246"/>
    </row>
    <row r="9" spans="1:11" s="224" customFormat="1" ht="30" customHeight="1" thickBot="1">
      <c r="A9" s="239"/>
      <c r="B9" s="236"/>
      <c r="C9" s="296">
        <v>4.3499999999999997E-2</v>
      </c>
      <c r="D9" s="297">
        <v>5.0000000000000001E-3</v>
      </c>
      <c r="E9" s="294"/>
      <c r="F9" s="295"/>
      <c r="G9" s="295"/>
      <c r="H9" s="236"/>
      <c r="I9" s="237"/>
      <c r="J9" s="237"/>
      <c r="K9" s="246"/>
    </row>
    <row r="10" spans="1:11" s="224" customFormat="1" ht="30" customHeight="1" thickBot="1">
      <c r="A10" s="239"/>
      <c r="B10" s="236"/>
      <c r="C10" s="296">
        <v>4.3499999999999997E-2</v>
      </c>
      <c r="D10" s="297">
        <v>5.0000000000000001E-3</v>
      </c>
      <c r="E10" s="294"/>
      <c r="F10" s="295"/>
      <c r="G10" s="295"/>
      <c r="H10" s="236"/>
      <c r="I10" s="237"/>
      <c r="J10" s="237"/>
      <c r="K10" s="246"/>
    </row>
    <row r="11" spans="1:11" s="224" customFormat="1" ht="30" customHeight="1" thickBot="1">
      <c r="A11" s="239"/>
      <c r="B11" s="236"/>
      <c r="C11" s="296">
        <v>4.3499999999999997E-2</v>
      </c>
      <c r="D11" s="297">
        <v>5.0000000000000001E-3</v>
      </c>
      <c r="E11" s="294"/>
      <c r="F11" s="295"/>
      <c r="G11" s="295"/>
      <c r="H11" s="236"/>
      <c r="I11" s="237"/>
      <c r="J11" s="237"/>
      <c r="K11" s="246"/>
    </row>
    <row r="12" spans="1:11" s="224" customFormat="1" ht="30" customHeight="1" thickBot="1">
      <c r="A12" s="239"/>
      <c r="B12" s="236"/>
      <c r="C12" s="296">
        <v>4.3499999999999997E-2</v>
      </c>
      <c r="D12" s="297">
        <v>5.0000000000000001E-3</v>
      </c>
      <c r="E12" s="294"/>
      <c r="F12" s="295"/>
      <c r="G12" s="295"/>
      <c r="H12" s="236"/>
      <c r="I12" s="237"/>
      <c r="J12" s="237"/>
      <c r="K12" s="246"/>
    </row>
    <row r="13" spans="1:11" s="224" customFormat="1" ht="30" customHeight="1" thickBot="1">
      <c r="A13" s="239"/>
      <c r="B13" s="236"/>
      <c r="C13" s="296">
        <v>4.3499999999999997E-2</v>
      </c>
      <c r="D13" s="297">
        <v>5.0000000000000001E-3</v>
      </c>
      <c r="E13" s="294"/>
      <c r="F13" s="295"/>
      <c r="G13" s="295"/>
      <c r="H13" s="236"/>
      <c r="I13" s="237"/>
      <c r="J13" s="237"/>
      <c r="K13" s="246"/>
    </row>
    <row r="14" spans="1:11" s="224" customFormat="1" ht="30" customHeight="1" thickBot="1">
      <c r="A14" s="239">
        <v>2</v>
      </c>
      <c r="B14" s="239">
        <v>2</v>
      </c>
      <c r="C14" s="296">
        <v>4.3499999999999997E-2</v>
      </c>
      <c r="D14" s="297">
        <v>5.0000000000000001E-3</v>
      </c>
      <c r="E14" s="240"/>
      <c r="F14" s="240"/>
      <c r="G14" s="241"/>
      <c r="H14" s="238"/>
      <c r="I14" s="238"/>
      <c r="J14" s="245"/>
      <c r="K14" s="246"/>
    </row>
    <row r="15" spans="1:11" s="225" customFormat="1" ht="30" customHeight="1" thickBot="1">
      <c r="A15" s="239">
        <v>2</v>
      </c>
      <c r="B15" s="239">
        <v>2</v>
      </c>
      <c r="C15" s="296">
        <v>4.3499999999999997E-2</v>
      </c>
      <c r="D15" s="297">
        <v>5.0000000000000001E-3</v>
      </c>
      <c r="E15" s="237"/>
      <c r="F15" s="237"/>
      <c r="G15" s="237"/>
      <c r="H15" s="238"/>
      <c r="I15" s="238"/>
      <c r="J15" s="245"/>
      <c r="K15" s="247"/>
    </row>
    <row r="16" spans="1:11" s="225" customFormat="1" ht="30" customHeight="1" thickBot="1">
      <c r="A16" s="239">
        <v>2</v>
      </c>
      <c r="B16" s="239">
        <v>2</v>
      </c>
      <c r="C16" s="296">
        <v>4.3499999999999997E-2</v>
      </c>
      <c r="D16" s="297">
        <v>5.0000000000000001E-3</v>
      </c>
      <c r="E16" s="237"/>
      <c r="F16" s="237"/>
      <c r="G16" s="237"/>
      <c r="H16" s="237"/>
      <c r="I16" s="237"/>
      <c r="J16" s="248"/>
      <c r="K16" s="247"/>
    </row>
    <row r="17" spans="1:10" s="226" customFormat="1">
      <c r="A17" s="242" t="s">
        <v>78</v>
      </c>
      <c r="B17" s="243"/>
      <c r="C17" s="243"/>
      <c r="D17" s="243"/>
      <c r="E17" s="243"/>
      <c r="F17" s="243"/>
      <c r="G17" s="243"/>
      <c r="H17" s="243"/>
    </row>
    <row r="18" spans="1:10" s="226" customFormat="1" ht="281.25" customHeight="1">
      <c r="A18" s="243"/>
      <c r="B18" s="312" t="s">
        <v>79</v>
      </c>
      <c r="C18" s="312"/>
      <c r="D18" s="312"/>
      <c r="E18" s="312"/>
      <c r="F18" s="312"/>
      <c r="G18" s="312"/>
      <c r="H18" s="312"/>
      <c r="I18" s="312"/>
      <c r="J18" s="312"/>
    </row>
  </sheetData>
  <mergeCells count="3">
    <mergeCell ref="A4:J4"/>
    <mergeCell ref="B18:J18"/>
    <mergeCell ref="A5:A6"/>
  </mergeCells>
  <phoneticPr fontId="91" type="noConversion"/>
  <pageMargins left="0.55118110236220497" right="0.55118110236220497" top="0.59055118110236204" bottom="0.59055118110236204" header="0.35433070866141703" footer="0.118110236220472"/>
  <pageSetup paperSize="9" scale="80" orientation="landscape"/>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A2" sqref="A2:D2"/>
    </sheetView>
  </sheetViews>
  <sheetFormatPr defaultColWidth="9" defaultRowHeight="15"/>
  <cols>
    <col min="1" max="1" width="11.08203125" customWidth="1"/>
    <col min="3" max="3" width="13.1640625" customWidth="1"/>
    <col min="4" max="4" width="25.83203125" customWidth="1"/>
  </cols>
  <sheetData>
    <row r="1" spans="1:4">
      <c r="A1" t="s">
        <v>80</v>
      </c>
      <c r="B1" t="s">
        <v>81</v>
      </c>
      <c r="C1" t="s">
        <v>82</v>
      </c>
      <c r="D1" t="s">
        <v>83</v>
      </c>
    </row>
  </sheetData>
  <phoneticPr fontId="9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G8" sqref="G8"/>
    </sheetView>
  </sheetViews>
  <sheetFormatPr defaultColWidth="9" defaultRowHeight="15"/>
  <cols>
    <col min="1" max="1" width="11.08203125" customWidth="1"/>
    <col min="4" max="4" width="9.1640625" bestFit="1" customWidth="1"/>
  </cols>
  <sheetData>
    <row r="1" spans="1:5">
      <c r="A1" t="s">
        <v>84</v>
      </c>
      <c r="B1" t="s">
        <v>85</v>
      </c>
      <c r="C1" t="s">
        <v>82</v>
      </c>
      <c r="D1" t="s">
        <v>86</v>
      </c>
      <c r="E1" t="s">
        <v>87</v>
      </c>
    </row>
    <row r="2" spans="1:5">
      <c r="A2" t="s">
        <v>280</v>
      </c>
      <c r="B2" t="s">
        <v>281</v>
      </c>
      <c r="C2" t="s">
        <v>283</v>
      </c>
      <c r="D2" s="293">
        <v>46023</v>
      </c>
      <c r="E2" t="s">
        <v>88</v>
      </c>
    </row>
    <row r="3" spans="1:5">
      <c r="A3" t="s">
        <v>280</v>
      </c>
      <c r="B3" t="s">
        <v>282</v>
      </c>
      <c r="C3" t="s">
        <v>284</v>
      </c>
      <c r="D3" s="293">
        <v>46023</v>
      </c>
      <c r="E3" t="s">
        <v>89</v>
      </c>
    </row>
  </sheetData>
  <phoneticPr fontId="9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30"/>
  <sheetViews>
    <sheetView zoomScale="80" zoomScaleNormal="80" zoomScaleSheetLayoutView="80" workbookViewId="0">
      <selection activeCell="B16" sqref="B16"/>
    </sheetView>
  </sheetViews>
  <sheetFormatPr defaultColWidth="7" defaultRowHeight="14"/>
  <cols>
    <col min="1" max="1" width="43" style="184" customWidth="1"/>
    <col min="2" max="2" width="16.08203125" style="184" customWidth="1"/>
    <col min="3" max="3" width="19.25" style="185" customWidth="1"/>
    <col min="4" max="4" width="13.58203125" style="185" customWidth="1"/>
    <col min="5" max="5" width="14.75" style="185" customWidth="1"/>
    <col min="6" max="6" width="12" style="185" customWidth="1"/>
    <col min="7" max="10" width="11.58203125" style="185" customWidth="1"/>
    <col min="11" max="11" width="16.5" style="185" customWidth="1"/>
    <col min="12" max="12" width="7" style="186"/>
    <col min="13" max="16384" width="7" style="185"/>
  </cols>
  <sheetData>
    <row r="1" spans="1:13" s="183" customFormat="1" ht="16.5">
      <c r="A1" s="98" t="str">
        <f>'1 组织结构及管理架构'!A1</f>
        <v>斯必克（上海）流体技术有限公司</v>
      </c>
      <c r="B1" s="187"/>
      <c r="L1" s="216"/>
    </row>
    <row r="2" spans="1:13">
      <c r="A2" s="188"/>
      <c r="B2" s="188"/>
    </row>
    <row r="3" spans="1:13" ht="15.5">
      <c r="A3" s="189" t="s">
        <v>90</v>
      </c>
      <c r="B3" s="189"/>
    </row>
    <row r="4" spans="1:13">
      <c r="A4" s="189"/>
      <c r="B4" s="189"/>
    </row>
    <row r="5" spans="1:13" ht="24.75" customHeight="1">
      <c r="A5" s="316" t="s">
        <v>91</v>
      </c>
      <c r="B5" s="317"/>
      <c r="C5" s="317"/>
      <c r="D5" s="317"/>
      <c r="E5" s="317"/>
      <c r="F5" s="317"/>
      <c r="K5" s="217" t="s">
        <v>92</v>
      </c>
    </row>
    <row r="6" spans="1:13" ht="24" customHeight="1">
      <c r="A6" s="321" t="s">
        <v>93</v>
      </c>
      <c r="B6" s="318" t="s">
        <v>94</v>
      </c>
      <c r="C6" s="318" t="s">
        <v>95</v>
      </c>
      <c r="D6" s="319"/>
      <c r="E6" s="319"/>
      <c r="F6" s="319"/>
      <c r="G6" s="318" t="s">
        <v>96</v>
      </c>
      <c r="H6" s="319"/>
      <c r="I6" s="319"/>
      <c r="J6" s="319"/>
      <c r="K6" s="314" t="s">
        <v>97</v>
      </c>
      <c r="M6" s="186"/>
    </row>
    <row r="7" spans="1:13" ht="24" customHeight="1">
      <c r="A7" s="322"/>
      <c r="B7" s="320"/>
      <c r="C7" s="320" t="s">
        <v>98</v>
      </c>
      <c r="D7" s="320"/>
      <c r="E7" s="320" t="s">
        <v>99</v>
      </c>
      <c r="F7" s="320"/>
      <c r="G7" s="320" t="s">
        <v>98</v>
      </c>
      <c r="H7" s="320"/>
      <c r="I7" s="320" t="s">
        <v>99</v>
      </c>
      <c r="J7" s="320"/>
      <c r="K7" s="315"/>
    </row>
    <row r="8" spans="1:13" ht="24" customHeight="1">
      <c r="A8" s="322"/>
      <c r="B8" s="320"/>
      <c r="C8" s="190" t="s">
        <v>100</v>
      </c>
      <c r="D8" s="190" t="s">
        <v>101</v>
      </c>
      <c r="E8" s="190" t="s">
        <v>100</v>
      </c>
      <c r="F8" s="190" t="s">
        <v>101</v>
      </c>
      <c r="G8" s="190" t="s">
        <v>100</v>
      </c>
      <c r="H8" s="190" t="s">
        <v>101</v>
      </c>
      <c r="I8" s="190" t="s">
        <v>100</v>
      </c>
      <c r="J8" s="190" t="s">
        <v>101</v>
      </c>
      <c r="K8" s="315"/>
    </row>
    <row r="9" spans="1:13">
      <c r="A9" s="191"/>
      <c r="B9" s="191"/>
      <c r="C9" s="192"/>
      <c r="D9" s="193"/>
      <c r="E9" s="193"/>
      <c r="F9" s="193"/>
      <c r="G9" s="194"/>
      <c r="H9" s="195"/>
      <c r="I9" s="195"/>
      <c r="J9" s="195"/>
      <c r="K9" s="218"/>
    </row>
    <row r="10" spans="1:13" ht="15.5">
      <c r="A10" s="196" t="s">
        <v>102</v>
      </c>
      <c r="B10" s="197"/>
      <c r="C10" s="198"/>
      <c r="D10" s="199"/>
      <c r="E10" s="200"/>
      <c r="F10" s="199"/>
      <c r="G10" s="201"/>
      <c r="H10" s="199"/>
      <c r="I10" s="200"/>
      <c r="J10" s="199"/>
      <c r="K10" s="219"/>
    </row>
    <row r="11" spans="1:13" ht="15.5">
      <c r="A11" s="196" t="s">
        <v>103</v>
      </c>
      <c r="B11" s="197"/>
      <c r="C11" s="198"/>
      <c r="D11" s="199"/>
      <c r="E11" s="200"/>
      <c r="F11" s="199"/>
      <c r="G11" s="201"/>
      <c r="H11" s="199"/>
      <c r="I11" s="200"/>
      <c r="J11" s="199"/>
      <c r="K11" s="219"/>
    </row>
    <row r="12" spans="1:13" ht="15.5">
      <c r="A12" s="196" t="s">
        <v>104</v>
      </c>
      <c r="B12" s="202"/>
      <c r="C12" s="198"/>
      <c r="D12" s="203"/>
      <c r="E12" s="203"/>
      <c r="F12" s="203"/>
      <c r="G12" s="198"/>
      <c r="H12" s="203"/>
      <c r="I12" s="203"/>
      <c r="J12" s="203"/>
      <c r="K12" s="219"/>
    </row>
    <row r="13" spans="1:13" ht="15.5">
      <c r="A13" s="196" t="s">
        <v>105</v>
      </c>
      <c r="B13" s="202"/>
      <c r="C13" s="198"/>
      <c r="D13" s="203"/>
      <c r="E13" s="203"/>
      <c r="F13" s="203"/>
      <c r="G13" s="198"/>
      <c r="H13" s="203"/>
      <c r="I13" s="203"/>
      <c r="J13" s="203"/>
      <c r="K13" s="219"/>
    </row>
    <row r="14" spans="1:13" ht="15.5">
      <c r="A14" s="196" t="s">
        <v>106</v>
      </c>
      <c r="B14" s="197"/>
      <c r="C14" s="198"/>
      <c r="D14" s="203"/>
      <c r="E14" s="203"/>
      <c r="F14" s="203"/>
      <c r="G14" s="198"/>
      <c r="H14" s="203"/>
      <c r="I14" s="203"/>
      <c r="J14" s="203"/>
      <c r="K14" s="219"/>
    </row>
    <row r="15" spans="1:13" ht="15.5">
      <c r="A15" s="196" t="s">
        <v>107</v>
      </c>
      <c r="B15" s="197"/>
      <c r="C15" s="198"/>
      <c r="D15" s="203"/>
      <c r="E15" s="203"/>
      <c r="F15" s="203"/>
      <c r="G15" s="198"/>
      <c r="H15" s="203"/>
      <c r="I15" s="203"/>
      <c r="J15" s="203"/>
      <c r="K15" s="219"/>
    </row>
    <row r="16" spans="1:13" ht="15.5">
      <c r="A16" s="196" t="s">
        <v>108</v>
      </c>
      <c r="B16" s="197"/>
      <c r="C16" s="198"/>
      <c r="D16" s="203"/>
      <c r="E16" s="203"/>
      <c r="F16" s="203"/>
      <c r="G16" s="198"/>
      <c r="H16" s="203"/>
      <c r="I16" s="203"/>
      <c r="J16" s="203"/>
      <c r="K16" s="219"/>
    </row>
    <row r="17" spans="1:11" ht="15.5">
      <c r="A17" s="196" t="s">
        <v>109</v>
      </c>
      <c r="B17" s="197"/>
      <c r="C17" s="198"/>
      <c r="D17" s="203"/>
      <c r="E17" s="203"/>
      <c r="F17" s="203"/>
      <c r="G17" s="198"/>
      <c r="H17" s="203"/>
      <c r="I17" s="203"/>
      <c r="J17" s="203"/>
      <c r="K17" s="219"/>
    </row>
    <row r="18" spans="1:11" ht="15.5">
      <c r="A18" s="196" t="s">
        <v>110</v>
      </c>
      <c r="B18" s="202"/>
      <c r="C18" s="198"/>
      <c r="D18" s="203"/>
      <c r="E18" s="203"/>
      <c r="F18" s="203"/>
      <c r="G18" s="198"/>
      <c r="H18" s="203"/>
      <c r="I18" s="203"/>
      <c r="J18" s="203"/>
      <c r="K18" s="220"/>
    </row>
    <row r="19" spans="1:11" ht="15.5">
      <c r="A19" s="204" t="s">
        <v>111</v>
      </c>
      <c r="B19" s="202"/>
      <c r="C19" s="198"/>
      <c r="D19" s="203"/>
      <c r="E19" s="203"/>
      <c r="F19" s="203"/>
      <c r="G19" s="198"/>
      <c r="H19" s="203"/>
      <c r="I19" s="203"/>
      <c r="J19" s="203"/>
      <c r="K19" s="220"/>
    </row>
    <row r="20" spans="1:11" ht="15.5">
      <c r="A20" s="196" t="s">
        <v>112</v>
      </c>
      <c r="B20" s="197"/>
      <c r="C20" s="205"/>
      <c r="D20" s="206"/>
      <c r="E20" s="206"/>
      <c r="F20" s="206"/>
      <c r="G20" s="205"/>
      <c r="H20" s="206"/>
      <c r="I20" s="206"/>
      <c r="J20" s="206"/>
      <c r="K20" s="220"/>
    </row>
    <row r="21" spans="1:11" ht="15.5">
      <c r="A21" s="196" t="s">
        <v>113</v>
      </c>
      <c r="B21" s="197"/>
      <c r="C21" s="198"/>
      <c r="D21" s="203"/>
      <c r="E21" s="203"/>
      <c r="F21" s="203"/>
      <c r="G21" s="198"/>
      <c r="H21" s="203"/>
      <c r="I21" s="203"/>
      <c r="J21" s="203"/>
      <c r="K21" s="220"/>
    </row>
    <row r="22" spans="1:11" ht="15.5">
      <c r="A22" s="196" t="s">
        <v>114</v>
      </c>
      <c r="B22" s="197"/>
      <c r="C22" s="198"/>
      <c r="D22" s="203"/>
      <c r="E22" s="203"/>
      <c r="F22" s="203"/>
      <c r="G22" s="198"/>
      <c r="H22" s="203"/>
      <c r="I22" s="203"/>
      <c r="J22" s="203"/>
      <c r="K22" s="220"/>
    </row>
    <row r="23" spans="1:11" ht="15.5">
      <c r="A23" s="196" t="s">
        <v>115</v>
      </c>
      <c r="B23" s="197"/>
      <c r="C23" s="198"/>
      <c r="D23" s="203"/>
      <c r="E23" s="203"/>
      <c r="F23" s="203"/>
      <c r="G23" s="198"/>
      <c r="H23" s="203"/>
      <c r="I23" s="203"/>
      <c r="J23" s="203"/>
      <c r="K23" s="220"/>
    </row>
    <row r="24" spans="1:11">
      <c r="A24" s="191"/>
      <c r="B24" s="191"/>
      <c r="C24" s="207"/>
      <c r="D24" s="208"/>
      <c r="E24" s="208"/>
      <c r="F24" s="208"/>
      <c r="G24" s="209"/>
      <c r="H24" s="193"/>
      <c r="I24" s="193"/>
      <c r="J24" s="193"/>
      <c r="K24" s="221"/>
    </row>
    <row r="25" spans="1:11">
      <c r="A25" s="210"/>
      <c r="B25" s="210"/>
      <c r="C25" s="211"/>
      <c r="D25" s="212"/>
      <c r="E25" s="212"/>
      <c r="F25" s="212"/>
      <c r="G25" s="213"/>
      <c r="H25" s="212"/>
      <c r="I25" s="212"/>
      <c r="J25" s="212"/>
      <c r="K25" s="222"/>
    </row>
    <row r="27" spans="1:11" ht="15.5">
      <c r="A27" s="214" t="s">
        <v>116</v>
      </c>
      <c r="K27" s="223"/>
    </row>
    <row r="30" spans="1:11">
      <c r="C30" s="215"/>
      <c r="E30" s="215"/>
      <c r="F30" s="215"/>
    </row>
  </sheetData>
  <mergeCells count="10">
    <mergeCell ref="K6:K8"/>
    <mergeCell ref="A5:F5"/>
    <mergeCell ref="C6:F6"/>
    <mergeCell ref="G6:J6"/>
    <mergeCell ref="C7:D7"/>
    <mergeCell ref="E7:F7"/>
    <mergeCell ref="G7:H7"/>
    <mergeCell ref="I7:J7"/>
    <mergeCell ref="A6:A8"/>
    <mergeCell ref="B6:B8"/>
  </mergeCells>
  <phoneticPr fontId="91" type="noConversion"/>
  <pageMargins left="0.55118110236220497" right="0.55118110236220497" top="0.59055118110236204" bottom="0.59055118110236204" header="0.35433070866141703" footer="0.118110236220472"/>
  <pageSetup paperSize="9" scale="50" orientation="landscape"/>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C11" sqref="C11"/>
    </sheetView>
  </sheetViews>
  <sheetFormatPr defaultColWidth="9" defaultRowHeight="15"/>
  <cols>
    <col min="1" max="1" width="24.83203125" customWidth="1"/>
  </cols>
  <sheetData>
    <row r="1" spans="1:4">
      <c r="A1" t="s">
        <v>117</v>
      </c>
      <c r="B1" t="s">
        <v>118</v>
      </c>
      <c r="C1" t="s">
        <v>119</v>
      </c>
      <c r="D1" t="s">
        <v>120</v>
      </c>
    </row>
    <row r="2" spans="1:4">
      <c r="B2" t="s">
        <v>121</v>
      </c>
      <c r="C2" t="s">
        <v>122</v>
      </c>
      <c r="D2" t="s">
        <v>123</v>
      </c>
    </row>
    <row r="3" spans="1:4">
      <c r="A3" t="s">
        <v>124</v>
      </c>
      <c r="B3">
        <v>123</v>
      </c>
      <c r="C3">
        <v>456</v>
      </c>
      <c r="D3">
        <f>SUM(B3:C3)</f>
        <v>579</v>
      </c>
    </row>
    <row r="4" spans="1:4">
      <c r="A4" t="s">
        <v>125</v>
      </c>
    </row>
    <row r="5" spans="1:4">
      <c r="A5" t="s">
        <v>126</v>
      </c>
    </row>
    <row r="6" spans="1:4">
      <c r="A6" t="s">
        <v>127</v>
      </c>
    </row>
    <row r="7" spans="1:4">
      <c r="A7" t="s">
        <v>128</v>
      </c>
    </row>
    <row r="8" spans="1:4">
      <c r="A8" t="s">
        <v>129</v>
      </c>
    </row>
    <row r="9" spans="1:4">
      <c r="A9" t="s">
        <v>130</v>
      </c>
    </row>
  </sheetData>
  <phoneticPr fontId="9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FF00"/>
  </sheetPr>
  <dimension ref="A1:J52"/>
  <sheetViews>
    <sheetView zoomScaleSheetLayoutView="80" workbookViewId="0">
      <pane xSplit="4" ySplit="7" topLeftCell="E8" activePane="bottomRight" state="frozen"/>
      <selection pane="topRight"/>
      <selection pane="bottomLeft"/>
      <selection pane="bottomRight" activeCell="C29" sqref="C29"/>
    </sheetView>
  </sheetViews>
  <sheetFormatPr defaultColWidth="7" defaultRowHeight="14"/>
  <cols>
    <col min="1" max="1" width="13" style="146" customWidth="1"/>
    <col min="2" max="2" width="6.25" style="146" customWidth="1"/>
    <col min="3" max="3" width="35.08203125" style="147" customWidth="1"/>
    <col min="4" max="4" width="20.25" style="147" customWidth="1"/>
    <col min="5" max="7" width="19" style="147" customWidth="1"/>
    <col min="8" max="10" width="23.75" style="147" customWidth="1"/>
    <col min="11" max="16384" width="7" style="147"/>
  </cols>
  <sheetData>
    <row r="1" spans="1:10" s="141" customFormat="1" ht="16.5">
      <c r="A1" s="98" t="str">
        <f>'1 组织结构及管理架构'!A1</f>
        <v>斯必克（上海）流体技术有限公司</v>
      </c>
      <c r="B1" s="98"/>
      <c r="C1" s="148"/>
    </row>
    <row r="2" spans="1:10" s="141" customFormat="1" ht="16.5">
      <c r="A2" s="149"/>
      <c r="B2" s="149"/>
      <c r="C2" s="148"/>
    </row>
    <row r="3" spans="1:10" s="141" customFormat="1" ht="16.5">
      <c r="A3" s="150" t="s">
        <v>131</v>
      </c>
      <c r="B3" s="150"/>
    </row>
    <row r="4" spans="1:10" s="142" customFormat="1" ht="15.5">
      <c r="A4" s="329" t="s">
        <v>132</v>
      </c>
      <c r="B4" s="329"/>
      <c r="C4" s="329"/>
      <c r="D4" s="329"/>
      <c r="E4" s="329"/>
      <c r="F4" s="329"/>
      <c r="G4" s="329"/>
      <c r="H4" s="329"/>
      <c r="I4" s="329"/>
      <c r="J4" s="329"/>
    </row>
    <row r="5" spans="1:10" s="143" customFormat="1" ht="27" customHeight="1">
      <c r="A5" s="326" t="s">
        <v>133</v>
      </c>
      <c r="B5" s="326" t="s">
        <v>134</v>
      </c>
      <c r="C5" s="326" t="s">
        <v>135</v>
      </c>
      <c r="D5" s="326" t="s">
        <v>136</v>
      </c>
      <c r="E5" s="326" t="s">
        <v>137</v>
      </c>
      <c r="F5" s="326"/>
      <c r="G5" s="151"/>
      <c r="H5" s="326" t="s">
        <v>138</v>
      </c>
      <c r="I5" s="326" t="s">
        <v>139</v>
      </c>
      <c r="J5" s="326" t="s">
        <v>140</v>
      </c>
    </row>
    <row r="6" spans="1:10" s="144" customFormat="1" ht="28.5" customHeight="1">
      <c r="A6" s="327"/>
      <c r="B6" s="327"/>
      <c r="C6" s="328"/>
      <c r="D6" s="328"/>
      <c r="E6" s="151" t="s">
        <v>141</v>
      </c>
      <c r="F6" s="151" t="s">
        <v>142</v>
      </c>
      <c r="G6" s="151" t="s">
        <v>143</v>
      </c>
      <c r="H6" s="328"/>
      <c r="I6" s="333"/>
      <c r="J6" s="328"/>
    </row>
    <row r="7" spans="1:10" s="144" customFormat="1" ht="27.75" customHeight="1">
      <c r="A7" s="330" t="s">
        <v>144</v>
      </c>
      <c r="B7" s="331"/>
      <c r="C7" s="330"/>
      <c r="D7" s="330"/>
      <c r="E7" s="330"/>
      <c r="F7" s="330"/>
      <c r="G7" s="330"/>
      <c r="H7" s="330"/>
      <c r="I7" s="332"/>
      <c r="J7" s="330"/>
    </row>
    <row r="8" spans="1:10" s="143" customFormat="1" ht="13">
      <c r="A8" s="323" t="s">
        <v>145</v>
      </c>
      <c r="B8" s="21">
        <v>1</v>
      </c>
      <c r="C8" s="26" t="s">
        <v>274</v>
      </c>
      <c r="D8" s="152" t="s">
        <v>275</v>
      </c>
      <c r="E8" s="153">
        <v>100</v>
      </c>
      <c r="F8" s="109"/>
      <c r="G8" s="109"/>
      <c r="H8" s="28"/>
      <c r="I8" s="178"/>
      <c r="J8" s="28"/>
    </row>
    <row r="9" spans="1:10" s="143" customFormat="1" ht="13">
      <c r="A9" s="324"/>
      <c r="B9" s="21">
        <v>2</v>
      </c>
      <c r="C9" s="26"/>
      <c r="D9" s="152"/>
      <c r="E9" s="154"/>
      <c r="F9" s="109"/>
      <c r="G9" s="109"/>
      <c r="H9" s="28"/>
      <c r="I9" s="178"/>
      <c r="J9" s="28"/>
    </row>
    <row r="10" spans="1:10" s="143" customFormat="1" ht="13">
      <c r="A10" s="324"/>
      <c r="B10" s="21">
        <v>3</v>
      </c>
      <c r="C10" s="26"/>
      <c r="D10" s="152"/>
      <c r="E10" s="154"/>
      <c r="F10" s="109"/>
      <c r="G10" s="109"/>
      <c r="H10" s="28"/>
      <c r="I10" s="178"/>
      <c r="J10" s="28"/>
    </row>
    <row r="11" spans="1:10" s="143" customFormat="1" ht="13">
      <c r="A11" s="324"/>
      <c r="B11" s="21">
        <v>4</v>
      </c>
      <c r="C11" s="26"/>
      <c r="D11" s="152"/>
      <c r="E11" s="154"/>
      <c r="F11" s="109"/>
      <c r="G11" s="109"/>
      <c r="H11" s="28"/>
      <c r="I11" s="178"/>
      <c r="J11" s="28"/>
    </row>
    <row r="12" spans="1:10" s="143" customFormat="1" ht="13">
      <c r="A12" s="324"/>
      <c r="B12" s="21">
        <v>5</v>
      </c>
      <c r="C12" s="26"/>
      <c r="D12" s="152"/>
      <c r="E12" s="154"/>
      <c r="F12" s="109"/>
      <c r="G12" s="109"/>
      <c r="H12" s="28"/>
      <c r="I12" s="178"/>
      <c r="J12" s="28"/>
    </row>
    <row r="13" spans="1:10" s="143" customFormat="1">
      <c r="A13" s="324"/>
      <c r="B13" s="28" t="s">
        <v>146</v>
      </c>
      <c r="C13" s="26"/>
      <c r="D13" s="152"/>
      <c r="E13" s="154"/>
      <c r="F13" s="109"/>
      <c r="G13" s="109"/>
      <c r="H13" s="28"/>
      <c r="I13" s="178"/>
      <c r="J13" s="28"/>
    </row>
    <row r="14" spans="1:10" s="145" customFormat="1">
      <c r="A14" s="325"/>
      <c r="B14" s="29" t="s">
        <v>147</v>
      </c>
      <c r="C14" s="30"/>
      <c r="D14" s="155"/>
      <c r="E14" s="156">
        <f>SUM(E8:E13)</f>
        <v>100</v>
      </c>
      <c r="F14" s="111">
        <f t="shared" ref="F14" si="0">IFERROR(E14/E$39,0)</f>
        <v>1</v>
      </c>
      <c r="G14" s="111">
        <f>IFERROR(E14/E$22,0)</f>
        <v>1</v>
      </c>
      <c r="H14" s="29"/>
      <c r="I14" s="179"/>
      <c r="J14" s="29"/>
    </row>
    <row r="15" spans="1:10" s="143" customFormat="1" ht="13">
      <c r="A15" s="323" t="s">
        <v>148</v>
      </c>
      <c r="B15" s="21">
        <v>1</v>
      </c>
      <c r="C15" s="26"/>
      <c r="D15" s="152"/>
      <c r="E15" s="154"/>
      <c r="F15" s="109"/>
      <c r="G15" s="109"/>
      <c r="H15" s="28"/>
      <c r="I15" s="178"/>
      <c r="J15" s="28"/>
    </row>
    <row r="16" spans="1:10" s="143" customFormat="1" ht="13">
      <c r="A16" s="324"/>
      <c r="B16" s="21">
        <v>2</v>
      </c>
      <c r="C16" s="26"/>
      <c r="D16" s="152"/>
      <c r="E16" s="154"/>
      <c r="F16" s="157"/>
      <c r="G16" s="109"/>
      <c r="H16" s="28"/>
      <c r="I16" s="178"/>
      <c r="J16" s="28"/>
    </row>
    <row r="17" spans="1:10" s="143" customFormat="1" ht="13">
      <c r="A17" s="324"/>
      <c r="B17" s="21">
        <v>3</v>
      </c>
      <c r="C17" s="26"/>
      <c r="D17" s="152"/>
      <c r="E17" s="154"/>
      <c r="F17" s="157"/>
      <c r="G17" s="109"/>
      <c r="H17" s="28"/>
      <c r="I17" s="178"/>
      <c r="J17" s="28"/>
    </row>
    <row r="18" spans="1:10" s="143" customFormat="1" ht="13">
      <c r="A18" s="324"/>
      <c r="B18" s="21">
        <v>4</v>
      </c>
      <c r="C18" s="26"/>
      <c r="D18" s="152"/>
      <c r="E18" s="154"/>
      <c r="F18" s="157"/>
      <c r="G18" s="109"/>
      <c r="H18" s="28"/>
      <c r="I18" s="178"/>
      <c r="J18" s="28"/>
    </row>
    <row r="19" spans="1:10" s="143" customFormat="1" ht="13">
      <c r="A19" s="324"/>
      <c r="B19" s="21">
        <v>5</v>
      </c>
      <c r="C19" s="26"/>
      <c r="D19" s="152"/>
      <c r="E19" s="154"/>
      <c r="F19" s="157"/>
      <c r="G19" s="109"/>
      <c r="H19" s="28"/>
      <c r="I19" s="178"/>
      <c r="J19" s="28"/>
    </row>
    <row r="20" spans="1:10" s="143" customFormat="1">
      <c r="A20" s="324"/>
      <c r="B20" s="28" t="s">
        <v>146</v>
      </c>
      <c r="C20" s="26"/>
      <c r="D20" s="152"/>
      <c r="E20" s="154"/>
      <c r="F20" s="157"/>
      <c r="G20" s="109"/>
      <c r="H20" s="28"/>
      <c r="I20" s="178"/>
      <c r="J20" s="28"/>
    </row>
    <row r="21" spans="1:10" s="145" customFormat="1">
      <c r="A21" s="325"/>
      <c r="B21" s="33" t="s">
        <v>149</v>
      </c>
      <c r="C21" s="34"/>
      <c r="D21" s="158"/>
      <c r="E21" s="156">
        <f>SUM(E15:E20)</f>
        <v>0</v>
      </c>
      <c r="F21" s="111">
        <f t="shared" ref="F21:F22" si="1">IFERROR(E21/E$39,0)</f>
        <v>0</v>
      </c>
      <c r="G21" s="111">
        <f>IFERROR(E21/E$22,0)</f>
        <v>0</v>
      </c>
      <c r="H21" s="33"/>
      <c r="I21" s="180"/>
      <c r="J21" s="33"/>
    </row>
    <row r="22" spans="1:10" s="143" customFormat="1">
      <c r="A22" s="113" t="s">
        <v>150</v>
      </c>
      <c r="B22" s="114"/>
      <c r="C22" s="115"/>
      <c r="D22" s="159"/>
      <c r="E22" s="160">
        <f>SUM(E14,E21)</f>
        <v>100</v>
      </c>
      <c r="F22" s="117">
        <f t="shared" si="1"/>
        <v>1</v>
      </c>
      <c r="G22" s="117">
        <f>IFERROR(E22/E$22,0)</f>
        <v>1</v>
      </c>
      <c r="H22" s="115"/>
      <c r="I22" s="181"/>
      <c r="J22" s="115"/>
    </row>
    <row r="23" spans="1:10" s="143" customFormat="1" ht="26.25" customHeight="1">
      <c r="A23" s="330" t="s">
        <v>151</v>
      </c>
      <c r="B23" s="331"/>
      <c r="C23" s="330"/>
      <c r="D23" s="330"/>
      <c r="E23" s="330"/>
      <c r="F23" s="330"/>
      <c r="G23" s="330"/>
      <c r="H23" s="330"/>
      <c r="I23" s="332"/>
      <c r="J23" s="330"/>
    </row>
    <row r="24" spans="1:10" s="143" customFormat="1" ht="13">
      <c r="A24" s="323" t="s">
        <v>152</v>
      </c>
      <c r="B24" s="21">
        <v>1</v>
      </c>
      <c r="C24" s="26"/>
      <c r="D24" s="152"/>
      <c r="E24" s="161"/>
      <c r="F24" s="109"/>
      <c r="G24" s="162"/>
      <c r="H24" s="28"/>
      <c r="I24" s="178"/>
      <c r="J24" s="28"/>
    </row>
    <row r="25" spans="1:10" s="143" customFormat="1" ht="13">
      <c r="A25" s="324"/>
      <c r="B25" s="21">
        <v>2</v>
      </c>
      <c r="C25" s="26"/>
      <c r="D25" s="152"/>
      <c r="E25" s="161"/>
      <c r="F25" s="109"/>
      <c r="G25" s="162"/>
      <c r="H25" s="28"/>
      <c r="I25" s="178"/>
      <c r="J25" s="28"/>
    </row>
    <row r="26" spans="1:10" s="143" customFormat="1" ht="13">
      <c r="A26" s="324"/>
      <c r="B26" s="21">
        <v>3</v>
      </c>
      <c r="C26" s="26"/>
      <c r="D26" s="152"/>
      <c r="E26" s="161"/>
      <c r="F26" s="109"/>
      <c r="G26" s="162"/>
      <c r="H26" s="28"/>
      <c r="I26" s="178"/>
      <c r="J26" s="28"/>
    </row>
    <row r="27" spans="1:10" s="143" customFormat="1" ht="13">
      <c r="A27" s="324"/>
      <c r="B27" s="21">
        <v>4</v>
      </c>
      <c r="C27" s="26"/>
      <c r="D27" s="152"/>
      <c r="E27" s="161"/>
      <c r="F27" s="109"/>
      <c r="G27" s="162"/>
      <c r="H27" s="28"/>
      <c r="I27" s="178"/>
      <c r="J27" s="28"/>
    </row>
    <row r="28" spans="1:10" s="143" customFormat="1" ht="13">
      <c r="A28" s="324"/>
      <c r="B28" s="21">
        <v>5</v>
      </c>
      <c r="C28" s="26"/>
      <c r="D28" s="152"/>
      <c r="E28" s="161"/>
      <c r="F28" s="109"/>
      <c r="G28" s="162"/>
      <c r="H28" s="28"/>
      <c r="I28" s="178"/>
      <c r="J28" s="28"/>
    </row>
    <row r="29" spans="1:10" s="143" customFormat="1">
      <c r="A29" s="324"/>
      <c r="B29" s="28" t="s">
        <v>146</v>
      </c>
      <c r="C29" s="26"/>
      <c r="D29" s="152"/>
      <c r="E29" s="161"/>
      <c r="F29" s="109"/>
      <c r="G29" s="162"/>
      <c r="H29" s="28"/>
      <c r="I29" s="178"/>
      <c r="J29" s="28"/>
    </row>
    <row r="30" spans="1:10" s="145" customFormat="1">
      <c r="A30" s="325"/>
      <c r="B30" s="33" t="s">
        <v>153</v>
      </c>
      <c r="C30" s="34"/>
      <c r="D30" s="158"/>
      <c r="E30" s="156">
        <f>SUM(E24:E29)</f>
        <v>0</v>
      </c>
      <c r="F30" s="119">
        <f t="shared" ref="F30:F39" si="2">IFERROR(E30/E$39,0)</f>
        <v>0</v>
      </c>
      <c r="G30" s="163"/>
      <c r="H30" s="33"/>
      <c r="I30" s="180"/>
      <c r="J30" s="33"/>
    </row>
    <row r="31" spans="1:10" s="143" customFormat="1" ht="13">
      <c r="A31" s="323" t="s">
        <v>154</v>
      </c>
      <c r="B31" s="21">
        <v>1</v>
      </c>
      <c r="C31" s="26"/>
      <c r="D31" s="152"/>
      <c r="E31" s="161"/>
      <c r="F31" s="109"/>
      <c r="G31" s="162"/>
      <c r="H31" s="28"/>
      <c r="I31" s="178"/>
      <c r="J31" s="28"/>
    </row>
    <row r="32" spans="1:10" s="143" customFormat="1" ht="13">
      <c r="A32" s="324"/>
      <c r="B32" s="21">
        <v>2</v>
      </c>
      <c r="C32" s="26"/>
      <c r="D32" s="152"/>
      <c r="E32" s="161"/>
      <c r="F32" s="109"/>
      <c r="G32" s="162"/>
      <c r="H32" s="28"/>
      <c r="I32" s="178"/>
      <c r="J32" s="28"/>
    </row>
    <row r="33" spans="1:10" s="143" customFormat="1" ht="13">
      <c r="A33" s="324"/>
      <c r="B33" s="21">
        <v>3</v>
      </c>
      <c r="C33" s="26"/>
      <c r="D33" s="152"/>
      <c r="E33" s="161"/>
      <c r="F33" s="109"/>
      <c r="G33" s="162"/>
      <c r="H33" s="28"/>
      <c r="I33" s="178"/>
      <c r="J33" s="28"/>
    </row>
    <row r="34" spans="1:10" s="143" customFormat="1" ht="13">
      <c r="A34" s="324"/>
      <c r="B34" s="21">
        <v>4</v>
      </c>
      <c r="C34" s="26"/>
      <c r="D34" s="152"/>
      <c r="E34" s="161"/>
      <c r="F34" s="109"/>
      <c r="G34" s="162"/>
      <c r="H34" s="28"/>
      <c r="I34" s="178"/>
      <c r="J34" s="28"/>
    </row>
    <row r="35" spans="1:10" s="143" customFormat="1" ht="13">
      <c r="A35" s="324"/>
      <c r="B35" s="21">
        <v>5</v>
      </c>
      <c r="C35" s="26"/>
      <c r="D35" s="152"/>
      <c r="E35" s="161"/>
      <c r="F35" s="109"/>
      <c r="G35" s="162"/>
      <c r="H35" s="28"/>
      <c r="I35" s="178"/>
      <c r="J35" s="28"/>
    </row>
    <row r="36" spans="1:10" s="143" customFormat="1">
      <c r="A36" s="324"/>
      <c r="B36" s="28" t="s">
        <v>146</v>
      </c>
      <c r="C36" s="26"/>
      <c r="D36" s="152"/>
      <c r="E36" s="161"/>
      <c r="F36" s="109"/>
      <c r="G36" s="162"/>
      <c r="H36" s="28"/>
      <c r="I36" s="178"/>
      <c r="J36" s="28"/>
    </row>
    <row r="37" spans="1:10" s="145" customFormat="1" ht="12" customHeight="1">
      <c r="A37" s="325"/>
      <c r="B37" s="33" t="s">
        <v>155</v>
      </c>
      <c r="C37" s="34"/>
      <c r="D37" s="158"/>
      <c r="E37" s="32">
        <f>SUM(E31:E36)</f>
        <v>0</v>
      </c>
      <c r="F37" s="119">
        <f t="shared" si="2"/>
        <v>0</v>
      </c>
      <c r="G37" s="163"/>
      <c r="H37" s="33"/>
      <c r="I37" s="180"/>
      <c r="J37" s="33"/>
    </row>
    <row r="38" spans="1:10" s="143" customFormat="1">
      <c r="A38" s="113" t="s">
        <v>156</v>
      </c>
      <c r="B38" s="114"/>
      <c r="C38" s="164"/>
      <c r="D38" s="159"/>
      <c r="E38" s="160">
        <f>SUM(E30,E37)</f>
        <v>0</v>
      </c>
      <c r="F38" s="117">
        <f t="shared" si="2"/>
        <v>0</v>
      </c>
      <c r="G38" s="165"/>
      <c r="H38" s="115"/>
      <c r="I38" s="181"/>
      <c r="J38" s="115"/>
    </row>
    <row r="39" spans="1:10" s="143" customFormat="1">
      <c r="A39" s="166" t="s">
        <v>157</v>
      </c>
      <c r="B39" s="167"/>
      <c r="C39" s="168"/>
      <c r="D39" s="169"/>
      <c r="E39" s="170">
        <f>SUM(E22,E38)</f>
        <v>100</v>
      </c>
      <c r="F39" s="171">
        <f t="shared" si="2"/>
        <v>1</v>
      </c>
      <c r="G39" s="172"/>
      <c r="H39" s="173"/>
      <c r="I39" s="182"/>
      <c r="J39" s="173"/>
    </row>
    <row r="40" spans="1:10">
      <c r="D40" s="174"/>
    </row>
    <row r="41" spans="1:10">
      <c r="D41" s="174"/>
    </row>
    <row r="42" spans="1:10">
      <c r="A42" s="175"/>
      <c r="D42" s="174"/>
      <c r="E42" s="176"/>
    </row>
    <row r="43" spans="1:10">
      <c r="A43" s="177"/>
      <c r="D43" s="174"/>
    </row>
    <row r="44" spans="1:10">
      <c r="D44" s="174"/>
    </row>
    <row r="45" spans="1:10">
      <c r="D45" s="174"/>
    </row>
    <row r="46" spans="1:10">
      <c r="D46" s="174"/>
    </row>
    <row r="47" spans="1:10">
      <c r="D47" s="174"/>
    </row>
    <row r="48" spans="1:10">
      <c r="D48" s="174"/>
    </row>
    <row r="49" spans="4:4">
      <c r="D49" s="174"/>
    </row>
    <row r="50" spans="4:4">
      <c r="D50" s="174"/>
    </row>
    <row r="51" spans="4:4">
      <c r="D51" s="174"/>
    </row>
    <row r="52" spans="4:4">
      <c r="D52" s="174"/>
    </row>
  </sheetData>
  <mergeCells count="15">
    <mergeCell ref="A4:J4"/>
    <mergeCell ref="E5:F5"/>
    <mergeCell ref="A7:J7"/>
    <mergeCell ref="A23:J23"/>
    <mergeCell ref="A5:A6"/>
    <mergeCell ref="A8:A14"/>
    <mergeCell ref="A15:A21"/>
    <mergeCell ref="H5:H6"/>
    <mergeCell ref="I5:I6"/>
    <mergeCell ref="J5:J6"/>
    <mergeCell ref="A24:A30"/>
    <mergeCell ref="A31:A37"/>
    <mergeCell ref="B5:B6"/>
    <mergeCell ref="C5:C6"/>
    <mergeCell ref="D5:D6"/>
  </mergeCells>
  <phoneticPr fontId="91" type="noConversion"/>
  <pageMargins left="0.55118110236220497" right="0.55118110236220497" top="0.59055118110236204" bottom="0.59055118110236204" header="0.35433070866141703" footer="0.118110236220472"/>
  <pageSetup paperSize="9" scale="55"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FF00"/>
  </sheetPr>
  <dimension ref="A1:L59"/>
  <sheetViews>
    <sheetView zoomScale="80" zoomScaleNormal="80" zoomScaleSheetLayoutView="80" workbookViewId="0">
      <pane xSplit="4" ySplit="8" topLeftCell="E9" activePane="bottomRight" state="frozen"/>
      <selection pane="topRight"/>
      <selection pane="bottomLeft"/>
      <selection pane="bottomRight" activeCell="I12" sqref="I12"/>
    </sheetView>
  </sheetViews>
  <sheetFormatPr defaultColWidth="7" defaultRowHeight="13"/>
  <cols>
    <col min="1" max="1" width="14.75" style="95" customWidth="1"/>
    <col min="2" max="2" width="6.25" style="95" customWidth="1"/>
    <col min="3" max="3" width="33" style="96" customWidth="1"/>
    <col min="4" max="4" width="20.75" style="96" customWidth="1"/>
    <col min="5" max="5" width="19" style="97" customWidth="1"/>
    <col min="6" max="7" width="19" style="96" customWidth="1"/>
    <col min="8" max="10" width="23.75" style="96" customWidth="1"/>
    <col min="11" max="11" width="7" style="96"/>
    <col min="12" max="12" width="13.83203125" style="96"/>
    <col min="13" max="16384" width="7" style="96"/>
  </cols>
  <sheetData>
    <row r="1" spans="1:12" s="92" customFormat="1" ht="16.5">
      <c r="A1" s="98" t="str">
        <f>'1 组织结构及管理架构'!A1</f>
        <v>斯必克（上海）流体技术有限公司</v>
      </c>
      <c r="B1" s="99"/>
      <c r="C1" s="100"/>
      <c r="E1" s="101"/>
    </row>
    <row r="2" spans="1:12" s="92" customFormat="1" ht="15.5">
      <c r="A2" s="102"/>
      <c r="B2" s="102"/>
      <c r="C2" s="100"/>
      <c r="E2" s="101"/>
    </row>
    <row r="3" spans="1:12" s="92" customFormat="1" ht="16.5">
      <c r="A3" s="103" t="s">
        <v>158</v>
      </c>
      <c r="B3" s="103"/>
      <c r="E3" s="101"/>
    </row>
    <row r="4" spans="1:12" s="93" customFormat="1" ht="15.5">
      <c r="A4" s="103"/>
      <c r="B4" s="103"/>
      <c r="C4" s="92"/>
      <c r="D4" s="92"/>
      <c r="E4" s="101"/>
      <c r="F4" s="92"/>
      <c r="G4" s="92"/>
      <c r="H4" s="92"/>
      <c r="I4" s="92"/>
      <c r="J4" s="92"/>
    </row>
    <row r="5" spans="1:12" s="93" customFormat="1" ht="15.5">
      <c r="A5" s="338" t="s">
        <v>159</v>
      </c>
      <c r="B5" s="338"/>
      <c r="C5" s="338"/>
      <c r="D5" s="338"/>
      <c r="E5" s="338"/>
      <c r="F5" s="338"/>
      <c r="G5" s="338"/>
      <c r="H5" s="338"/>
      <c r="I5" s="338"/>
      <c r="J5" s="338"/>
    </row>
    <row r="6" spans="1:12" ht="23.25" customHeight="1">
      <c r="A6" s="345" t="s">
        <v>133</v>
      </c>
      <c r="B6" s="334" t="s">
        <v>134</v>
      </c>
      <c r="C6" s="336" t="s">
        <v>160</v>
      </c>
      <c r="D6" s="336" t="s">
        <v>161</v>
      </c>
      <c r="E6" s="336" t="s">
        <v>137</v>
      </c>
      <c r="F6" s="336"/>
      <c r="G6" s="104"/>
      <c r="H6" s="336" t="s">
        <v>138</v>
      </c>
      <c r="I6" s="347" t="s">
        <v>139</v>
      </c>
      <c r="J6" s="336" t="s">
        <v>140</v>
      </c>
    </row>
    <row r="7" spans="1:12" s="94" customFormat="1" ht="30" customHeight="1">
      <c r="A7" s="346"/>
      <c r="B7" s="335"/>
      <c r="C7" s="337"/>
      <c r="D7" s="337"/>
      <c r="E7" s="105" t="s">
        <v>162</v>
      </c>
      <c r="F7" s="104" t="s">
        <v>163</v>
      </c>
      <c r="G7" s="104" t="s">
        <v>164</v>
      </c>
      <c r="H7" s="337"/>
      <c r="I7" s="348"/>
      <c r="J7" s="337"/>
    </row>
    <row r="8" spans="1:12" s="94" customFormat="1" ht="27.75" customHeight="1">
      <c r="A8" s="339" t="s">
        <v>165</v>
      </c>
      <c r="B8" s="340"/>
      <c r="C8" s="339"/>
      <c r="D8" s="339"/>
      <c r="E8" s="339"/>
      <c r="F8" s="339"/>
      <c r="G8" s="339"/>
      <c r="H8" s="339"/>
      <c r="I8" s="341"/>
      <c r="J8" s="339"/>
    </row>
    <row r="9" spans="1:12">
      <c r="A9" s="323" t="s">
        <v>166</v>
      </c>
      <c r="B9" s="21">
        <v>1</v>
      </c>
      <c r="C9" s="106" t="s">
        <v>276</v>
      </c>
      <c r="D9" s="107" t="s">
        <v>277</v>
      </c>
      <c r="E9" s="108">
        <v>6000</v>
      </c>
      <c r="F9" s="109"/>
      <c r="G9" s="109"/>
      <c r="H9" s="110"/>
      <c r="I9" s="136"/>
      <c r="J9" s="110"/>
    </row>
    <row r="10" spans="1:12">
      <c r="A10" s="324"/>
      <c r="B10" s="21">
        <v>2</v>
      </c>
      <c r="C10" s="26"/>
      <c r="D10" s="23"/>
      <c r="E10" s="25"/>
      <c r="F10" s="109"/>
      <c r="G10" s="109"/>
      <c r="H10" s="110"/>
      <c r="I10" s="136"/>
      <c r="J10" s="110"/>
      <c r="L10" s="137"/>
    </row>
    <row r="11" spans="1:12">
      <c r="A11" s="324"/>
      <c r="B11" s="21">
        <v>3</v>
      </c>
      <c r="C11" s="22"/>
      <c r="D11" s="23"/>
      <c r="E11" s="25"/>
      <c r="F11" s="109"/>
      <c r="G11" s="109"/>
      <c r="H11" s="110"/>
      <c r="I11" s="136"/>
      <c r="J11" s="110"/>
    </row>
    <row r="12" spans="1:12">
      <c r="A12" s="324"/>
      <c r="B12" s="21">
        <v>4</v>
      </c>
      <c r="C12" s="26"/>
      <c r="D12" s="27"/>
      <c r="E12" s="25"/>
      <c r="F12" s="109"/>
      <c r="G12" s="109"/>
      <c r="H12" s="110"/>
      <c r="I12" s="136"/>
      <c r="J12" s="110"/>
    </row>
    <row r="13" spans="1:12">
      <c r="A13" s="324"/>
      <c r="B13" s="21">
        <v>5</v>
      </c>
      <c r="C13" s="26"/>
      <c r="D13" s="27"/>
      <c r="E13" s="25"/>
      <c r="F13" s="109"/>
      <c r="G13" s="109"/>
      <c r="H13" s="110"/>
      <c r="I13" s="136"/>
      <c r="J13" s="110"/>
    </row>
    <row r="14" spans="1:12" ht="14">
      <c r="A14" s="324"/>
      <c r="B14" s="28" t="s">
        <v>146</v>
      </c>
      <c r="C14" s="26"/>
      <c r="D14" s="27"/>
      <c r="E14" s="25"/>
      <c r="F14" s="109"/>
      <c r="G14" s="109"/>
      <c r="H14" s="110"/>
      <c r="I14" s="136"/>
      <c r="J14" s="110"/>
    </row>
    <row r="15" spans="1:12" ht="14">
      <c r="A15" s="325"/>
      <c r="B15" s="29" t="s">
        <v>167</v>
      </c>
      <c r="C15" s="30"/>
      <c r="D15" s="31"/>
      <c r="E15" s="32">
        <f>SUBTOTAL(9,E9:E14)</f>
        <v>6000</v>
      </c>
      <c r="F15" s="111">
        <f t="shared" ref="F15:F40" si="0">IFERROR(E15/E$40,0)</f>
        <v>1</v>
      </c>
      <c r="G15" s="111">
        <f t="shared" ref="G15:G23" si="1">IFERROR(E15/E$23,0)</f>
        <v>1</v>
      </c>
      <c r="H15" s="112"/>
      <c r="I15" s="138"/>
      <c r="J15" s="112"/>
    </row>
    <row r="16" spans="1:12">
      <c r="A16" s="323" t="s">
        <v>168</v>
      </c>
      <c r="B16" s="21">
        <v>1</v>
      </c>
      <c r="C16" s="26"/>
      <c r="D16" s="23"/>
      <c r="E16" s="25"/>
      <c r="F16" s="109"/>
      <c r="G16" s="109"/>
      <c r="H16" s="110"/>
      <c r="I16" s="136"/>
      <c r="J16" s="110"/>
    </row>
    <row r="17" spans="1:10">
      <c r="A17" s="324"/>
      <c r="B17" s="21">
        <v>2</v>
      </c>
      <c r="C17" s="106"/>
      <c r="D17" s="107"/>
      <c r="E17" s="108"/>
      <c r="F17" s="109"/>
      <c r="G17" s="109"/>
      <c r="H17" s="110"/>
      <c r="I17" s="136"/>
      <c r="J17" s="110"/>
    </row>
    <row r="18" spans="1:10">
      <c r="A18" s="324"/>
      <c r="B18" s="21">
        <v>3</v>
      </c>
      <c r="C18" s="26"/>
      <c r="D18" s="27"/>
      <c r="E18" s="25"/>
      <c r="F18" s="109"/>
      <c r="G18" s="109"/>
      <c r="H18" s="110"/>
      <c r="I18" s="136"/>
      <c r="J18" s="110"/>
    </row>
    <row r="19" spans="1:10">
      <c r="A19" s="324"/>
      <c r="B19" s="21">
        <v>4</v>
      </c>
      <c r="C19" s="26"/>
      <c r="D19" s="27"/>
      <c r="E19" s="25"/>
      <c r="F19" s="109"/>
      <c r="G19" s="109"/>
      <c r="H19" s="110"/>
      <c r="I19" s="136"/>
      <c r="J19" s="110"/>
    </row>
    <row r="20" spans="1:10">
      <c r="A20" s="324"/>
      <c r="B20" s="21">
        <v>5</v>
      </c>
      <c r="C20" s="26"/>
      <c r="D20" s="27"/>
      <c r="E20" s="25"/>
      <c r="F20" s="109"/>
      <c r="G20" s="109"/>
      <c r="H20" s="110"/>
      <c r="I20" s="136"/>
      <c r="J20" s="110"/>
    </row>
    <row r="21" spans="1:10" ht="14">
      <c r="A21" s="324"/>
      <c r="B21" s="28" t="s">
        <v>146</v>
      </c>
      <c r="C21" s="26"/>
      <c r="D21" s="27"/>
      <c r="E21" s="25"/>
      <c r="F21" s="109"/>
      <c r="G21" s="109"/>
      <c r="H21" s="110"/>
      <c r="I21" s="136"/>
      <c r="J21" s="110"/>
    </row>
    <row r="22" spans="1:10" ht="12" customHeight="1">
      <c r="A22" s="325"/>
      <c r="B22" s="33" t="s">
        <v>169</v>
      </c>
      <c r="C22" s="34"/>
      <c r="D22" s="31"/>
      <c r="E22" s="32">
        <f>SUBTOTAL(9,E16:E21)</f>
        <v>0</v>
      </c>
      <c r="F22" s="111">
        <f t="shared" si="0"/>
        <v>0</v>
      </c>
      <c r="G22" s="111">
        <f t="shared" si="1"/>
        <v>0</v>
      </c>
      <c r="H22" s="112"/>
      <c r="I22" s="138"/>
      <c r="J22" s="112"/>
    </row>
    <row r="23" spans="1:10" ht="14">
      <c r="A23" s="113" t="s">
        <v>170</v>
      </c>
      <c r="B23" s="114"/>
      <c r="C23" s="115"/>
      <c r="D23" s="115"/>
      <c r="E23" s="116">
        <f>SUBTOTAL(9,E9:E22)</f>
        <v>6000</v>
      </c>
      <c r="F23" s="117">
        <f t="shared" si="0"/>
        <v>1</v>
      </c>
      <c r="G23" s="117">
        <f t="shared" si="1"/>
        <v>1</v>
      </c>
      <c r="H23" s="115"/>
      <c r="I23" s="115"/>
      <c r="J23" s="115"/>
    </row>
    <row r="24" spans="1:10" ht="26.25" customHeight="1">
      <c r="A24" s="342" t="s">
        <v>171</v>
      </c>
      <c r="B24" s="343"/>
      <c r="C24" s="342"/>
      <c r="D24" s="342"/>
      <c r="E24" s="342"/>
      <c r="F24" s="342"/>
      <c r="G24" s="342"/>
      <c r="H24" s="342"/>
      <c r="I24" s="344"/>
      <c r="J24" s="342"/>
    </row>
    <row r="25" spans="1:10">
      <c r="A25" s="323" t="s">
        <v>172</v>
      </c>
      <c r="B25" s="21">
        <v>1</v>
      </c>
      <c r="C25" s="26"/>
      <c r="D25" s="27"/>
      <c r="E25" s="25"/>
      <c r="F25" s="118"/>
      <c r="G25" s="118"/>
      <c r="H25" s="110"/>
      <c r="I25" s="136"/>
      <c r="J25" s="110"/>
    </row>
    <row r="26" spans="1:10">
      <c r="A26" s="324"/>
      <c r="B26" s="21">
        <v>2</v>
      </c>
      <c r="C26" s="26"/>
      <c r="D26" s="27"/>
      <c r="E26" s="25"/>
      <c r="F26" s="118"/>
      <c r="G26" s="118"/>
      <c r="H26" s="110"/>
      <c r="I26" s="136"/>
      <c r="J26" s="110"/>
    </row>
    <row r="27" spans="1:10">
      <c r="A27" s="324"/>
      <c r="B27" s="21">
        <v>3</v>
      </c>
      <c r="C27" s="26"/>
      <c r="D27" s="27"/>
      <c r="E27" s="25"/>
      <c r="F27" s="118"/>
      <c r="G27" s="118"/>
      <c r="H27" s="110"/>
      <c r="I27" s="136"/>
      <c r="J27" s="110"/>
    </row>
    <row r="28" spans="1:10">
      <c r="A28" s="324"/>
      <c r="B28" s="21">
        <v>4</v>
      </c>
      <c r="C28" s="26"/>
      <c r="D28" s="27"/>
      <c r="E28" s="25"/>
      <c r="F28" s="118"/>
      <c r="G28" s="118"/>
      <c r="H28" s="110"/>
      <c r="I28" s="136"/>
      <c r="J28" s="110"/>
    </row>
    <row r="29" spans="1:10">
      <c r="A29" s="324"/>
      <c r="B29" s="21">
        <v>5</v>
      </c>
      <c r="C29" s="26"/>
      <c r="D29" s="27"/>
      <c r="E29" s="25"/>
      <c r="F29" s="118"/>
      <c r="G29" s="118"/>
      <c r="H29" s="110"/>
      <c r="I29" s="136"/>
      <c r="J29" s="110"/>
    </row>
    <row r="30" spans="1:10" ht="14">
      <c r="A30" s="324"/>
      <c r="B30" s="28" t="s">
        <v>146</v>
      </c>
      <c r="C30" s="26"/>
      <c r="D30" s="27"/>
      <c r="E30" s="25"/>
      <c r="F30" s="118"/>
      <c r="G30" s="118"/>
      <c r="H30" s="110"/>
      <c r="I30" s="136"/>
      <c r="J30" s="110"/>
    </row>
    <row r="31" spans="1:10" ht="14">
      <c r="A31" s="325"/>
      <c r="B31" s="33" t="s">
        <v>173</v>
      </c>
      <c r="C31" s="34"/>
      <c r="D31" s="31"/>
      <c r="E31" s="32">
        <f>SUBTOTAL(9,E25:E30)</f>
        <v>0</v>
      </c>
      <c r="F31" s="119">
        <f t="shared" si="0"/>
        <v>0</v>
      </c>
      <c r="G31" s="119">
        <f t="shared" ref="G31:G39" si="2">IFERROR(E31/E$39,0)</f>
        <v>0</v>
      </c>
      <c r="H31" s="112"/>
      <c r="I31" s="138"/>
      <c r="J31" s="112"/>
    </row>
    <row r="32" spans="1:10">
      <c r="A32" s="323" t="s">
        <v>174</v>
      </c>
      <c r="B32" s="21">
        <v>1</v>
      </c>
      <c r="C32" s="26"/>
      <c r="D32" s="27"/>
      <c r="E32" s="25"/>
      <c r="F32" s="118"/>
      <c r="G32" s="118"/>
      <c r="H32" s="110"/>
      <c r="I32" s="136"/>
      <c r="J32" s="110"/>
    </row>
    <row r="33" spans="1:10">
      <c r="A33" s="324"/>
      <c r="B33" s="21">
        <v>2</v>
      </c>
      <c r="C33" s="26"/>
      <c r="D33" s="27"/>
      <c r="E33" s="25"/>
      <c r="F33" s="118"/>
      <c r="G33" s="118"/>
      <c r="H33" s="110"/>
      <c r="I33" s="136"/>
      <c r="J33" s="110"/>
    </row>
    <row r="34" spans="1:10">
      <c r="A34" s="324"/>
      <c r="B34" s="21">
        <v>3</v>
      </c>
      <c r="C34" s="26"/>
      <c r="D34" s="27"/>
      <c r="E34" s="25"/>
      <c r="F34" s="118"/>
      <c r="G34" s="118"/>
      <c r="H34" s="110"/>
      <c r="I34" s="136"/>
      <c r="J34" s="110"/>
    </row>
    <row r="35" spans="1:10">
      <c r="A35" s="324"/>
      <c r="B35" s="21">
        <v>4</v>
      </c>
      <c r="C35" s="26"/>
      <c r="D35" s="27"/>
      <c r="E35" s="25"/>
      <c r="F35" s="118"/>
      <c r="G35" s="118"/>
      <c r="H35" s="110"/>
      <c r="I35" s="136"/>
      <c r="J35" s="110"/>
    </row>
    <row r="36" spans="1:10">
      <c r="A36" s="324"/>
      <c r="B36" s="21">
        <v>5</v>
      </c>
      <c r="C36" s="26"/>
      <c r="D36" s="27"/>
      <c r="E36" s="25"/>
      <c r="F36" s="118"/>
      <c r="G36" s="118"/>
      <c r="H36" s="110"/>
      <c r="I36" s="136"/>
      <c r="J36" s="110"/>
    </row>
    <row r="37" spans="1:10" ht="14">
      <c r="A37" s="324"/>
      <c r="B37" s="28" t="s">
        <v>146</v>
      </c>
      <c r="C37" s="26"/>
      <c r="D37" s="27"/>
      <c r="E37" s="25"/>
      <c r="F37" s="118"/>
      <c r="G37" s="118"/>
      <c r="H37" s="110"/>
      <c r="I37" s="136"/>
      <c r="J37" s="110"/>
    </row>
    <row r="38" spans="1:10" ht="14">
      <c r="A38" s="325"/>
      <c r="B38" s="33" t="s">
        <v>175</v>
      </c>
      <c r="C38" s="34"/>
      <c r="D38" s="31"/>
      <c r="E38" s="32">
        <f>SUBTOTAL(9,E32:E37)</f>
        <v>0</v>
      </c>
      <c r="F38" s="119">
        <f t="shared" si="0"/>
        <v>0</v>
      </c>
      <c r="G38" s="119">
        <f t="shared" si="2"/>
        <v>0</v>
      </c>
      <c r="H38" s="112"/>
      <c r="I38" s="138"/>
      <c r="J38" s="112"/>
    </row>
    <row r="39" spans="1:10" ht="14">
      <c r="A39" s="120" t="s">
        <v>176</v>
      </c>
      <c r="B39" s="121"/>
      <c r="C39" s="121"/>
      <c r="D39" s="122"/>
      <c r="E39" s="116">
        <f>SUBTOTAL(9,E25:E38)</f>
        <v>0</v>
      </c>
      <c r="F39" s="123">
        <f t="shared" si="0"/>
        <v>0</v>
      </c>
      <c r="G39" s="123">
        <f t="shared" si="2"/>
        <v>0</v>
      </c>
      <c r="H39" s="124"/>
      <c r="I39" s="139"/>
      <c r="J39" s="124"/>
    </row>
    <row r="40" spans="1:10" ht="14">
      <c r="A40" s="125" t="s">
        <v>157</v>
      </c>
      <c r="B40" s="126"/>
      <c r="C40" s="127"/>
      <c r="D40" s="128"/>
      <c r="E40" s="129">
        <f>SUM(E23,E39)</f>
        <v>6000</v>
      </c>
      <c r="F40" s="130">
        <f t="shared" si="0"/>
        <v>1</v>
      </c>
      <c r="G40" s="131"/>
      <c r="H40" s="132"/>
      <c r="I40" s="140"/>
      <c r="J40" s="132"/>
    </row>
    <row r="41" spans="1:10">
      <c r="D41" s="133"/>
    </row>
    <row r="42" spans="1:10">
      <c r="D42" s="133"/>
    </row>
    <row r="43" spans="1:10">
      <c r="A43" s="134"/>
      <c r="D43" s="133"/>
    </row>
    <row r="44" spans="1:10">
      <c r="D44" s="133"/>
    </row>
    <row r="45" spans="1:10">
      <c r="D45" s="133"/>
    </row>
    <row r="46" spans="1:10">
      <c r="D46" s="133"/>
    </row>
    <row r="47" spans="1:10">
      <c r="D47" s="133"/>
    </row>
    <row r="48" spans="1:10">
      <c r="D48" s="133"/>
    </row>
    <row r="49" spans="1:4">
      <c r="D49" s="133"/>
    </row>
    <row r="50" spans="1:4">
      <c r="D50" s="133"/>
    </row>
    <row r="51" spans="1:4">
      <c r="D51" s="133"/>
    </row>
    <row r="52" spans="1:4">
      <c r="D52" s="133"/>
    </row>
    <row r="53" spans="1:4">
      <c r="D53" s="133"/>
    </row>
    <row r="57" spans="1:4">
      <c r="A57" s="135"/>
    </row>
    <row r="59" spans="1:4">
      <c r="A59" s="135"/>
    </row>
  </sheetData>
  <mergeCells count="15">
    <mergeCell ref="A5:J5"/>
    <mergeCell ref="E6:F6"/>
    <mergeCell ref="A8:J8"/>
    <mergeCell ref="A24:J24"/>
    <mergeCell ref="A6:A7"/>
    <mergeCell ref="A9:A15"/>
    <mergeCell ref="A16:A22"/>
    <mergeCell ref="H6:H7"/>
    <mergeCell ref="I6:I7"/>
    <mergeCell ref="J6:J7"/>
    <mergeCell ref="A25:A31"/>
    <mergeCell ref="A32:A38"/>
    <mergeCell ref="B6:B7"/>
    <mergeCell ref="C6:C7"/>
    <mergeCell ref="D6:D7"/>
  </mergeCells>
  <phoneticPr fontId="91" type="noConversion"/>
  <pageMargins left="0.55118110236220497" right="0.55118110236220497" top="0.59055118110236204" bottom="0.59055118110236204" header="0.35433070866141703" footer="0.118110236220472"/>
  <pageSetup paperSize="9" scale="55"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4"/>
  </sheetPr>
  <dimension ref="A1:H38"/>
  <sheetViews>
    <sheetView workbookViewId="0">
      <selection activeCell="F9" sqref="F9"/>
    </sheetView>
  </sheetViews>
  <sheetFormatPr defaultColWidth="9" defaultRowHeight="15"/>
  <cols>
    <col min="1" max="1" width="4.58203125" style="61" customWidth="1"/>
    <col min="2" max="2" width="13.58203125" style="61" customWidth="1"/>
    <col min="3" max="7" width="17.83203125" style="61" customWidth="1"/>
    <col min="8" max="16384" width="9" style="61"/>
  </cols>
  <sheetData>
    <row r="1" spans="1:7">
      <c r="A1" s="62"/>
      <c r="B1" s="63"/>
      <c r="C1" s="64"/>
      <c r="D1" s="64"/>
      <c r="E1" s="64"/>
      <c r="F1" s="64"/>
      <c r="G1" s="65"/>
    </row>
    <row r="2" spans="1:7">
      <c r="A2" s="66"/>
      <c r="B2" s="66"/>
      <c r="C2" s="64"/>
      <c r="D2" s="64"/>
      <c r="E2" s="64"/>
      <c r="F2" s="64"/>
      <c r="G2" s="66"/>
    </row>
    <row r="3" spans="1:7" ht="16.5">
      <c r="A3" s="67" t="s">
        <v>177</v>
      </c>
      <c r="B3" s="68"/>
      <c r="C3" s="64"/>
      <c r="D3" s="64"/>
      <c r="E3" s="64"/>
      <c r="F3" s="64"/>
      <c r="G3" s="68"/>
    </row>
    <row r="4" spans="1:7">
      <c r="A4" s="69"/>
      <c r="B4" s="69"/>
      <c r="C4" s="64"/>
      <c r="D4" s="64"/>
      <c r="E4" s="64"/>
      <c r="F4" s="64"/>
      <c r="G4" s="69"/>
    </row>
    <row r="5" spans="1:7" ht="20.25" customHeight="1">
      <c r="A5" s="357" t="s">
        <v>178</v>
      </c>
      <c r="B5" s="357"/>
      <c r="C5" s="357"/>
      <c r="D5" s="357"/>
      <c r="E5" s="357"/>
      <c r="F5" s="357"/>
      <c r="G5" s="70"/>
    </row>
    <row r="6" spans="1:7" s="60" customFormat="1" ht="14.25" customHeight="1">
      <c r="A6" s="354" t="s">
        <v>179</v>
      </c>
      <c r="B6" s="349" t="s">
        <v>117</v>
      </c>
      <c r="C6" s="349" t="s">
        <v>84</v>
      </c>
      <c r="D6" s="349" t="s">
        <v>180</v>
      </c>
      <c r="E6" s="349" t="s">
        <v>181</v>
      </c>
      <c r="F6" s="349" t="s">
        <v>182</v>
      </c>
      <c r="G6" s="349" t="s">
        <v>183</v>
      </c>
    </row>
    <row r="7" spans="1:7" s="60" customFormat="1" ht="14.25" customHeight="1">
      <c r="A7" s="354"/>
      <c r="B7" s="349"/>
      <c r="C7" s="349"/>
      <c r="D7" s="349"/>
      <c r="E7" s="349"/>
      <c r="F7" s="349"/>
      <c r="G7" s="349"/>
    </row>
    <row r="8" spans="1:7" ht="14.25" customHeight="1">
      <c r="A8" s="354"/>
      <c r="B8" s="71">
        <v>1</v>
      </c>
      <c r="C8" s="71">
        <v>2</v>
      </c>
      <c r="D8" s="71">
        <v>3</v>
      </c>
      <c r="E8" s="71">
        <v>4</v>
      </c>
      <c r="F8" s="71">
        <v>5</v>
      </c>
      <c r="G8" s="72">
        <v>6</v>
      </c>
    </row>
    <row r="9" spans="1:7" ht="14.25" customHeight="1">
      <c r="A9" s="73">
        <v>1</v>
      </c>
      <c r="B9" s="355" t="s">
        <v>184</v>
      </c>
      <c r="C9" s="74" t="s">
        <v>278</v>
      </c>
      <c r="D9" s="74" t="s">
        <v>279</v>
      </c>
      <c r="E9" s="74">
        <v>5000</v>
      </c>
      <c r="F9" s="75"/>
      <c r="G9" s="76"/>
    </row>
    <row r="10" spans="1:7" ht="14.25" customHeight="1">
      <c r="A10" s="73">
        <v>2</v>
      </c>
      <c r="B10" s="356"/>
      <c r="C10" s="74"/>
      <c r="D10" s="74"/>
      <c r="E10" s="74"/>
      <c r="F10" s="75"/>
      <c r="G10" s="76"/>
    </row>
    <row r="11" spans="1:7" ht="14.25" customHeight="1">
      <c r="A11" s="73">
        <v>3</v>
      </c>
      <c r="B11" s="356"/>
      <c r="C11" s="74"/>
      <c r="D11" s="74"/>
      <c r="E11" s="74"/>
      <c r="F11" s="75"/>
      <c r="G11" s="76"/>
    </row>
    <row r="12" spans="1:7" ht="14.25" customHeight="1">
      <c r="A12" s="73">
        <v>4</v>
      </c>
      <c r="B12" s="356"/>
      <c r="C12" s="74"/>
      <c r="D12" s="74"/>
      <c r="E12" s="74"/>
      <c r="F12" s="75"/>
      <c r="G12" s="76"/>
    </row>
    <row r="13" spans="1:7" ht="14.25" customHeight="1">
      <c r="A13" s="73">
        <v>5</v>
      </c>
      <c r="B13" s="356"/>
      <c r="C13" s="74"/>
      <c r="D13" s="74"/>
      <c r="E13" s="74"/>
      <c r="F13" s="75"/>
      <c r="G13" s="76"/>
    </row>
    <row r="14" spans="1:7" ht="14.25" customHeight="1">
      <c r="A14" s="73">
        <v>6</v>
      </c>
      <c r="B14" s="77" t="s">
        <v>185</v>
      </c>
      <c r="C14" s="77" t="s">
        <v>186</v>
      </c>
      <c r="D14" s="77" t="s">
        <v>185</v>
      </c>
      <c r="E14" s="74"/>
      <c r="F14" s="75"/>
      <c r="G14" s="76"/>
    </row>
    <row r="15" spans="1:7" ht="14.25" customHeight="1">
      <c r="A15" s="78">
        <v>7</v>
      </c>
      <c r="B15" s="353" t="s">
        <v>187</v>
      </c>
      <c r="C15" s="353"/>
      <c r="D15" s="353"/>
      <c r="E15" s="79">
        <f>ROUND(SUM(E9:E14),2)</f>
        <v>5000</v>
      </c>
      <c r="F15" s="80"/>
      <c r="G15" s="81"/>
    </row>
    <row r="16" spans="1:7" ht="14.25" customHeight="1">
      <c r="A16" s="73">
        <v>8</v>
      </c>
      <c r="B16" s="355" t="s">
        <v>188</v>
      </c>
      <c r="C16" s="82"/>
      <c r="D16" s="82"/>
      <c r="E16" s="74"/>
      <c r="F16" s="75"/>
      <c r="G16" s="76"/>
    </row>
    <row r="17" spans="1:8" ht="14.25" customHeight="1">
      <c r="A17" s="73">
        <v>9</v>
      </c>
      <c r="B17" s="356"/>
      <c r="C17" s="82"/>
      <c r="D17" s="82"/>
      <c r="E17" s="74"/>
      <c r="F17" s="75"/>
      <c r="G17" s="76"/>
      <c r="H17" s="83"/>
    </row>
    <row r="18" spans="1:8" ht="14.25" customHeight="1">
      <c r="A18" s="73">
        <v>10</v>
      </c>
      <c r="B18" s="356"/>
      <c r="C18" s="84"/>
      <c r="D18" s="84"/>
      <c r="E18" s="74"/>
      <c r="F18" s="75"/>
      <c r="G18" s="76"/>
    </row>
    <row r="19" spans="1:8" ht="14.25" customHeight="1">
      <c r="A19" s="73">
        <v>11</v>
      </c>
      <c r="B19" s="356"/>
      <c r="C19" s="74"/>
      <c r="D19" s="74"/>
      <c r="E19" s="74"/>
      <c r="F19" s="75"/>
      <c r="G19" s="76"/>
    </row>
    <row r="20" spans="1:8" ht="14.25" customHeight="1">
      <c r="A20" s="73">
        <v>12</v>
      </c>
      <c r="B20" s="356"/>
      <c r="C20" s="74"/>
      <c r="D20" s="74"/>
      <c r="E20" s="74"/>
      <c r="F20" s="75"/>
      <c r="G20" s="76"/>
    </row>
    <row r="21" spans="1:8" ht="14.25" customHeight="1">
      <c r="A21" s="73">
        <v>13</v>
      </c>
      <c r="B21" s="77" t="s">
        <v>185</v>
      </c>
      <c r="C21" s="77" t="s">
        <v>186</v>
      </c>
      <c r="D21" s="77" t="s">
        <v>185</v>
      </c>
      <c r="E21" s="74"/>
      <c r="F21" s="75"/>
      <c r="G21" s="76"/>
    </row>
    <row r="22" spans="1:8" ht="14.25" customHeight="1">
      <c r="A22" s="78">
        <v>14</v>
      </c>
      <c r="B22" s="358" t="s">
        <v>189</v>
      </c>
      <c r="C22" s="358"/>
      <c r="D22" s="358"/>
      <c r="E22" s="79">
        <f>ROUND(SUM(E16:E21),2)</f>
        <v>0</v>
      </c>
      <c r="F22" s="80"/>
      <c r="G22" s="81"/>
    </row>
    <row r="23" spans="1:8" ht="14.25" customHeight="1">
      <c r="A23" s="78">
        <v>15</v>
      </c>
      <c r="B23" s="353" t="s">
        <v>190</v>
      </c>
      <c r="C23" s="353"/>
      <c r="D23" s="353"/>
      <c r="E23" s="85"/>
      <c r="F23" s="86"/>
      <c r="G23" s="81"/>
    </row>
    <row r="24" spans="1:8" ht="14.25" customHeight="1">
      <c r="A24" s="73">
        <v>16</v>
      </c>
      <c r="B24" s="355" t="s">
        <v>191</v>
      </c>
      <c r="C24" s="74"/>
      <c r="D24" s="74"/>
      <c r="E24" s="74"/>
      <c r="F24" s="75"/>
      <c r="G24" s="76"/>
    </row>
    <row r="25" spans="1:8" ht="14.25" customHeight="1">
      <c r="A25" s="73">
        <v>17</v>
      </c>
      <c r="B25" s="356"/>
      <c r="C25" s="74"/>
      <c r="D25" s="74"/>
      <c r="E25" s="74"/>
      <c r="F25" s="75"/>
      <c r="G25" s="76"/>
    </row>
    <row r="26" spans="1:8" ht="14.25" customHeight="1">
      <c r="A26" s="73">
        <v>18</v>
      </c>
      <c r="B26" s="356"/>
      <c r="C26" s="74"/>
      <c r="D26" s="74"/>
      <c r="E26" s="74"/>
      <c r="F26" s="75"/>
      <c r="G26" s="76"/>
    </row>
    <row r="27" spans="1:8" ht="14.25" customHeight="1">
      <c r="A27" s="73">
        <v>19</v>
      </c>
      <c r="B27" s="356"/>
      <c r="C27" s="74"/>
      <c r="D27" s="74"/>
      <c r="E27" s="74"/>
      <c r="F27" s="75"/>
      <c r="G27" s="76"/>
    </row>
    <row r="28" spans="1:8" ht="14.25" customHeight="1">
      <c r="A28" s="73">
        <v>20</v>
      </c>
      <c r="B28" s="356"/>
      <c r="C28" s="74"/>
      <c r="D28" s="74"/>
      <c r="E28" s="74"/>
      <c r="F28" s="75"/>
      <c r="G28" s="76"/>
    </row>
    <row r="29" spans="1:8" ht="14.25" customHeight="1">
      <c r="A29" s="73">
        <v>21</v>
      </c>
      <c r="B29" s="77" t="s">
        <v>185</v>
      </c>
      <c r="C29" s="77" t="s">
        <v>186</v>
      </c>
      <c r="D29" s="77" t="s">
        <v>185</v>
      </c>
      <c r="E29" s="74"/>
      <c r="F29" s="75"/>
      <c r="G29" s="76"/>
    </row>
    <row r="30" spans="1:8" ht="14.25" customHeight="1">
      <c r="A30" s="87">
        <v>22</v>
      </c>
      <c r="B30" s="353" t="s">
        <v>192</v>
      </c>
      <c r="C30" s="353"/>
      <c r="D30" s="353"/>
      <c r="E30" s="88">
        <f>ROUND(SUM(E24:E29),2)</f>
        <v>0</v>
      </c>
      <c r="F30" s="89"/>
      <c r="G30" s="90"/>
    </row>
    <row r="31" spans="1:8" ht="14.25" customHeight="1">
      <c r="A31" s="73">
        <v>23</v>
      </c>
      <c r="B31" s="355" t="s">
        <v>193</v>
      </c>
      <c r="C31" s="84"/>
      <c r="D31" s="84"/>
      <c r="E31" s="74"/>
      <c r="F31" s="75"/>
      <c r="G31" s="76"/>
    </row>
    <row r="32" spans="1:8" ht="14.25" customHeight="1">
      <c r="A32" s="73">
        <v>24</v>
      </c>
      <c r="B32" s="356"/>
      <c r="C32" s="74"/>
      <c r="D32" s="74"/>
      <c r="E32" s="74"/>
      <c r="F32" s="75"/>
      <c r="G32" s="76"/>
    </row>
    <row r="33" spans="1:7" ht="14.25" customHeight="1">
      <c r="A33" s="73">
        <v>25</v>
      </c>
      <c r="B33" s="356"/>
      <c r="C33" s="74"/>
      <c r="D33" s="74"/>
      <c r="E33" s="74"/>
      <c r="F33" s="75"/>
      <c r="G33" s="76"/>
    </row>
    <row r="34" spans="1:7" ht="14.25" customHeight="1">
      <c r="A34" s="73">
        <v>26</v>
      </c>
      <c r="B34" s="356"/>
      <c r="C34" s="74"/>
      <c r="D34" s="74"/>
      <c r="E34" s="74"/>
      <c r="F34" s="75"/>
      <c r="G34" s="76"/>
    </row>
    <row r="35" spans="1:7" ht="14.25" customHeight="1">
      <c r="A35" s="73">
        <v>27</v>
      </c>
      <c r="B35" s="356"/>
      <c r="C35" s="74"/>
      <c r="D35" s="74"/>
      <c r="E35" s="74"/>
      <c r="F35" s="75"/>
      <c r="G35" s="76"/>
    </row>
    <row r="36" spans="1:7" ht="14.25" customHeight="1">
      <c r="A36" s="73">
        <v>28</v>
      </c>
      <c r="B36" s="77" t="s">
        <v>185</v>
      </c>
      <c r="C36" s="77" t="s">
        <v>186</v>
      </c>
      <c r="D36" s="77" t="s">
        <v>185</v>
      </c>
      <c r="E36" s="74"/>
      <c r="F36" s="75"/>
      <c r="G36" s="76"/>
    </row>
    <row r="37" spans="1:7" ht="14.25" customHeight="1">
      <c r="A37" s="91">
        <v>29</v>
      </c>
      <c r="B37" s="350" t="s">
        <v>194</v>
      </c>
      <c r="C37" s="351"/>
      <c r="D37" s="352"/>
      <c r="E37" s="79">
        <f>ROUND(SUM(E31:E36),2)</f>
        <v>0</v>
      </c>
      <c r="F37" s="80"/>
      <c r="G37" s="81"/>
    </row>
    <row r="38" spans="1:7">
      <c r="A38" s="78">
        <v>30</v>
      </c>
      <c r="B38" s="353" t="s">
        <v>195</v>
      </c>
      <c r="C38" s="353"/>
      <c r="D38" s="353"/>
      <c r="E38" s="85"/>
      <c r="F38" s="86"/>
      <c r="G38" s="81"/>
    </row>
  </sheetData>
  <mergeCells count="18">
    <mergeCell ref="A5:F5"/>
    <mergeCell ref="B15:D15"/>
    <mergeCell ref="B22:D22"/>
    <mergeCell ref="B23:D23"/>
    <mergeCell ref="B30:D30"/>
    <mergeCell ref="E6:E7"/>
    <mergeCell ref="F6:F7"/>
    <mergeCell ref="G6:G7"/>
    <mergeCell ref="B37:D37"/>
    <mergeCell ref="B38:D38"/>
    <mergeCell ref="A6:A8"/>
    <mergeCell ref="B6:B7"/>
    <mergeCell ref="B9:B13"/>
    <mergeCell ref="B16:B20"/>
    <mergeCell ref="B24:B28"/>
    <mergeCell ref="B31:B35"/>
    <mergeCell ref="C6:C7"/>
    <mergeCell ref="D6:D7"/>
  </mergeCells>
  <phoneticPr fontId="9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P29" sqref="P29"/>
    </sheetView>
  </sheetViews>
  <sheetFormatPr defaultColWidth="9" defaultRowHeight="15"/>
  <sheetData>
    <row r="1" spans="1:4">
      <c r="A1" t="s">
        <v>196</v>
      </c>
      <c r="B1" t="s">
        <v>197</v>
      </c>
      <c r="C1" t="s">
        <v>198</v>
      </c>
      <c r="D1" t="s">
        <v>199</v>
      </c>
    </row>
    <row r="2" spans="1:4">
      <c r="D2" t="s">
        <v>200</v>
      </c>
    </row>
    <row r="3" spans="1:4">
      <c r="A3" t="s">
        <v>201</v>
      </c>
      <c r="B3" t="s">
        <v>202</v>
      </c>
      <c r="C3" t="s">
        <v>203</v>
      </c>
      <c r="D3" t="s">
        <v>204</v>
      </c>
    </row>
    <row r="4" spans="1:4">
      <c r="A4" t="s">
        <v>205</v>
      </c>
      <c r="B4" t="s">
        <v>202</v>
      </c>
      <c r="C4" t="s">
        <v>203</v>
      </c>
      <c r="D4" t="s">
        <v>204</v>
      </c>
    </row>
    <row r="5" spans="1:4">
      <c r="A5" t="s">
        <v>206</v>
      </c>
      <c r="B5" t="s">
        <v>207</v>
      </c>
      <c r="C5" t="s">
        <v>203</v>
      </c>
      <c r="D5" t="s">
        <v>204</v>
      </c>
    </row>
  </sheetData>
  <phoneticPr fontId="9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E14" sqref="E14"/>
    </sheetView>
  </sheetViews>
  <sheetFormatPr defaultColWidth="9" defaultRowHeight="15"/>
  <sheetData>
    <row r="1" spans="1:2">
      <c r="A1" t="s">
        <v>208</v>
      </c>
      <c r="B1" t="s">
        <v>209</v>
      </c>
    </row>
    <row r="4" spans="1:2">
      <c r="A4" t="s">
        <v>130</v>
      </c>
    </row>
  </sheetData>
  <phoneticPr fontId="9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3"/>
  <sheetViews>
    <sheetView workbookViewId="0">
      <selection activeCell="G16" sqref="G16"/>
    </sheetView>
  </sheetViews>
  <sheetFormatPr defaultColWidth="9" defaultRowHeight="15"/>
  <sheetData>
    <row r="1" spans="1:9">
      <c r="A1" t="s">
        <v>210</v>
      </c>
      <c r="B1" t="s">
        <v>211</v>
      </c>
      <c r="C1" t="s">
        <v>212</v>
      </c>
      <c r="D1" t="s">
        <v>213</v>
      </c>
      <c r="E1" t="s">
        <v>213</v>
      </c>
      <c r="F1" t="s">
        <v>214</v>
      </c>
      <c r="G1" t="s">
        <v>215</v>
      </c>
      <c r="H1" t="s">
        <v>216</v>
      </c>
      <c r="I1" t="s">
        <v>216</v>
      </c>
    </row>
    <row r="2" spans="1:9">
      <c r="D2" t="s">
        <v>217</v>
      </c>
      <c r="E2" t="s">
        <v>218</v>
      </c>
      <c r="H2" t="s">
        <v>217</v>
      </c>
      <c r="I2" t="s">
        <v>218</v>
      </c>
    </row>
    <row r="3" spans="1:9">
      <c r="B3" t="s">
        <v>219</v>
      </c>
    </row>
  </sheetData>
  <phoneticPr fontId="9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J14" sqref="J14"/>
    </sheetView>
  </sheetViews>
  <sheetFormatPr defaultColWidth="9" defaultRowHeight="15"/>
  <sheetData>
    <row r="1" spans="1:3">
      <c r="A1" t="s">
        <v>220</v>
      </c>
      <c r="B1" t="s">
        <v>221</v>
      </c>
      <c r="C1" t="s">
        <v>222</v>
      </c>
    </row>
    <row r="2" spans="1:3">
      <c r="A2" t="s">
        <v>223</v>
      </c>
    </row>
    <row r="3" spans="1:3">
      <c r="A3" t="s">
        <v>224</v>
      </c>
    </row>
    <row r="4" spans="1:3">
      <c r="A4" t="s">
        <v>225</v>
      </c>
    </row>
    <row r="5" spans="1:3">
      <c r="A5" t="s">
        <v>226</v>
      </c>
    </row>
    <row r="6" spans="1:3">
      <c r="A6" t="s">
        <v>227</v>
      </c>
    </row>
    <row r="7" spans="1:3">
      <c r="A7" t="s">
        <v>228</v>
      </c>
    </row>
    <row r="8" spans="1:3">
      <c r="A8" t="s">
        <v>229</v>
      </c>
    </row>
    <row r="9" spans="1:3">
      <c r="A9" t="s">
        <v>230</v>
      </c>
    </row>
    <row r="10" spans="1:3">
      <c r="A10" t="s">
        <v>130</v>
      </c>
    </row>
  </sheetData>
  <phoneticPr fontId="9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M18" sqref="M18"/>
    </sheetView>
  </sheetViews>
  <sheetFormatPr defaultColWidth="9" defaultRowHeight="15"/>
  <sheetData>
    <row r="1" spans="1:4">
      <c r="A1" t="s">
        <v>231</v>
      </c>
      <c r="B1" t="s">
        <v>232</v>
      </c>
      <c r="C1" t="s">
        <v>199</v>
      </c>
      <c r="D1" t="s">
        <v>208</v>
      </c>
    </row>
    <row r="2" spans="1:4">
      <c r="A2">
        <v>1</v>
      </c>
    </row>
    <row r="3" spans="1:4">
      <c r="A3">
        <v>2</v>
      </c>
    </row>
    <row r="4" spans="1:4">
      <c r="A4">
        <v>3</v>
      </c>
    </row>
  </sheetData>
  <phoneticPr fontId="9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64"/>
  <sheetViews>
    <sheetView zoomScale="90" zoomScaleNormal="90" workbookViewId="0">
      <selection activeCell="E33" sqref="E33"/>
    </sheetView>
  </sheetViews>
  <sheetFormatPr defaultColWidth="8.25" defaultRowHeight="14"/>
  <cols>
    <col min="1" max="1" width="18.33203125" style="1" customWidth="1"/>
    <col min="2" max="2" width="33.75" style="1" customWidth="1"/>
    <col min="3" max="3" width="32.33203125" style="1" customWidth="1"/>
    <col min="4" max="6" width="15.6640625" style="1" customWidth="1"/>
    <col min="7" max="10" width="19.33203125" style="1" customWidth="1"/>
    <col min="11" max="11" width="15.33203125" style="1" customWidth="1"/>
    <col min="12" max="16384" width="8.25" style="1"/>
  </cols>
  <sheetData>
    <row r="1" spans="1:11" ht="16" customHeight="1"/>
    <row r="2" spans="1:11" ht="15" customHeight="1">
      <c r="A2" s="370" t="s">
        <v>233</v>
      </c>
      <c r="B2" s="373" t="s">
        <v>234</v>
      </c>
      <c r="C2" s="2" t="s">
        <v>235</v>
      </c>
      <c r="D2" s="361"/>
      <c r="E2" s="362"/>
      <c r="F2" s="363"/>
      <c r="G2" s="364"/>
      <c r="H2" s="365"/>
      <c r="I2" s="366"/>
      <c r="J2" s="54"/>
      <c r="K2" s="359"/>
    </row>
    <row r="3" spans="1:11">
      <c r="A3" s="371"/>
      <c r="B3" s="374"/>
      <c r="C3" s="3"/>
      <c r="D3" s="3"/>
      <c r="E3" s="3"/>
      <c r="F3" s="3"/>
      <c r="G3" s="4"/>
      <c r="H3" s="4"/>
      <c r="I3" s="4"/>
      <c r="J3" s="4"/>
      <c r="K3" s="360"/>
    </row>
    <row r="4" spans="1:11" ht="15.65" customHeight="1">
      <c r="A4" s="5" t="s">
        <v>236</v>
      </c>
      <c r="B4" s="6" t="s">
        <v>237</v>
      </c>
      <c r="C4" s="7">
        <v>1000</v>
      </c>
      <c r="D4" s="8"/>
      <c r="E4" s="8"/>
      <c r="F4" s="8"/>
      <c r="G4" s="8"/>
      <c r="H4" s="8"/>
      <c r="I4" s="8"/>
      <c r="J4" s="8"/>
      <c r="K4" s="55"/>
    </row>
    <row r="5" spans="1:11" ht="16.5">
      <c r="A5" s="9" t="s">
        <v>238</v>
      </c>
      <c r="B5" s="6" t="s">
        <v>239</v>
      </c>
      <c r="C5" s="7">
        <v>200</v>
      </c>
      <c r="D5" s="8"/>
      <c r="E5" s="8"/>
      <c r="F5" s="8"/>
      <c r="G5" s="8"/>
      <c r="H5" s="8"/>
      <c r="I5" s="8"/>
      <c r="J5" s="8"/>
      <c r="K5" s="55"/>
    </row>
    <row r="6" spans="1:11" ht="16.5">
      <c r="A6" s="10" t="s">
        <v>240</v>
      </c>
      <c r="B6" s="6" t="s">
        <v>241</v>
      </c>
      <c r="C6" s="7">
        <v>3000</v>
      </c>
      <c r="D6" s="8"/>
      <c r="E6" s="8"/>
      <c r="F6" s="8"/>
      <c r="G6" s="8"/>
      <c r="H6" s="8"/>
      <c r="I6" s="8"/>
      <c r="J6" s="8"/>
      <c r="K6" s="55"/>
    </row>
    <row r="7" spans="1:11" ht="16.5">
      <c r="A7" s="5" t="s">
        <v>242</v>
      </c>
      <c r="B7" s="6" t="s">
        <v>243</v>
      </c>
      <c r="C7" s="7">
        <f>C4-C5-C6</f>
        <v>-2200</v>
      </c>
      <c r="D7" s="8"/>
      <c r="E7" s="8"/>
      <c r="F7" s="8"/>
      <c r="G7" s="8"/>
      <c r="H7" s="8"/>
      <c r="I7" s="8"/>
      <c r="J7" s="8"/>
      <c r="K7" s="56"/>
    </row>
    <row r="8" spans="1:11" ht="15.65" customHeight="1">
      <c r="A8" s="9" t="s">
        <v>244</v>
      </c>
      <c r="B8" s="6" t="s">
        <v>245</v>
      </c>
      <c r="C8" s="7">
        <v>200</v>
      </c>
      <c r="D8" s="8"/>
      <c r="E8" s="8"/>
      <c r="F8" s="8"/>
      <c r="G8" s="8"/>
      <c r="H8" s="8"/>
      <c r="I8" s="8"/>
      <c r="J8" s="8"/>
      <c r="K8" s="55"/>
    </row>
    <row r="9" spans="1:11" ht="16.5">
      <c r="A9" s="10" t="s">
        <v>246</v>
      </c>
      <c r="B9" s="6" t="s">
        <v>247</v>
      </c>
      <c r="C9" s="7">
        <v>300</v>
      </c>
      <c r="D9" s="8"/>
      <c r="E9" s="8"/>
      <c r="F9" s="8"/>
      <c r="G9" s="8"/>
      <c r="H9" s="8"/>
      <c r="I9" s="8"/>
      <c r="J9" s="8"/>
      <c r="K9" s="55"/>
    </row>
    <row r="10" spans="1:11" ht="16.5">
      <c r="A10" s="9" t="s">
        <v>248</v>
      </c>
      <c r="B10" s="11" t="s">
        <v>249</v>
      </c>
      <c r="C10" s="12">
        <f>C7-C8-C9</f>
        <v>-2700</v>
      </c>
      <c r="D10" s="8"/>
      <c r="E10" s="8"/>
      <c r="F10" s="8"/>
      <c r="G10" s="8"/>
      <c r="H10" s="8"/>
      <c r="I10" s="8"/>
      <c r="J10" s="8"/>
      <c r="K10" s="55"/>
    </row>
    <row r="11" spans="1:11" ht="16.5">
      <c r="A11" s="9" t="s">
        <v>250</v>
      </c>
      <c r="B11" s="11" t="s">
        <v>251</v>
      </c>
      <c r="C11" s="12">
        <f>C5+C6+C8+C9</f>
        <v>3700</v>
      </c>
      <c r="D11" s="8"/>
      <c r="E11" s="8"/>
      <c r="F11" s="8"/>
      <c r="G11" s="8"/>
      <c r="H11" s="8"/>
      <c r="I11" s="8"/>
      <c r="J11" s="8"/>
      <c r="K11" s="55"/>
    </row>
    <row r="12" spans="1:11" ht="16.5">
      <c r="A12" s="13" t="s">
        <v>252</v>
      </c>
      <c r="B12" s="14" t="s">
        <v>253</v>
      </c>
      <c r="C12" s="15">
        <f>C10/C11</f>
        <v>-0.72972972972972971</v>
      </c>
      <c r="D12" s="16"/>
      <c r="E12" s="16"/>
      <c r="F12" s="17"/>
      <c r="G12" s="16"/>
      <c r="H12" s="16"/>
      <c r="I12" s="57"/>
      <c r="J12" s="16"/>
      <c r="K12" s="58"/>
    </row>
    <row r="14" spans="1:11">
      <c r="H14" s="18"/>
      <c r="I14" s="18"/>
    </row>
    <row r="15" spans="1:11">
      <c r="H15" s="19"/>
      <c r="I15" s="19"/>
    </row>
    <row r="16" spans="1:11">
      <c r="A16" s="20" t="s">
        <v>254</v>
      </c>
      <c r="H16" s="19"/>
      <c r="I16" s="59"/>
    </row>
    <row r="17" spans="1:9">
      <c r="H17" s="19"/>
      <c r="I17" s="19"/>
    </row>
    <row r="18" spans="1:9">
      <c r="A18" s="323" t="s">
        <v>166</v>
      </c>
      <c r="B18" s="21">
        <v>1</v>
      </c>
      <c r="C18" s="22"/>
      <c r="D18" s="23"/>
      <c r="E18" s="24"/>
      <c r="H18" s="19"/>
      <c r="I18" s="19"/>
    </row>
    <row r="19" spans="1:9">
      <c r="A19" s="324"/>
      <c r="B19" s="21">
        <v>2</v>
      </c>
      <c r="C19" s="22"/>
      <c r="D19" s="23"/>
      <c r="E19" s="24"/>
      <c r="H19" s="19"/>
      <c r="I19" s="19"/>
    </row>
    <row r="20" spans="1:9">
      <c r="A20" s="324"/>
      <c r="B20" s="21">
        <v>3</v>
      </c>
      <c r="C20" s="22"/>
      <c r="D20" s="23"/>
      <c r="E20" s="25"/>
    </row>
    <row r="21" spans="1:9">
      <c r="A21" s="324"/>
      <c r="B21" s="21">
        <v>4</v>
      </c>
      <c r="C21" s="26"/>
      <c r="D21" s="27"/>
      <c r="E21" s="25"/>
    </row>
    <row r="22" spans="1:9">
      <c r="A22" s="324"/>
      <c r="B22" s="21">
        <v>5</v>
      </c>
      <c r="C22" s="26"/>
      <c r="D22" s="27"/>
      <c r="E22" s="25"/>
    </row>
    <row r="23" spans="1:9">
      <c r="A23" s="324"/>
      <c r="B23" s="28" t="s">
        <v>146</v>
      </c>
      <c r="C23" s="26"/>
      <c r="D23" s="27"/>
      <c r="E23" s="25"/>
    </row>
    <row r="24" spans="1:9">
      <c r="A24" s="325"/>
      <c r="B24" s="29" t="s">
        <v>167</v>
      </c>
      <c r="C24" s="30"/>
      <c r="D24" s="31"/>
      <c r="E24" s="32">
        <f>SUBTOTAL(9,E18:E23)</f>
        <v>0</v>
      </c>
    </row>
    <row r="25" spans="1:9">
      <c r="A25" s="323" t="s">
        <v>168</v>
      </c>
      <c r="B25" s="21">
        <v>1</v>
      </c>
      <c r="C25" s="26"/>
      <c r="D25" s="23"/>
      <c r="E25" s="25"/>
    </row>
    <row r="26" spans="1:9">
      <c r="A26" s="324"/>
      <c r="B26" s="21">
        <v>2</v>
      </c>
      <c r="C26" s="22"/>
      <c r="D26" s="23"/>
      <c r="E26" s="24"/>
    </row>
    <row r="27" spans="1:9">
      <c r="A27" s="324"/>
      <c r="B27" s="21">
        <v>3</v>
      </c>
      <c r="C27" s="26"/>
      <c r="D27" s="27"/>
      <c r="E27" s="25"/>
    </row>
    <row r="28" spans="1:9">
      <c r="A28" s="324"/>
      <c r="B28" s="21">
        <v>4</v>
      </c>
      <c r="C28" s="26"/>
      <c r="D28" s="27"/>
      <c r="E28" s="25"/>
    </row>
    <row r="29" spans="1:9">
      <c r="A29" s="324"/>
      <c r="B29" s="21">
        <v>5</v>
      </c>
      <c r="C29" s="26"/>
      <c r="D29" s="27"/>
      <c r="E29" s="25"/>
    </row>
    <row r="30" spans="1:9">
      <c r="A30" s="324"/>
      <c r="B30" s="28" t="s">
        <v>146</v>
      </c>
      <c r="C30" s="26"/>
      <c r="D30" s="27"/>
      <c r="E30" s="25"/>
    </row>
    <row r="31" spans="1:9">
      <c r="A31" s="325"/>
      <c r="B31" s="33" t="s">
        <v>169</v>
      </c>
      <c r="C31" s="34"/>
      <c r="D31" s="31"/>
      <c r="E31" s="32">
        <f>SUBTOTAL(9,E25:E30)</f>
        <v>0</v>
      </c>
    </row>
    <row r="47" spans="1:4">
      <c r="A47" s="372" t="s">
        <v>117</v>
      </c>
      <c r="B47" s="35" t="s">
        <v>118</v>
      </c>
      <c r="C47" s="35" t="s">
        <v>119</v>
      </c>
      <c r="D47" s="36" t="s">
        <v>120</v>
      </c>
    </row>
    <row r="48" spans="1:4">
      <c r="A48" s="372"/>
      <c r="B48" s="37" t="s">
        <v>121</v>
      </c>
      <c r="C48" s="37" t="s">
        <v>122</v>
      </c>
      <c r="D48" s="38" t="s">
        <v>123</v>
      </c>
    </row>
    <row r="49" spans="1:5">
      <c r="A49" s="39" t="s">
        <v>255</v>
      </c>
      <c r="B49" s="40"/>
      <c r="C49" s="41"/>
      <c r="D49" s="40"/>
    </row>
    <row r="50" spans="1:5">
      <c r="A50" s="39" t="s">
        <v>256</v>
      </c>
      <c r="B50" s="40"/>
      <c r="C50" s="40"/>
      <c r="D50" s="40"/>
    </row>
    <row r="51" spans="1:5">
      <c r="A51" s="42" t="s">
        <v>257</v>
      </c>
      <c r="B51" s="43">
        <f>SUM(B49:B50)</f>
        <v>0</v>
      </c>
      <c r="C51" s="43"/>
      <c r="D51" s="40"/>
      <c r="E51" s="44"/>
    </row>
    <row r="52" spans="1:5">
      <c r="E52" s="44"/>
    </row>
    <row r="53" spans="1:5">
      <c r="E53" s="44"/>
    </row>
    <row r="56" spans="1:5" ht="28.5">
      <c r="A56" s="367" t="s">
        <v>84</v>
      </c>
      <c r="B56" s="367"/>
      <c r="C56" s="45" t="s">
        <v>181</v>
      </c>
      <c r="D56" s="45" t="s">
        <v>258</v>
      </c>
    </row>
    <row r="57" spans="1:5">
      <c r="A57" s="46" t="s">
        <v>259</v>
      </c>
      <c r="B57" s="47"/>
      <c r="C57" s="48"/>
      <c r="D57" s="49"/>
    </row>
    <row r="58" spans="1:5">
      <c r="A58" s="46" t="s">
        <v>260</v>
      </c>
      <c r="B58" s="47"/>
      <c r="C58" s="48"/>
      <c r="D58" s="49"/>
    </row>
    <row r="59" spans="1:5">
      <c r="A59" s="368" t="s">
        <v>261</v>
      </c>
      <c r="B59" s="368"/>
      <c r="C59" s="50"/>
      <c r="D59" s="49"/>
    </row>
    <row r="60" spans="1:5">
      <c r="A60" s="46" t="s">
        <v>259</v>
      </c>
      <c r="B60" s="47"/>
      <c r="C60" s="48"/>
      <c r="D60" s="49"/>
    </row>
    <row r="61" spans="1:5">
      <c r="A61" s="46" t="s">
        <v>262</v>
      </c>
      <c r="B61" s="47"/>
      <c r="C61" s="48"/>
      <c r="D61" s="49"/>
    </row>
    <row r="62" spans="1:5" ht="15">
      <c r="A62" s="51"/>
      <c r="B62" s="52"/>
      <c r="C62" s="53"/>
      <c r="D62" s="49"/>
    </row>
    <row r="63" spans="1:5">
      <c r="A63" s="369" t="s">
        <v>263</v>
      </c>
      <c r="B63" s="369"/>
      <c r="C63" s="50"/>
      <c r="D63" s="49"/>
    </row>
    <row r="64" spans="1:5">
      <c r="C64" s="44"/>
    </row>
  </sheetData>
  <mergeCells count="11">
    <mergeCell ref="A63:B63"/>
    <mergeCell ref="A2:A3"/>
    <mergeCell ref="A18:A24"/>
    <mergeCell ref="A25:A31"/>
    <mergeCell ref="A47:A48"/>
    <mergeCell ref="B2:B3"/>
    <mergeCell ref="K2:K3"/>
    <mergeCell ref="D2:F2"/>
    <mergeCell ref="G2:I2"/>
    <mergeCell ref="A56:B56"/>
    <mergeCell ref="A59:B59"/>
  </mergeCells>
  <phoneticPr fontId="91"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sheetData/>
  <phoneticPr fontId="9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7</vt:i4>
      </vt:variant>
    </vt:vector>
  </HeadingPairs>
  <TitlesOfParts>
    <vt:vector size="30" baseType="lpstr">
      <vt:lpstr>数据表</vt:lpstr>
      <vt:lpstr>集团背景情况</vt:lpstr>
      <vt:lpstr>公司经营背景资料</vt:lpstr>
      <vt:lpstr>主要产品</vt:lpstr>
      <vt:lpstr>行业情况</vt:lpstr>
      <vt:lpstr>被测关联交易</vt:lpstr>
      <vt:lpstr>资料清单</vt:lpstr>
      <vt:lpstr>1 组织结构及管理架构</vt:lpstr>
      <vt:lpstr>2 关联公司信息</vt:lpstr>
      <vt:lpstr>关联方个人信息</vt:lpstr>
      <vt:lpstr>关联关系变化情况</vt:lpstr>
      <vt:lpstr>3 分部财务数据</vt:lpstr>
      <vt:lpstr>关联交易汇总表</vt:lpstr>
      <vt:lpstr>4 供应商清单</vt:lpstr>
      <vt:lpstr>5 客户清单</vt:lpstr>
      <vt:lpstr>6 劳务交易表</vt:lpstr>
      <vt:lpstr>劳务成本归集</vt:lpstr>
      <vt:lpstr>资金融通</vt:lpstr>
      <vt:lpstr>公司间资金融通交易总结</vt:lpstr>
      <vt:lpstr>有形资产信息</vt:lpstr>
      <vt:lpstr>功能风险汇总表</vt:lpstr>
      <vt:lpstr>PL</vt:lpstr>
      <vt:lpstr>PL含特殊因素调整</vt:lpstr>
      <vt:lpstr>'1 组织结构及管理架构'!Print_Area</vt:lpstr>
      <vt:lpstr>'2 关联公司信息'!Print_Area</vt:lpstr>
      <vt:lpstr>'3 分部财务数据'!Print_Area</vt:lpstr>
      <vt:lpstr>'4 供应商清单'!Print_Area</vt:lpstr>
      <vt:lpstr>'5 客户清单'!Print_Area</vt:lpstr>
      <vt:lpstr>资料清单!Print_Area</vt:lpstr>
      <vt:lpstr>资料清单!Print_Titles</vt:lpstr>
    </vt:vector>
  </TitlesOfParts>
  <Company>Lenovo (Beijing) Limited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LD</cp:lastModifiedBy>
  <cp:lastPrinted>2017-02-14T09:03:00Z</cp:lastPrinted>
  <dcterms:created xsi:type="dcterms:W3CDTF">2007-01-15T05:25:00Z</dcterms:created>
  <dcterms:modified xsi:type="dcterms:W3CDTF">2026-01-21T11:00:15Z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663C052AE83B4D4990C899020A981C3B_13</vt:lpwstr>
  </property>
</Properties>
</file>