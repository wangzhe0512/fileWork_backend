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D:\其他事务\TPD系统测试\250618\"/>
    </mc:Choice>
  </mc:AlternateContent>
  <xr:revisionPtr revIDLastSave="0" documentId="13_ncr:1_{0794FAAF-DAB2-4D30-A5E1-DD89BC453A7F}" xr6:coauthVersionLast="47" xr6:coauthVersionMax="47" xr10:uidLastSave="{00000000-0000-0000-0000-000000000000}"/>
  <bookViews>
    <workbookView xWindow="-120" yWindow="-120" windowWidth="38640" windowHeight="21240" tabRatio="823" xr2:uid="{00000000-000D-0000-FFFF-FFFF00000000}"/>
  </bookViews>
  <sheets>
    <sheet name="数据表" sheetId="21" r:id="rId1"/>
    <sheet name="集团背景情况" sheetId="23" r:id="rId2"/>
    <sheet name="公司经营背景资料" sheetId="24" r:id="rId3"/>
    <sheet name="行业情况" sheetId="27" r:id="rId4"/>
    <sheet name="被测关联交易" sheetId="25" r:id="rId5"/>
    <sheet name="资料清单" sheetId="18" r:id="rId6"/>
    <sheet name="1 组织结构及管理架构" sheetId="16" r:id="rId7"/>
    <sheet name="2 关联公司信息" sheetId="7" r:id="rId8"/>
    <sheet name="关联方个人信息" sheetId="28" r:id="rId9"/>
    <sheet name="关联关系变化情况" sheetId="29" r:id="rId10"/>
    <sheet name="3 分部财务数据" sheetId="8" r:id="rId11"/>
    <sheet name="关联交易汇总表" sheetId="30" r:id="rId12"/>
    <sheet name="4 供应商清单" sheetId="12" r:id="rId13"/>
    <sheet name="5 客户清单" sheetId="13" r:id="rId14"/>
    <sheet name="6 劳务交易表" sheetId="20" r:id="rId15"/>
    <sheet name="劳务成本归集" sheetId="31" r:id="rId16"/>
    <sheet name="资金融通" sheetId="32" r:id="rId17"/>
    <sheet name="公司间资金融通交易总结" sheetId="36" r:id="rId18"/>
    <sheet name="有形资产信息" sheetId="33" r:id="rId19"/>
    <sheet name="功能风险汇总表" sheetId="34" r:id="rId20"/>
    <sheet name="PL" sheetId="19" r:id="rId21"/>
    <sheet name="PL含特殊因素调整" sheetId="35"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A" localSheetId="20">#REF!</definedName>
    <definedName name="\A">#REF!</definedName>
    <definedName name="_">'[1]046 Fixed Ass. mov.'!#REF!</definedName>
    <definedName name="__PC1">'[2]Physical Count'!$A$1:$B$65536</definedName>
    <definedName name="_CRA" localSheetId="5">[3]U40!#REF!</definedName>
    <definedName name="_CRA">[3]U40!#REF!</definedName>
    <definedName name="_DAT5">[4]SFG_ND!#REF!</definedName>
    <definedName name="_DAT7">[4]SFG_ND!#REF!</definedName>
    <definedName name="_DAT8">[4]SFG_ND!#REF!</definedName>
    <definedName name="_ftn1" localSheetId="10">'3 分部财务数据'!#REF!</definedName>
    <definedName name="_ftn2" localSheetId="3">行业情况!$B$9</definedName>
    <definedName name="_ftn3" localSheetId="3">行业情况!$B$10</definedName>
    <definedName name="_ftnref1" localSheetId="10">'3 分部财务数据'!#REF!</definedName>
    <definedName name="_ftnref2" localSheetId="3">行业情况!$B$2</definedName>
    <definedName name="_ftnref3" localSheetId="3">行业情况!$B$3</definedName>
    <definedName name="_Order1" hidden="1">255</definedName>
    <definedName name="_Order2" hidden="1">255</definedName>
    <definedName name="_Table1_In1" localSheetId="20" hidden="1">#REF!</definedName>
    <definedName name="_Table1_In1" hidden="1">#REF!</definedName>
    <definedName name="_Table1_Out" localSheetId="20" hidden="1">#REF!</definedName>
    <definedName name="_Table1_Out" hidden="1">#REF!</definedName>
    <definedName name="_Toc106357774" localSheetId="3">行业情况!$B$6</definedName>
    <definedName name="_W_DMOP_Billing_report_Jul_02">#REF!</definedName>
    <definedName name="A" localSheetId="20">#REF!</definedName>
    <definedName name="A">#REF!</definedName>
    <definedName name="aa">#REF!</definedName>
    <definedName name="aaa">#REF!</definedName>
    <definedName name="ACCOUNT">[5]Bank!$C$2:$C$99</definedName>
    <definedName name="AccountDesc">[6]Accounts!$A$1:$A$386</definedName>
    <definedName name="APTTL">[7]BKD!$N$573</definedName>
    <definedName name="AR" localSheetId="20">#REF!</definedName>
    <definedName name="AR">#REF!</definedName>
    <definedName name="AR_Summary_SGD_Currency" localSheetId="20">#REF!</definedName>
    <definedName name="AR_Summary_SGD_Currency">#REF!</definedName>
    <definedName name="AR_Summary_Source_Currency" localSheetId="20">#REF!</definedName>
    <definedName name="AR_Summary_Source_Currency">#REF!</definedName>
    <definedName name="ARUTL" localSheetId="20">#REF!</definedName>
    <definedName name="ARUTL">#REF!</definedName>
    <definedName name="as">[8]Input!$D$4</definedName>
    <definedName name="AS2DocOpenMode" hidden="1">"AS2DocumentEdit"</definedName>
    <definedName name="Automobiles">#REF!</definedName>
    <definedName name="b" localSheetId="20">#REF!</definedName>
    <definedName name="b">#REF!</definedName>
    <definedName name="brec0396">[9]jun94!#REF!</definedName>
    <definedName name="building">#REF!</definedName>
    <definedName name="Category" localSheetId="20">#REF!</definedName>
    <definedName name="Category">#REF!</definedName>
    <definedName name="CC">#REF!</definedName>
    <definedName name="CLIENT_NAME">#REF!</definedName>
    <definedName name="CNAME">[5]Bank!$B$2:$B$99</definedName>
    <definedName name="COA">#REF!</definedName>
    <definedName name="cost1">[2]Cost!$A$1:$P$65536</definedName>
    <definedName name="Cr">#REF!</definedName>
    <definedName name="Custom1">'[10]Drill-Down Lists'!$H$2:$H$3</definedName>
    <definedName name="Custom2">'[10]Drill-Down Lists'!$I$2:$I$544</definedName>
    <definedName name="Custom3">'[10]Drill-Down Lists'!$J$2:$J$3</definedName>
    <definedName name="Custom4">'[10]Drill-Down Lists'!$K$2:$K$3</definedName>
    <definedName name="Customer_Master_File" localSheetId="20">#REF!</definedName>
    <definedName name="Customer_Master_File">#REF!</definedName>
    <definedName name="CYCLES">[11]JobDetails!$A$56:$A$90</definedName>
    <definedName name="DA_1990314306000000334" hidden="1">#REF!</definedName>
    <definedName name="DA_2302403568800003470" hidden="1">#REF!</definedName>
    <definedName name="DA_3187383536500002726" hidden="1">#REF!</definedName>
    <definedName name="DA_3187383536500002757" hidden="1">#REF!</definedName>
    <definedName name="DA_3187383536500002822" hidden="1">#REF!</definedName>
    <definedName name="DA_3187383536500002829" hidden="1">#REF!</definedName>
    <definedName name="DA_3572313671800000379" hidden="1">#REF!</definedName>
    <definedName name="DA_3584495742900000988" hidden="1">#REF!</definedName>
    <definedName name="DA_3584495742900000994" hidden="1">#REF!</definedName>
    <definedName name="DA_3584495742900000998" hidden="1">#REF!</definedName>
    <definedName name="DA_3584495742900001004" hidden="1">#REF!</definedName>
    <definedName name="DA_3586127595300001053" hidden="1">#REF!</definedName>
    <definedName name="DA_3586127595300001062" hidden="1">#REF!</definedName>
    <definedName name="DA_3586127595300001068" hidden="1">#REF!</definedName>
    <definedName name="DA_3586127595300001072" hidden="1">#REF!</definedName>
    <definedName name="DA_3586127595300001077" hidden="1">#REF!</definedName>
    <definedName name="DA_3586127595300001082" hidden="1">#REF!</definedName>
    <definedName name="DA_3586127595300001243" hidden="1">#REF!</definedName>
    <definedName name="DA_3586127595300001257" hidden="1">#REF!</definedName>
    <definedName name="DA_3586127595300001262" hidden="1">#REF!</definedName>
    <definedName name="DA_3586127595300001266" hidden="1">#REF!</definedName>
    <definedName name="DA_3586127595300001726" hidden="1">#REF!</definedName>
    <definedName name="DA_3586127595300001886" hidden="1">#REF!</definedName>
    <definedName name="DA_3586127595300001896" hidden="1">#REF!</definedName>
    <definedName name="DA_3586127595300001901" hidden="1">#REF!</definedName>
    <definedName name="DA_3586127595300001905" hidden="1">#REF!</definedName>
    <definedName name="DA_3705332064700000098" hidden="1">#REF!</definedName>
    <definedName name="DA_3705332064700000102" hidden="1">#REF!</definedName>
    <definedName name="DA_3705332064700000108" hidden="1">#REF!</definedName>
    <definedName name="DA_3705332064700000110" hidden="1">#REF!</definedName>
    <definedName name="_xlnm.Database">#REF!</definedName>
    <definedName name="dddddddddddddd" hidden="1">{#N/A,#N/A,FALSE,"Aging Summary";#N/A,#N/A,FALSE,"Ratio Analysis";#N/A,#N/A,FALSE,"Test 120 Day Accts";#N/A,#N/A,FALSE,"Tickmarks"}</definedName>
    <definedName name="dfd">#REF!</definedName>
    <definedName name="Doubt_Debt" localSheetId="20">#REF!</definedName>
    <definedName name="Doubt_Debt">#REF!</definedName>
    <definedName name="Dr">#REF!</definedName>
    <definedName name="e">#REF!</definedName>
    <definedName name="e_data">OFFSET(#REF!,1,0,COUNTA(#REF!)-1,2)</definedName>
    <definedName name="e_empindex">#REF!</definedName>
    <definedName name="ee">#REF!</definedName>
    <definedName name="eeeefffff">'[1]046 Fixed Ass. mov.'!#REF!</definedName>
    <definedName name="Electrical">#REF!</definedName>
    <definedName name="ENAME">[5]Bank!$A$2:$A$99</definedName>
    <definedName name="entities">[6]Entities!$B$2:$B$909</definedName>
    <definedName name="Entity">'[12]Dropdown List'!$A$2:$A$22</definedName>
    <definedName name="Equipment">#REF!</definedName>
    <definedName name="excel">#REF!</definedName>
    <definedName name="Exchange_Rate" localSheetId="20">#REF!</definedName>
    <definedName name="Exchange_Rate">#REF!</definedName>
    <definedName name="fdcperiod">[8]Input!$A$8</definedName>
    <definedName name="ff">#REF!</definedName>
    <definedName name="fff" hidden="1">{#N/A,#N/A,FALSE,"Aging Summary";#N/A,#N/A,FALSE,"Ratio Analysis";#N/A,#N/A,FALSE,"Test 120 Day Accts";#N/A,#N/A,FALSE,"Tickmarks"}</definedName>
    <definedName name="furniture">#REF!</definedName>
    <definedName name="HEADER">#REF!</definedName>
    <definedName name="Hyperlink186">#REF!</definedName>
    <definedName name="Hyperlink194">#REF!</definedName>
    <definedName name="Hyperlink195">#REF!</definedName>
    <definedName name="ICP">'[10]Drill-Down Lists'!$G$2:$G$3</definedName>
    <definedName name="icp_entities">[6]Entities!$C$1:$C$753</definedName>
    <definedName name="INDEXES">[11]JobDetails!$A$56:$C$90</definedName>
    <definedName name="InputPL">[8]Input!$G$10</definedName>
    <definedName name="intangibleassets">#REF!</definedName>
    <definedName name="intass">#REF!</definedName>
    <definedName name="io">'[1]046 Fixed Ass. mov.'!#REF!</definedName>
    <definedName name="ITT_Rate">[13]Property!$F$18:$H$26</definedName>
    <definedName name="Macro1">[14]Macro1!$A$1</definedName>
    <definedName name="Macro10" localSheetId="20">#REF!</definedName>
    <definedName name="Macro10">#REF!</definedName>
    <definedName name="Macro11" localSheetId="20">#REF!</definedName>
    <definedName name="Macro11">#REF!</definedName>
    <definedName name="Macro12" localSheetId="20">#REF!</definedName>
    <definedName name="Macro12">#REF!</definedName>
    <definedName name="Macro2">[14]Macro1!$A$8</definedName>
    <definedName name="Macro3">[14]Macro1!$A$15</definedName>
    <definedName name="Macro4">[14]Macro1!$A$22</definedName>
    <definedName name="Macro5">[14]Macro1!$A$29</definedName>
    <definedName name="Macro6" localSheetId="20">#REF!</definedName>
    <definedName name="Macro6">#REF!</definedName>
    <definedName name="Macro7" localSheetId="20">#REF!</definedName>
    <definedName name="Macro7">#REF!</definedName>
    <definedName name="Macro8" localSheetId="20">#REF!</definedName>
    <definedName name="Macro8">#REF!</definedName>
    <definedName name="Macro9" localSheetId="20">#REF!</definedName>
    <definedName name="Macro9">#REF!</definedName>
    <definedName name="Month">[8]Input!$D$5</definedName>
    <definedName name="N8aAccrual06" localSheetId="20">#REF!</definedName>
    <definedName name="N8aAccrual06">#REF!</definedName>
    <definedName name="Note3" localSheetId="20">#REF!</definedName>
    <definedName name="Note3">#REF!</definedName>
    <definedName name="note3c" localSheetId="20">#REF!</definedName>
    <definedName name="note3c">#REF!</definedName>
    <definedName name="o90077545fjkl">'[1]046 Fixed Ass. mov.'!#REF!</definedName>
    <definedName name="officeequipm">#REF!</definedName>
    <definedName name="OLE_LINK5" localSheetId="5">资料清单!#REF!</definedName>
    <definedName name="OUTPUT">#REF!</definedName>
    <definedName name="overview">#REF!</definedName>
    <definedName name="p_list">OFFSET(#REF!,1,0,COUNTA(#REF!)-1,2)</definedName>
    <definedName name="PC">'[15]Physical Count'!$A$1:$B$65536</definedName>
    <definedName name="Pd">[6]Pd!$A$1:$A$24</definedName>
    <definedName name="Period">[16]MasterData!$A$2:$A$368</definedName>
    <definedName name="PERIOD_END">#REF!</definedName>
    <definedName name="PM">[17]Masterdata!$A$1:$A$12</definedName>
    <definedName name="poiudncd">'[1]046 Fixed Ass. mov.'!#REF!</definedName>
    <definedName name="Pos._121.100">'[1]046 Fixed Ass. mov.'!#REF!</definedName>
    <definedName name="Pos._121.200">'[1]046 Fixed Ass. mov.'!#REF!</definedName>
    <definedName name="Pos._121.300">'[1]046 Fixed Ass. mov.'!#REF!</definedName>
    <definedName name="Pos._122.110">'[1]046 Fixed Ass. mov.'!#REF!</definedName>
    <definedName name="Pos._122.120">'[1]046 Fixed Ass. mov.'!#REF!</definedName>
    <definedName name="Pos._122.130">'[1]046 Fixed Ass. mov.'!#REF!</definedName>
    <definedName name="Pos._122.140">'[1]046 Fixed Ass. mov.'!#REF!</definedName>
    <definedName name="Pos._122.200">'[1]046 Fixed Ass. mov.'!#REF!</definedName>
    <definedName name="Pos._122.310">'[1]046 Fixed Ass. mov.'!#REF!</definedName>
    <definedName name="Pos._122.320">'[1]046 Fixed Ass. mov.'!#REF!</definedName>
    <definedName name="Pos._122.400">'[1]046 Fixed Ass. mov.'!#REF!</definedName>
    <definedName name="Pos._122.510">'[1]046 Fixed Ass. mov.'!#REF!</definedName>
    <definedName name="Pos._122.520">'[1]046 Fixed Ass. mov.'!#REF!</definedName>
    <definedName name="Pos._123.100">'[1]046 Fixed Ass. mov.'!#REF!</definedName>
    <definedName name="Pos._123.200">'[1]046 Fixed Ass. mov.'!#REF!</definedName>
    <definedName name="Pos._123.310">'[1]046 Fixed Ass. mov.'!#REF!</definedName>
    <definedName name="Pos._123.320">'[1]046 Fixed Ass. mov.'!#REF!</definedName>
    <definedName name="Pos._123.410">'[1]046 Fixed Ass. mov.'!#REF!</definedName>
    <definedName name="Pos._123.420">'[1]046 Fixed Ass. mov.'!#REF!</definedName>
    <definedName name="Pos._123.510">'[1]046 Fixed Ass. mov.'!#REF!</definedName>
    <definedName name="Pos._123.520">'[1]046 Fixed Ass. mov.'!#REF!</definedName>
    <definedName name="Pos._123.600">'[1]046 Fixed Ass. mov.'!#REF!</definedName>
    <definedName name="ppe">#REF!</definedName>
    <definedName name="PRC">[18]SUAD!$C$1:$O$45</definedName>
    <definedName name="PREPARED_BY">#REF!</definedName>
    <definedName name="PREPARED_DATE">#REF!</definedName>
    <definedName name="_xlnm.Print_Area" localSheetId="6">'1 组织结构及管理架构'!#REF!</definedName>
    <definedName name="_xlnm.Print_Area" localSheetId="7">'2 关联公司信息'!$A$1:$J$1</definedName>
    <definedName name="_xlnm.Print_Area" localSheetId="10">'3 分部财务数据'!$A$1:$K$2</definedName>
    <definedName name="_xlnm.Print_Area" localSheetId="12">'4 供应商清单'!$A$1:$J$1</definedName>
    <definedName name="_xlnm.Print_Area" localSheetId="13">'5 客户清单'!$A$1:$J$40</definedName>
    <definedName name="_xlnm.Print_Area" localSheetId="5">资料清单!$A$1:$B$21</definedName>
    <definedName name="_xlnm.Print_Area">#REF!</definedName>
    <definedName name="Print_Area_MI" localSheetId="20">#REF!</definedName>
    <definedName name="Print_Area_MI">#REF!</definedName>
    <definedName name="_xlnm.Print_Titles" localSheetId="5">资料清单!$9:$9</definedName>
    <definedName name="Print_Titles_MI" localSheetId="20">#REF!</definedName>
    <definedName name="Print_Titles_MI">#REF!</definedName>
    <definedName name="Recover">[19]Macro1!$A$99</definedName>
    <definedName name="Rindx">MATCH("Grand Total",[20]AR3rd!1:1,0)</definedName>
    <definedName name="Scenario">'[12]Dropdown List'!$F$2:$F$14</definedName>
    <definedName name="Selection1">#REF!</definedName>
    <definedName name="Social_Benefit">[13]Property!$C$4:$O$15</definedName>
    <definedName name="software">#REF!</definedName>
    <definedName name="SRM" localSheetId="20">#REF!</definedName>
    <definedName name="SRM">#REF!</definedName>
    <definedName name="table2">'[21]ex.rate 07'!$B$5:$C$34</definedName>
    <definedName name="TableName">"Dummy"</definedName>
    <definedName name="tatcol" localSheetId="20">#REF!</definedName>
    <definedName name="tatcol">#REF!</definedName>
    <definedName name="tatpl" localSheetId="20">#REF!</definedName>
    <definedName name="tatpl">#REF!</definedName>
    <definedName name="tatrow" localSheetId="20">#REF!</definedName>
    <definedName name="tatrow">#REF!</definedName>
    <definedName name="TB054ebf94_076e_4b0c_a574_08c63ef03255" hidden="1">#REF!</definedName>
    <definedName name="TB055c7a7f_970d_4dd0_a99e_9fdcc214e267" hidden="1">#REF!</definedName>
    <definedName name="TB07993ad8_5e39_4554_8471_39e70c3d24b3" hidden="1">#REF!</definedName>
    <definedName name="TB09b176ce_809c_4e34_b083_fd761f002b32" hidden="1">#REF!</definedName>
    <definedName name="TB0c0e4d50_2708_403b_ab2a_1ebc2de23568" hidden="1">#REF!</definedName>
    <definedName name="TB0d989772_5550_43b4_aa86_4b25a8375563" hidden="1">#REF!</definedName>
    <definedName name="TB122e65ad_04c0_43a8_bb99_e4f3c36b0fa2" hidden="1">#REF!</definedName>
    <definedName name="TB14eaffb3_e29c_4b47_a7ef_c65625332e86" hidden="1">#REF!</definedName>
    <definedName name="TB1b978e21_5e1c_446a_ab4c_a55b9dfa176a" hidden="1">#REF!</definedName>
    <definedName name="TB22375bc3_1761_434b_8d68_b740d9fbc833" hidden="1">#REF!</definedName>
    <definedName name="TB346926fb_6e4e_44c5_9769_e54c1f63a4ef" hidden="1">#REF!</definedName>
    <definedName name="TB347391bd_3299_49da_8a6a_63a12cd1e003" hidden="1">#REF!</definedName>
    <definedName name="TB38c26054_18ed_4f47_b856_80a7fd6fb06e" hidden="1">#REF!</definedName>
    <definedName name="TB4d67d454_3754_478d_9a9a_df6ef34651c0" hidden="1">#REF!</definedName>
    <definedName name="TB54c1ad53_3bfc_4692_9967_68456daf4b9c" hidden="1">#REF!</definedName>
    <definedName name="TB560fd9e4_b094_4aba_bbed_a5dda5350ebb" hidden="1">#REF!</definedName>
    <definedName name="TB627f4597_8c48_42c3_8b82_8ebe27c6fda2" hidden="1">#REF!</definedName>
    <definedName name="TB6d9c4745_5177_4aa9_b4b1_004262cf0a87" hidden="1">#REF!</definedName>
    <definedName name="TB711bf41c_6045_43d1_a915_0f4daa3b61e4" hidden="1">#REF!</definedName>
    <definedName name="TB7914ea31_d061_479e_907f_08d1de792271" hidden="1">#REF!</definedName>
    <definedName name="TB8615ede6_a872_489f_9cf4_b683c30ea1fe" hidden="1">#REF!</definedName>
    <definedName name="TB89293879_027d_4180_a5fb_d97495a8ca88" hidden="1">#REF!</definedName>
    <definedName name="TB8ac11e84_f9d3_4b34_a94e_378beb11d3cf" hidden="1">#REF!</definedName>
    <definedName name="TBa3a32538_b413_4217_abd8_eecbafd6ef34" hidden="1">#REF!</definedName>
    <definedName name="TBa57f1364_b8f9_4ada_baf2_c0593dc120cf" hidden="1">#REF!</definedName>
    <definedName name="TBa63fbfbf_c509_4757_aa02_021e3749610d" hidden="1">#REF!</definedName>
    <definedName name="TBa6bba863_46a3_46fd_82bf_d3df08a60d17" hidden="1">#REF!</definedName>
    <definedName name="TBa9f4a28f_da14_4422_931e_012915b1873a" hidden="1">#REF!</definedName>
    <definedName name="TBbf0154d1_cbbb_4a64_ab3b_e0a227ad10b7" hidden="1">#REF!</definedName>
    <definedName name="TBdd29fd48_64d0_4f70_b462_5db84e34460f" hidden="1">#REF!</definedName>
    <definedName name="TBdeecaec3_eedb_49d3_9ee7_7db89ae669fd" hidden="1">#REF!</definedName>
    <definedName name="TBef357745_961c_4d3c_9d21_fb1848ec3ead" hidden="1">#REF!</definedName>
    <definedName name="TBf29de241_b68d_48b6_9ee3_496dd4c07272" hidden="1">#REF!</definedName>
    <definedName name="TBfecf5cc0_23f7_48fa_bd8c_926c232eefa9" hidden="1">#REF!</definedName>
    <definedName name="TextRefCopy1">#REF!</definedName>
    <definedName name="TextRefCopy10">'[22]Sales-Customer'!#REF!</definedName>
    <definedName name="TextRefCopy100">#REF!</definedName>
    <definedName name="TextRefCopy101">#REF!</definedName>
    <definedName name="TextRefCopy108">'[23]Staff adv.'!$E$35</definedName>
    <definedName name="TextRefCopy11">#REF!</definedName>
    <definedName name="TextRefCopy12">'[22]Sales-Customer'!#REF!</definedName>
    <definedName name="TextRefCopy13">#REF!</definedName>
    <definedName name="TextRefCopy14">'[22]Sales-Customer'!#REF!</definedName>
    <definedName name="TextRefCopy15">#REF!</definedName>
    <definedName name="TextRefCopy16">#REF!</definedName>
    <definedName name="TextRefCopy162">'[22]Sales-Product'!#REF!</definedName>
    <definedName name="TextRefCopy168">'[22]Sales-Product'!#REF!</definedName>
    <definedName name="TextRefCopy17">#REF!</definedName>
    <definedName name="TextRefCopy18">[24]建信置业!#REF!</definedName>
    <definedName name="TextRefCopy19">[24]杭州华健!#REF!</definedName>
    <definedName name="TextRefCopy2">#REF!</definedName>
    <definedName name="TextRefCopy20">[24]绍兴信达!#REF!</definedName>
    <definedName name="TextRefCopy21">#REF!</definedName>
    <definedName name="TextRefCopy22">#REF!</definedName>
    <definedName name="TextRefCopy23">[22]PBC!#REF!</definedName>
    <definedName name="TextRefCopy24">#REF!</definedName>
    <definedName name="TextRefCopy25">#REF!</definedName>
    <definedName name="TextRefCopy26">#REF!</definedName>
    <definedName name="TextRefCopy264">#REF!</definedName>
    <definedName name="TextRefCopy269">#REF!</definedName>
    <definedName name="TextRefCopy27">#REF!</definedName>
    <definedName name="TextRefCopy271">#REF!</definedName>
    <definedName name="TextRefCopy272">#REF!</definedName>
    <definedName name="TextRefCopy278">'[22]Sales-Product'!#REF!</definedName>
    <definedName name="TextRefCopy28">#REF!</definedName>
    <definedName name="TextRefCopy281">#REF!</definedName>
    <definedName name="TextRefCopy284">#REF!</definedName>
    <definedName name="TextRefCopy286">#REF!</definedName>
    <definedName name="TextRefCopy288">#REF!</definedName>
    <definedName name="TextRefCopy29">#REF!</definedName>
    <definedName name="TextRefCopy3">#REF!</definedName>
    <definedName name="TextRefCopy30">#REF!</definedName>
    <definedName name="TextRefCopy31">#REF!</definedName>
    <definedName name="TextRefCopy317">'[22]Sales-Customer'!#REF!</definedName>
    <definedName name="TextRefCopy319">'[22]Sales-Customer'!#REF!</definedName>
    <definedName name="TextRefCopy32">#REF!</definedName>
    <definedName name="TextRefCopy321">'[22]Sales-Customer'!#REF!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395">#REF!</definedName>
    <definedName name="TextRefCopy397">#REF!</definedName>
    <definedName name="TextRefCopy398">#REF!</definedName>
    <definedName name="TextRefCopy399">#REF!</definedName>
    <definedName name="TextRefCopy4">#REF!</definedName>
    <definedName name="TextRefCopy40">#REF!</definedName>
    <definedName name="TextRefCopy400">#REF!</definedName>
    <definedName name="TextRefCopy401">#REF!</definedName>
    <definedName name="TextRefCopy402">#REF!</definedName>
    <definedName name="TextRefCopy406">#REF!</definedName>
    <definedName name="TextRefCopy407">#REF!</definedName>
    <definedName name="TextRefCopy408">#REF!</definedName>
    <definedName name="TextRefCopy409">#REF!</definedName>
    <definedName name="TextRefCopy41">#REF!</definedName>
    <definedName name="TextRefCopy411">#REF!</definedName>
    <definedName name="TextRefCopy413">#REF!</definedName>
    <definedName name="TextRefCopy414">#REF!</definedName>
    <definedName name="TextRefCopy42">#REF!</definedName>
    <definedName name="TextRefCopy421">#REF!</definedName>
    <definedName name="TextRefCopy424">#REF!</definedName>
    <definedName name="TextRefCopy426">#REF!</definedName>
    <definedName name="TextRefCopy427">#REF!</definedName>
    <definedName name="TextRefCopy43">#REF!</definedName>
    <definedName name="TextRefCopy430">#REF!</definedName>
    <definedName name="TextRefCopy435">#REF!</definedName>
    <definedName name="TextRefCopy437">#REF!</definedName>
    <definedName name="TextRefCopy439">#REF!</definedName>
    <definedName name="TextRefCopy44">#REF!</definedName>
    <definedName name="TextRefCopy441">#REF!</definedName>
    <definedName name="TextRefCopy442">#REF!</definedName>
    <definedName name="TextRefCopy443">#REF!</definedName>
    <definedName name="TextRefCopy445">#REF!</definedName>
    <definedName name="TextRefCopy446">#REF!</definedName>
    <definedName name="TextRefCopy447">#REF!</definedName>
    <definedName name="TextRefCopy448">#REF!</definedName>
    <definedName name="TextRefCopy45">#REF!</definedName>
    <definedName name="TextRefCopy450">#REF!</definedName>
    <definedName name="TextRefCopy452">#REF!</definedName>
    <definedName name="TextRefCopy454">#REF!</definedName>
    <definedName name="TextRefCopy459">#REF!</definedName>
    <definedName name="TextRefCopy46">#REF!</definedName>
    <definedName name="TextRefCopy463">#REF!</definedName>
    <definedName name="TextRefCopy464">#REF!</definedName>
    <definedName name="TextRefCopy465">#REF!</definedName>
    <definedName name="TextRefCopy467">#REF!</definedName>
    <definedName name="TextRefCopy469">#REF!</definedName>
    <definedName name="TextRefCopy47">'[25]Tax Movement'!#REF!</definedName>
    <definedName name="TextRefCopy470">#REF!</definedName>
    <definedName name="TextRefCopy471">#REF!</definedName>
    <definedName name="TextRefCopy472">#REF!</definedName>
    <definedName name="TextRefCopy474">#REF!</definedName>
    <definedName name="TextRefCopy475">#REF!</definedName>
    <definedName name="TextRefCopy476">#REF!</definedName>
    <definedName name="TextRefCopy48">#REF!</definedName>
    <definedName name="TextRefCopy481">#REF!</definedName>
    <definedName name="TextRefCopy487">#REF!</definedName>
    <definedName name="TextRefCopy489">#REF!</definedName>
    <definedName name="TextRefCopy49">#REF!</definedName>
    <definedName name="TextRefCopy492">#REF!</definedName>
    <definedName name="TextRefCopy495">#REF!</definedName>
    <definedName name="TextRefCopy497">#REF!</definedName>
    <definedName name="TextRefCopy5">#REF!</definedName>
    <definedName name="TextRefCopy50">#REF!</definedName>
    <definedName name="TextRefCopy501">#REF!</definedName>
    <definedName name="TextRefCopy502">#REF!</definedName>
    <definedName name="TextRefCopy505">#REF!</definedName>
    <definedName name="TextRefCopy506">#REF!</definedName>
    <definedName name="TextRefCopy507">#REF!</definedName>
    <definedName name="TextRefCopy509">#REF!</definedName>
    <definedName name="TextRefCopy51">#REF!</definedName>
    <definedName name="TextRefCopy510">#REF!</definedName>
    <definedName name="TextRefCopy511">#REF!</definedName>
    <definedName name="TextRefCopy512">#REF!</definedName>
    <definedName name="TextRefCopy514">#REF!</definedName>
    <definedName name="TextRefCopy516">#REF!</definedName>
    <definedName name="TextRefCopy517">#REF!</definedName>
    <definedName name="TextRefCopy52">#REF!</definedName>
    <definedName name="TextRefCopy522">#REF!</definedName>
    <definedName name="TextRefCopy526">#REF!</definedName>
    <definedName name="TextRefCopy527">#REF!</definedName>
    <definedName name="TextRefCopy528">#REF!</definedName>
    <definedName name="TextRefCopy529">#REF!</definedName>
    <definedName name="TextRefCopy53">#REF!</definedName>
    <definedName name="TextRefCopy531">#REF!</definedName>
    <definedName name="TextRefCopy533">#REF!</definedName>
    <definedName name="TextRefCopy534">#REF!</definedName>
    <definedName name="TextRefCopy535">#REF!</definedName>
    <definedName name="TextRefCopy536">#REF!</definedName>
    <definedName name="TextRefCopy537">#REF!</definedName>
    <definedName name="TextRefCopy538">#REF!</definedName>
    <definedName name="TextRefCopy539">#REF!</definedName>
    <definedName name="TextRefCopy54">#REF!</definedName>
    <definedName name="TextRefCopy55">#REF!</definedName>
    <definedName name="TextRefCopy56">#REF!</definedName>
    <definedName name="TextRefCopy57">'[26]2-1 Confirmation Control'!$I$30</definedName>
    <definedName name="TextRefCopy578">#REF!</definedName>
    <definedName name="TextRefCopy58">#REF!</definedName>
    <definedName name="TextRefCopy59">'[22]Sales-Product'!#REF!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45">#REF!</definedName>
    <definedName name="TextRefCopy646">#REF!</definedName>
    <definedName name="TextRefCopy65">#REF!</definedName>
    <definedName name="TextRefCopy650">#REF!</definedName>
    <definedName name="TextRefCopy652">#REF!</definedName>
    <definedName name="TextRefCopy654">#REF!</definedName>
    <definedName name="TextRefCopy655">#REF!</definedName>
    <definedName name="TextRefCopy658">#REF!</definedName>
    <definedName name="TextRefCopy66">#REF!</definedName>
    <definedName name="TextRefCopy661">#REF!</definedName>
    <definedName name="TextRefCopy662">#REF!</definedName>
    <definedName name="TextRefCopy664">#REF!</definedName>
    <definedName name="TextRefCopy665">#REF!</definedName>
    <definedName name="TextRefCopy666">#REF!</definedName>
    <definedName name="TextRefCopy67">#REF!</definedName>
    <definedName name="TextRefCopy671">#REF!</definedName>
    <definedName name="TextRefCopy672">#REF!</definedName>
    <definedName name="TextRefCopy679">#REF!</definedName>
    <definedName name="TextRefCopy680">#REF!</definedName>
    <definedName name="TextRefCopy694">#REF!</definedName>
    <definedName name="TextRefCopy696">#REF!</definedName>
    <definedName name="TextRefCopy697">#REF!</definedName>
    <definedName name="TextRefCopy698">#REF!</definedName>
    <definedName name="TextRefCopy699">#REF!</definedName>
    <definedName name="TextRefCopy7">#REF!</definedName>
    <definedName name="TextRefCopy70">'[26]2-RPT Transactions and Balances'!$F$49</definedName>
    <definedName name="TextRefCopy700">#REF!</definedName>
    <definedName name="TextRefCopy701">#REF!</definedName>
    <definedName name="TextRefCopy706">#REF!</definedName>
    <definedName name="TextRefCopy709">#REF!</definedName>
    <definedName name="TextRefCopy71">'[26]2-1 Confirmation Control'!$R$46</definedName>
    <definedName name="TextRefCopy710">#REF!</definedName>
    <definedName name="TextRefCopy711">#REF!</definedName>
    <definedName name="TextRefCopy712">#REF!</definedName>
    <definedName name="TextRefCopy714">#REF!</definedName>
    <definedName name="TextRefCopy716">#REF!</definedName>
    <definedName name="TextRefCopy718">#REF!</definedName>
    <definedName name="TextRefCopy724">#REF!</definedName>
    <definedName name="TextRefCopy725">#REF!</definedName>
    <definedName name="TextRefCopy728">#REF!</definedName>
    <definedName name="TextRefCopy729">#REF!</definedName>
    <definedName name="TextRefCopy730">#REF!</definedName>
    <definedName name="TextRefCopy731">#REF!</definedName>
    <definedName name="TextRefCopy732">#REF!</definedName>
    <definedName name="TextRefCopy733">#REF!</definedName>
    <definedName name="TextRefCopy734">#REF!</definedName>
    <definedName name="TextRefCopy736">#REF!</definedName>
    <definedName name="TextRefCopy737">#REF!</definedName>
    <definedName name="TextRefCopy739">#REF!</definedName>
    <definedName name="TextRefCopy74">'[26]2-RPT Transactions and Balances'!$I$49</definedName>
    <definedName name="TextRefCopy741">#REF!</definedName>
    <definedName name="TextRefCopy743">#REF!</definedName>
    <definedName name="TextRefCopy744">#REF!</definedName>
    <definedName name="TextRefCopy75">'[26]2-1 Confirmation Control'!$S$46</definedName>
    <definedName name="TextRefCopy78">'[26]2-1 Confirmation Control'!$T$46</definedName>
    <definedName name="TextRefCopy79">'[26]2-RPT Transactions and Balances'!$L$49</definedName>
    <definedName name="TextRefCopy8">#REF!</definedName>
    <definedName name="TextRefCopy80">'[23]Staff adv.'!$E$29</definedName>
    <definedName name="TextRefCopy82">'[26]2-1 Confirmation Control'!$U$46</definedName>
    <definedName name="TextRefCopy83">'[26]2-RPT Transactions and Balances'!$N$49</definedName>
    <definedName name="TextRefCopy86">'[26]2-RPT Transactions and Balances'!$P$49</definedName>
    <definedName name="TextRefCopy87">'[26]2-1 Confirmation Control'!$V$46</definedName>
    <definedName name="TextRefCopy9">#REF!</definedName>
    <definedName name="TextRefCopy90">'[26]2-1 Confirmation Control'!$W$46</definedName>
    <definedName name="TextRefCopy91">'[26]2-RPT Transactions and Balances'!$R$49</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745</definedName>
    <definedName name="Toolkit">#REF!</definedName>
    <definedName name="transaction">#REF!</definedName>
    <definedName name="u">OFFSET(#REF!,1,0,COUNTA(#REF!)-1,2)</definedName>
    <definedName name="UFPrn20001129111535">#REF!</definedName>
    <definedName name="UFPrn20011121144933">#REF!</definedName>
    <definedName name="UFPrn20020614084457">#REF!</definedName>
    <definedName name="UnitName">[8]Input!$D$4</definedName>
    <definedName name="UnitNo">[8]Input!$D$3</definedName>
    <definedName name="Value">'[12]Dropdown List'!$C$2:$C$3</definedName>
    <definedName name="View">'[12]Dropdown List'!$B$2:$B$4</definedName>
    <definedName name="VOS_AR" localSheetId="20">#REF!</definedName>
    <definedName name="VOS_AR">#REF!</definedName>
    <definedName name="VOS_AR_SGD" localSheetId="20">#REF!</definedName>
    <definedName name="VOS_AR_SGD">#REF!</definedName>
    <definedName name="VTM_AR_RM" localSheetId="20">#REF!</definedName>
    <definedName name="VTM_AR_RM">#REF!</definedName>
    <definedName name="VTM_AR_Source" localSheetId="20">#REF!</definedName>
    <definedName name="VTM_AR_Source">#REF!</definedName>
    <definedName name="VTS" localSheetId="20">#REF!</definedName>
    <definedName name="VTS">#REF!</definedName>
    <definedName name="VTS_AR" localSheetId="20">#REF!</definedName>
    <definedName name="VTS_AR">#REF!</definedName>
    <definedName name="VTS_AR_SGD" localSheetId="20">#REF!</definedName>
    <definedName name="VTS_AR_SGD">#REF!</definedName>
    <definedName name="VTS_AR_USD" localSheetId="20">#REF!</definedName>
    <definedName name="VTS_AR_USD">#REF!</definedName>
    <definedName name="wrn.Aging._.and._.Trend._.Analysis." hidden="1">{#N/A,#N/A,FALSE,"Aging Summary";#N/A,#N/A,FALSE,"Ratio Analysis";#N/A,#N/A,FALSE,"Test 120 Day Accts";#N/A,#N/A,FALSE,"Tickmarks"}</definedName>
    <definedName name="XREF_COLUMN_1" hidden="1">#REF!</definedName>
    <definedName name="XREF_COLUMN_2" hidden="1">'[27]2009 Breakdown'!#REF!</definedName>
    <definedName name="XREF_COLUMN_3" hidden="1">#REF!</definedName>
    <definedName name="XREF_COLUMN_4" hidden="1">#REF!</definedName>
    <definedName name="XREF_COLUMN_5" hidden="1">#REF!</definedName>
    <definedName name="XRefActiveRow" hidden="1">#REF!</definedName>
    <definedName name="XRefColumnsCount" hidden="1">2</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definedName>
    <definedName name="xxx">[3]U40!#REF!</definedName>
    <definedName name="xxxx" localSheetId="20" hidden="1">#REF!</definedName>
    <definedName name="xxxx" hidden="1">#REF!</definedName>
    <definedName name="报表" localSheetId="20">#REF!</definedName>
    <definedName name="报表">#REF!</definedName>
    <definedName name="产品成本表">#REF!</definedName>
    <definedName name="存货表">#REF!</definedName>
    <definedName name="当前明细账" localSheetId="20">#REF!</definedName>
    <definedName name="当前明细账">#REF!</definedName>
    <definedName name="附件六" localSheetId="20">#REF!</definedName>
    <definedName name="附件六">#REF!</definedName>
    <definedName name="固定资产表">#REF!</definedName>
    <definedName name="管理费用明细表">#REF!</definedName>
    <definedName name="汇率">#N/A</definedName>
    <definedName name="利润分配表">#REF!</definedName>
    <definedName name="明细分类帐" localSheetId="20">#REF!</definedName>
    <definedName name="明细分类帐">#REF!</definedName>
    <definedName name="三月份">[28]ar!#REF!</definedName>
    <definedName name="生产列1">#N/A</definedName>
    <definedName name="生产列11">#N/A</definedName>
    <definedName name="生产列15">#N/A</definedName>
    <definedName name="生产列16">#N/A</definedName>
    <definedName name="生产列17">#N/A</definedName>
    <definedName name="生产列19">#N/A</definedName>
    <definedName name="生产列2">#N/A</definedName>
    <definedName name="生产列20">#N/A</definedName>
    <definedName name="生产列3">#N/A</definedName>
    <definedName name="生产列4">#N/A</definedName>
    <definedName name="生产列5">#REF!</definedName>
    <definedName name="生产列6">#N/A</definedName>
    <definedName name="生产列7">#N/A</definedName>
    <definedName name="生产列8">#N/A</definedName>
    <definedName name="生产列9">#N/A</definedName>
    <definedName name="生产期">#N/A</definedName>
    <definedName name="生产期1">#N/A</definedName>
    <definedName name="生产期11">#N/A</definedName>
    <definedName name="生产期15">#N/A</definedName>
    <definedName name="生产期16">#N/A</definedName>
    <definedName name="生产期17">#N/A</definedName>
    <definedName name="生产期19">#N/A</definedName>
    <definedName name="生产期2">#N/A</definedName>
    <definedName name="生产期20">#N/A</definedName>
    <definedName name="生产期3">#N/A</definedName>
    <definedName name="生产期4">#N/A</definedName>
    <definedName name="生产期5">#REF!</definedName>
    <definedName name="生产期6">#N/A</definedName>
    <definedName name="生产期7">#N/A</definedName>
    <definedName name="生产期8">#N/A</definedName>
    <definedName name="生产期9">#N/A</definedName>
    <definedName name="十月份">'[29]10-2121'!$L$78</definedName>
    <definedName name="是">#REF!</definedName>
    <definedName name="外币资金情况表">#REF!</definedName>
    <definedName name="无形资产表">#REF!</definedName>
    <definedName name="现金流量表旧二">#REF!</definedName>
    <definedName name="现金流量表旧一">#REF!</definedName>
    <definedName name="现金流量表新二">#REF!</definedName>
    <definedName name="现金流量表新一">[30]现金流量表!#REF!</definedName>
    <definedName name="销售费用明细表">#REF!</definedName>
    <definedName name="应交增值税明细表">#REF!</definedName>
    <definedName name="营业外收支明细表">#REF!</definedName>
    <definedName name="在建工程表">#REF!</definedName>
    <definedName name="制造费用明细表">#REF!</definedName>
    <definedName name="主要产品成本表">#REF!</definedName>
    <definedName name="总分类账">[31]overheads!#REF!</definedName>
  </definedNames>
  <calcPr calcId="191029"/>
  <customWorkbookViews>
    <customWorkbookView name="alayang - Personal View" guid="{5B30B4ED-5909-44BF-8D4E-FED9BA81E830}" personalView="1" maximized="1" windowWidth="1020" windowHeight="603" activeSheetId="0" showComments="commIndAndComment"/>
    <customWorkbookView name="gzheng - Personal View" guid="{03BC3F46-AF92-48CB-8A18-7E1111C99BC6}" personalView="1" maximized="1" windowWidth="1020" windowHeight="539" activeSheetId="0" showComments="commIndAndComment"/>
    <customWorkbookView name="mko - Personal View" guid="{77152DAA-79FA-49D9-B314-FC1D618B1E39}" personalView="1" maximized="1" windowWidth="1276" windowHeight="624"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9" l="1"/>
  <c r="C11" i="19"/>
  <c r="B2" i="21"/>
  <c r="A1" i="13"/>
  <c r="F36" i="12"/>
  <c r="F35" i="12"/>
  <c r="F34" i="12"/>
  <c r="F33" i="12"/>
  <c r="F32" i="12"/>
  <c r="E31" i="12"/>
  <c r="F29" i="12"/>
  <c r="F28" i="12"/>
  <c r="F27" i="12"/>
  <c r="F26" i="12"/>
  <c r="F25" i="12"/>
  <c r="E23" i="12"/>
  <c r="E39" i="12" s="1"/>
  <c r="E37" i="12" s="1"/>
  <c r="E22" i="12"/>
  <c r="G17" i="12"/>
  <c r="F17" i="12"/>
  <c r="G16" i="12"/>
  <c r="F16" i="12"/>
  <c r="A1" i="12"/>
  <c r="D4" i="30"/>
  <c r="D3" i="30"/>
  <c r="J23" i="8"/>
  <c r="F23" i="8"/>
  <c r="E23" i="8"/>
  <c r="D23" i="8"/>
  <c r="C23" i="8"/>
  <c r="K23" i="8" s="1"/>
  <c r="K21" i="8"/>
  <c r="K19" i="8"/>
  <c r="K18" i="8"/>
  <c r="K17" i="8"/>
  <c r="K16" i="8"/>
  <c r="K14" i="8"/>
  <c r="K13" i="8"/>
  <c r="K12" i="8"/>
  <c r="K11" i="8"/>
  <c r="K10" i="8"/>
  <c r="L23" i="8" s="1"/>
  <c r="A1" i="8"/>
  <c r="A1" i="7"/>
  <c r="B8" i="21"/>
  <c r="B1" i="21"/>
  <c r="B52" i="19"/>
  <c r="E32" i="19"/>
  <c r="E25" i="19"/>
  <c r="C13" i="19"/>
  <c r="C7" i="19"/>
  <c r="E37" i="20"/>
  <c r="E30" i="20"/>
  <c r="E22" i="20"/>
  <c r="E15" i="20"/>
  <c r="E38" i="13"/>
  <c r="E39" i="13" s="1"/>
  <c r="E31" i="13"/>
  <c r="E22" i="13"/>
  <c r="E15" i="13"/>
  <c r="D5" i="30"/>
  <c r="C5" i="30"/>
  <c r="B5" i="30"/>
  <c r="B7" i="21"/>
  <c r="B6" i="21"/>
  <c r="B5" i="21"/>
  <c r="B4" i="21"/>
  <c r="B3" i="21"/>
  <c r="G39" i="13" l="1"/>
  <c r="G31" i="13"/>
  <c r="G38" i="13"/>
  <c r="E23" i="13"/>
  <c r="E40" i="13" s="1"/>
  <c r="F22" i="13" s="1"/>
  <c r="E38" i="12"/>
  <c r="F37" i="12"/>
  <c r="G23" i="13" l="1"/>
  <c r="F39" i="13"/>
  <c r="F15" i="13"/>
  <c r="F23" i="13"/>
  <c r="G22" i="13"/>
  <c r="F31" i="13"/>
  <c r="F38" i="13"/>
  <c r="F40" i="13"/>
  <c r="G1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li.shuyi</author>
  </authors>
  <commentList>
    <comment ref="D2" authorId="0" shapeId="0" xr:uid="{2857EAC8-E53D-461A-82D5-F236B3C61BC5}">
      <text>
        <r>
          <rPr>
            <b/>
            <sz val="9"/>
            <rFont val="宋体"/>
            <family val="3"/>
            <charset val="134"/>
          </rPr>
          <t>li.shuyi:</t>
        </r>
        <r>
          <rPr>
            <sz val="9"/>
            <rFont val="宋体"/>
            <family val="3"/>
            <charset val="134"/>
          </rPr>
          <t xml:space="preserve">
营业成本：实际成本
税金、管理费用、销售费用、资产损失：按照销售收入占比切分
研发费用：全额计入销售业务</t>
        </r>
      </text>
    </comment>
  </commentList>
</comments>
</file>

<file path=xl/sharedStrings.xml><?xml version="1.0" encoding="utf-8"?>
<sst xmlns="http://schemas.openxmlformats.org/spreadsheetml/2006/main" count="581" uniqueCount="408">
  <si>
    <t>企业名称</t>
  </si>
  <si>
    <t>年度</t>
  </si>
  <si>
    <t>事务所名称</t>
  </si>
  <si>
    <t>事务所简称</t>
  </si>
  <si>
    <t>企业简称</t>
  </si>
  <si>
    <t>母公司全称</t>
  </si>
  <si>
    <t>集团情况描述</t>
  </si>
  <si>
    <t>公司经营背景资料</t>
  </si>
  <si>
    <t>总计</t>
  </si>
  <si>
    <t>被测关联交易利润水平</t>
  </si>
  <si>
    <t>完全成本加成率</t>
  </si>
  <si>
    <t>【年度】年度转让定价同期资料准备所需基础资料和文件清单</t>
  </si>
  <si>
    <t>立信税务师事务所有限公司</t>
  </si>
  <si>
    <t>立信税务</t>
  </si>
  <si>
    <r>
      <rPr>
        <b/>
        <sz val="11"/>
        <color indexed="9"/>
        <rFont val="华文楷体"/>
        <family val="3"/>
        <charset val="134"/>
      </rPr>
      <t>资料清单</t>
    </r>
  </si>
  <si>
    <r>
      <rPr>
        <b/>
        <sz val="11"/>
        <color indexed="9"/>
        <rFont val="华文楷体"/>
        <family val="3"/>
        <charset val="134"/>
      </rPr>
      <t>附注</t>
    </r>
  </si>
  <si>
    <r>
      <rPr>
        <b/>
        <sz val="11"/>
        <color theme="1"/>
        <rFont val="Times New Roman"/>
        <family val="1"/>
      </rPr>
      <t xml:space="preserve">I. </t>
    </r>
    <r>
      <rPr>
        <b/>
        <sz val="11"/>
        <color indexed="8"/>
        <rFont val="华文楷体"/>
        <family val="3"/>
        <charset val="134"/>
      </rPr>
      <t>基本信息</t>
    </r>
  </si>
  <si>
    <r>
      <rPr>
        <sz val="11"/>
        <color theme="1"/>
        <rFont val="Times New Roman"/>
        <family val="1"/>
      </rPr>
      <t xml:space="preserve">1. </t>
    </r>
    <r>
      <rPr>
        <sz val="11"/>
        <color indexed="8"/>
        <rFont val="华文楷体"/>
        <family val="3"/>
        <charset val="134"/>
      </rPr>
      <t>中华人民共和国企业法人营业执照</t>
    </r>
  </si>
  <si>
    <r>
      <rPr>
        <sz val="11"/>
        <color indexed="8"/>
        <rFont val="华文楷体"/>
        <family val="3"/>
        <charset val="134"/>
      </rPr>
      <t>如有更新请提供</t>
    </r>
  </si>
  <si>
    <t>2. 组织结构，包括企业各职能部门的设置、职责范围和雇员数量等（请提供截至【年度】年12月31日时点的组织结构图）</t>
  </si>
  <si>
    <r>
      <rPr>
        <sz val="11"/>
        <color theme="1"/>
        <rFont val="华文楷体"/>
        <family val="3"/>
        <charset val="134"/>
      </rPr>
      <t>请见附件</t>
    </r>
    <r>
      <rPr>
        <sz val="11"/>
        <color theme="1"/>
        <rFont val="Times New Roman"/>
        <family val="1"/>
      </rPr>
      <t>1</t>
    </r>
  </si>
  <si>
    <t>3. 管理架构，包括企业各级管理层的汇报对象以及汇报对象主要办公所在地等（请提供截至【年度】年12月31日时点的信息）</t>
  </si>
  <si>
    <t>4. 【年度】年度关联公司信息</t>
  </si>
  <si>
    <r>
      <rPr>
        <sz val="11"/>
        <color indexed="8"/>
        <rFont val="华文楷体"/>
        <family val="3"/>
        <charset val="134"/>
      </rPr>
      <t>请见附件</t>
    </r>
    <r>
      <rPr>
        <sz val="11"/>
        <color indexed="8"/>
        <rFont val="Times New Roman"/>
        <family val="1"/>
      </rPr>
      <t>2</t>
    </r>
  </si>
  <si>
    <r>
      <rPr>
        <b/>
        <sz val="11"/>
        <color theme="1"/>
        <rFont val="Times New Roman"/>
        <family val="1"/>
      </rPr>
      <t xml:space="preserve">II. </t>
    </r>
    <r>
      <rPr>
        <b/>
        <sz val="11"/>
        <color indexed="8"/>
        <rFont val="华文楷体"/>
        <family val="3"/>
        <charset val="134"/>
      </rPr>
      <t>财务信息</t>
    </r>
  </si>
  <si>
    <t>1. 【年度】年审计报告，包括经审计的财务报表及其附注</t>
  </si>
  <si>
    <r>
      <rPr>
        <sz val="11"/>
        <color indexed="8"/>
        <rFont val="华文楷体"/>
        <family val="3"/>
        <charset val="134"/>
      </rPr>
      <t>请提供</t>
    </r>
  </si>
  <si>
    <t>2. 【年度】年度分部财务数据分析表，需包括企业不同类型产品的收入、成本、费用及利润。</t>
  </si>
  <si>
    <r>
      <rPr>
        <sz val="11"/>
        <color theme="1"/>
        <rFont val="华文楷体"/>
        <family val="3"/>
        <charset val="134"/>
      </rPr>
      <t>请见附件</t>
    </r>
    <r>
      <rPr>
        <sz val="11"/>
        <color theme="1"/>
        <rFont val="Times New Roman"/>
        <family val="1"/>
      </rPr>
      <t>3</t>
    </r>
  </si>
  <si>
    <t>3. 【年度】年度《中华人民共和国企业年度关联业务往来报告表(2016年版)》</t>
  </si>
  <si>
    <t>请提供电子版</t>
  </si>
  <si>
    <t>4. 【年度】年度贵公司主要关联供应商名单</t>
  </si>
  <si>
    <r>
      <rPr>
        <sz val="11"/>
        <color theme="1"/>
        <rFont val="华文楷体"/>
        <family val="3"/>
        <charset val="134"/>
      </rPr>
      <t>请见附件</t>
    </r>
    <r>
      <rPr>
        <sz val="11"/>
        <color theme="1"/>
        <rFont val="Times New Roman"/>
        <family val="1"/>
      </rPr>
      <t>4</t>
    </r>
  </si>
  <si>
    <t>5. 【年度】年度的主要关联客户清单</t>
  </si>
  <si>
    <r>
      <rPr>
        <sz val="11"/>
        <color theme="1"/>
        <rFont val="华文楷体"/>
        <family val="3"/>
        <charset val="134"/>
      </rPr>
      <t>请见附件</t>
    </r>
    <r>
      <rPr>
        <sz val="11"/>
        <color theme="1"/>
        <rFont val="Times New Roman"/>
        <family val="1"/>
      </rPr>
      <t>5</t>
    </r>
  </si>
  <si>
    <t>6. 【年度】年度其他关联交易类型、金额（如涉及）</t>
  </si>
  <si>
    <t>如涉及，请提供</t>
  </si>
  <si>
    <t>总经理</t>
  </si>
  <si>
    <t>个人关联方</t>
  </si>
  <si>
    <t>国籍</t>
  </si>
  <si>
    <t>关联关系类型</t>
  </si>
  <si>
    <t>居住地址</t>
  </si>
  <si>
    <t>没找到</t>
  </si>
  <si>
    <t>关联方名称</t>
  </si>
  <si>
    <t>国家/地区</t>
  </si>
  <si>
    <t>起止日期</t>
  </si>
  <si>
    <t>变化原因</t>
  </si>
  <si>
    <t>关联交易类型</t>
  </si>
  <si>
    <t>境外交易金额</t>
  </si>
  <si>
    <t>境内交易金额</t>
  </si>
  <si>
    <t>交易总额</t>
  </si>
  <si>
    <t>A</t>
  </si>
  <si>
    <t>B</t>
  </si>
  <si>
    <t>C=A+B</t>
  </si>
  <si>
    <t>关联采购</t>
  </si>
  <si>
    <t>关联销售</t>
  </si>
  <si>
    <t>合计</t>
  </si>
  <si>
    <t>附件四： 供应商清单</t>
  </si>
  <si>
    <r>
      <rPr>
        <b/>
        <sz val="10"/>
        <color theme="0"/>
        <rFont val="华文楷体"/>
        <family val="3"/>
        <charset val="134"/>
      </rPr>
      <t>项目</t>
    </r>
  </si>
  <si>
    <r>
      <rPr>
        <b/>
        <sz val="10"/>
        <color theme="0"/>
        <rFont val="华文楷体"/>
        <family val="3"/>
        <charset val="134"/>
      </rPr>
      <t>编号</t>
    </r>
  </si>
  <si>
    <r>
      <rPr>
        <b/>
        <sz val="10"/>
        <color theme="0"/>
        <rFont val="华文楷体"/>
        <family val="3"/>
        <charset val="134"/>
      </rPr>
      <t>会计年度</t>
    </r>
    <r>
      <rPr>
        <b/>
        <sz val="10"/>
        <color theme="0"/>
        <rFont val="宋体"/>
        <family val="3"/>
        <charset val="134"/>
      </rPr>
      <t>【年度】</t>
    </r>
  </si>
  <si>
    <r>
      <rPr>
        <b/>
        <sz val="10"/>
        <color theme="0"/>
        <rFont val="华文楷体"/>
        <family val="3"/>
        <charset val="134"/>
      </rPr>
      <t>运输条款（例如</t>
    </r>
    <r>
      <rPr>
        <b/>
        <sz val="10"/>
        <color theme="0"/>
        <rFont val="Times New Roman"/>
        <family val="1"/>
      </rPr>
      <t>FOB</t>
    </r>
    <r>
      <rPr>
        <b/>
        <sz val="10"/>
        <color theme="0"/>
        <rFont val="华文楷体"/>
        <family val="3"/>
        <charset val="134"/>
      </rPr>
      <t>，</t>
    </r>
    <r>
      <rPr>
        <b/>
        <sz val="10"/>
        <color theme="0"/>
        <rFont val="Times New Roman"/>
        <family val="1"/>
      </rPr>
      <t>CIF</t>
    </r>
    <r>
      <rPr>
        <b/>
        <sz val="10"/>
        <color theme="0"/>
        <rFont val="华文楷体"/>
        <family val="3"/>
        <charset val="134"/>
      </rPr>
      <t>等）</t>
    </r>
  </si>
  <si>
    <r>
      <rPr>
        <b/>
        <sz val="10"/>
        <color theme="0"/>
        <rFont val="华文楷体"/>
        <family val="3"/>
        <charset val="134"/>
      </rPr>
      <t>支付货币</t>
    </r>
    <r>
      <rPr>
        <b/>
        <sz val="10"/>
        <color theme="0"/>
        <rFont val="Times New Roman"/>
        <family val="1"/>
      </rPr>
      <t xml:space="preserve"> </t>
    </r>
    <r>
      <rPr>
        <b/>
        <sz val="10"/>
        <color theme="0"/>
        <rFont val="华文楷体"/>
        <family val="3"/>
        <charset val="134"/>
      </rPr>
      <t>（例如美元）</t>
    </r>
  </si>
  <si>
    <r>
      <rPr>
        <b/>
        <sz val="10"/>
        <color theme="0"/>
        <rFont val="华文楷体"/>
        <family val="3"/>
        <charset val="134"/>
      </rPr>
      <t>支付条款（例如发票开具日期</t>
    </r>
    <r>
      <rPr>
        <b/>
        <sz val="10"/>
        <color theme="0"/>
        <rFont val="Times New Roman"/>
        <family val="1"/>
      </rPr>
      <t>30</t>
    </r>
    <r>
      <rPr>
        <b/>
        <sz val="10"/>
        <color theme="0"/>
        <rFont val="华文楷体"/>
        <family val="3"/>
        <charset val="134"/>
      </rPr>
      <t>天内）</t>
    </r>
  </si>
  <si>
    <r>
      <rPr>
        <sz val="10"/>
        <rFont val="华文楷体"/>
        <family val="3"/>
        <charset val="134"/>
      </rPr>
      <t>其他</t>
    </r>
  </si>
  <si>
    <r>
      <rPr>
        <b/>
        <sz val="10"/>
        <rFont val="华文楷体"/>
        <family val="3"/>
        <charset val="134"/>
      </rPr>
      <t>合计</t>
    </r>
  </si>
  <si>
    <r>
      <rPr>
        <sz val="12"/>
        <rFont val="华文楷体"/>
        <family val="3"/>
        <charset val="134"/>
      </rPr>
      <t>附件五：客户清单</t>
    </r>
  </si>
  <si>
    <r>
      <rPr>
        <sz val="12"/>
        <color rgb="FFFF0000"/>
        <rFont val="华文楷体"/>
        <family val="3"/>
        <charset val="134"/>
      </rPr>
      <t>请贵公司提供截至【</t>
    </r>
    <r>
      <rPr>
        <sz val="12"/>
        <color rgb="FFFF0000"/>
        <rFont val="宋体"/>
        <family val="3"/>
        <charset val="134"/>
      </rPr>
      <t>年度】</t>
    </r>
    <r>
      <rPr>
        <sz val="12"/>
        <color rgb="FFFF0000"/>
        <rFont val="华文楷体"/>
        <family val="3"/>
        <charset val="134"/>
      </rPr>
      <t>年</t>
    </r>
    <r>
      <rPr>
        <sz val="12"/>
        <color rgb="FFFF0000"/>
        <rFont val="Times New Roman"/>
        <family val="1"/>
      </rPr>
      <t>12</t>
    </r>
    <r>
      <rPr>
        <sz val="12"/>
        <color rgb="FFFF0000"/>
        <rFont val="华文楷体"/>
        <family val="3"/>
        <charset val="134"/>
      </rPr>
      <t>月</t>
    </r>
    <r>
      <rPr>
        <sz val="12"/>
        <color rgb="FFFF0000"/>
        <rFont val="Times New Roman"/>
        <family val="1"/>
      </rPr>
      <t>31</t>
    </r>
    <r>
      <rPr>
        <sz val="12"/>
        <color rgb="FFFF0000"/>
        <rFont val="华文楷体"/>
        <family val="3"/>
        <charset val="134"/>
      </rPr>
      <t>日包括关联方在内的贵公司的主要客户详情。</t>
    </r>
    <r>
      <rPr>
        <sz val="12"/>
        <color rgb="FFFF0000"/>
        <rFont val="Times New Roman"/>
        <family val="1"/>
      </rPr>
      <t xml:space="preserve"> </t>
    </r>
    <r>
      <rPr>
        <sz val="12"/>
        <color rgb="FFFF0000"/>
        <rFont val="华文楷体"/>
        <family val="3"/>
        <charset val="134"/>
      </rPr>
      <t>请注明客户位于境内还是境外、相关的产品类型、销售收入及每个客户的销售收入占贵公司销售总收入的比例等。</t>
    </r>
  </si>
  <si>
    <r>
      <rPr>
        <b/>
        <sz val="10"/>
        <color theme="0"/>
        <rFont val="华文楷体"/>
        <family val="3"/>
        <charset val="134"/>
      </rPr>
      <t>客户名称</t>
    </r>
  </si>
  <si>
    <r>
      <rPr>
        <b/>
        <sz val="10"/>
        <color theme="0"/>
        <rFont val="华文楷体"/>
        <family val="3"/>
        <charset val="134"/>
      </rPr>
      <t>产品以及产品细分（例如</t>
    </r>
    <r>
      <rPr>
        <b/>
        <sz val="10"/>
        <color theme="0"/>
        <rFont val="Times New Roman"/>
        <family val="1"/>
      </rPr>
      <t>A1</t>
    </r>
    <r>
      <rPr>
        <b/>
        <sz val="10"/>
        <color theme="0"/>
        <rFont val="华文楷体"/>
        <family val="3"/>
        <charset val="134"/>
      </rPr>
      <t>，</t>
    </r>
    <r>
      <rPr>
        <b/>
        <sz val="10"/>
        <color theme="0"/>
        <rFont val="Times New Roman"/>
        <family val="1"/>
      </rPr>
      <t>B2</t>
    </r>
    <r>
      <rPr>
        <b/>
        <sz val="10"/>
        <color theme="0"/>
        <rFont val="华文楷体"/>
        <family val="3"/>
        <charset val="134"/>
      </rPr>
      <t>等）</t>
    </r>
  </si>
  <si>
    <t>金额
（人民币）</t>
  </si>
  <si>
    <r>
      <rPr>
        <b/>
        <sz val="10"/>
        <color theme="0"/>
        <rFont val="华文楷体"/>
        <family val="3"/>
        <charset val="134"/>
      </rPr>
      <t>占销售总收入比例</t>
    </r>
  </si>
  <si>
    <r>
      <rPr>
        <b/>
        <sz val="10"/>
        <color theme="0"/>
        <rFont val="华文楷体"/>
        <family val="3"/>
        <charset val="134"/>
      </rPr>
      <t>占关联销售总收入比例</t>
    </r>
  </si>
  <si>
    <r>
      <rPr>
        <b/>
        <sz val="10"/>
        <rFont val="华文楷体"/>
        <family val="3"/>
        <charset val="134"/>
      </rPr>
      <t>关联客户</t>
    </r>
  </si>
  <si>
    <r>
      <rPr>
        <sz val="10"/>
        <rFont val="华文楷体"/>
        <family val="3"/>
        <charset val="134"/>
      </rPr>
      <t>境外关联销售</t>
    </r>
  </si>
  <si>
    <r>
      <rPr>
        <sz val="10"/>
        <rFont val="华文楷体"/>
        <family val="3"/>
        <charset val="134"/>
      </rPr>
      <t>境外关联销售小计</t>
    </r>
  </si>
  <si>
    <r>
      <rPr>
        <sz val="10"/>
        <rFont val="华文楷体"/>
        <family val="3"/>
        <charset val="134"/>
      </rPr>
      <t>境内关联销售</t>
    </r>
  </si>
  <si>
    <r>
      <rPr>
        <b/>
        <sz val="10"/>
        <rFont val="华文楷体"/>
        <family val="3"/>
        <charset val="134"/>
      </rPr>
      <t>境内关联销售小计</t>
    </r>
  </si>
  <si>
    <r>
      <rPr>
        <b/>
        <sz val="10"/>
        <rFont val="华文楷体"/>
        <family val="3"/>
        <charset val="134"/>
      </rPr>
      <t>关联销售小计</t>
    </r>
  </si>
  <si>
    <r>
      <rPr>
        <b/>
        <sz val="10"/>
        <rFont val="华文楷体"/>
        <family val="3"/>
        <charset val="134"/>
      </rPr>
      <t>非关联客户</t>
    </r>
  </si>
  <si>
    <r>
      <rPr>
        <sz val="10"/>
        <rFont val="华文楷体"/>
        <family val="3"/>
        <charset val="134"/>
      </rPr>
      <t>境外非关联销售</t>
    </r>
  </si>
  <si>
    <r>
      <rPr>
        <b/>
        <sz val="10"/>
        <rFont val="华文楷体"/>
        <family val="3"/>
        <charset val="134"/>
      </rPr>
      <t>境外非关联销售小计</t>
    </r>
  </si>
  <si>
    <r>
      <rPr>
        <sz val="10"/>
        <rFont val="华文楷体"/>
        <family val="3"/>
        <charset val="134"/>
      </rPr>
      <t>境内非关联销售</t>
    </r>
  </si>
  <si>
    <r>
      <rPr>
        <b/>
        <sz val="10"/>
        <rFont val="华文楷体"/>
        <family val="3"/>
        <charset val="134"/>
      </rPr>
      <t>境内非关联销售小计</t>
    </r>
  </si>
  <si>
    <r>
      <rPr>
        <b/>
        <sz val="10"/>
        <rFont val="华文楷体"/>
        <family val="3"/>
        <charset val="134"/>
      </rPr>
      <t>非关联销售小计</t>
    </r>
  </si>
  <si>
    <t>附件六：劳务交易表</t>
  </si>
  <si>
    <t>行次</t>
  </si>
  <si>
    <t>关联交易内容</t>
  </si>
  <si>
    <t>交易金额</t>
  </si>
  <si>
    <t>比例</t>
  </si>
  <si>
    <t>占总劳务收入比重（%）</t>
  </si>
  <si>
    <t xml:space="preserve">境外关联
劳务收入
</t>
  </si>
  <si>
    <t>────</t>
  </si>
  <si>
    <t>其他关联方</t>
  </si>
  <si>
    <t>境外关联劳务收入小计</t>
  </si>
  <si>
    <t xml:space="preserve">境内关联
劳务收入
</t>
  </si>
  <si>
    <t>境内关联劳务收入小计</t>
  </si>
  <si>
    <t>境内外关联和非关联劳务收入合计</t>
  </si>
  <si>
    <t xml:space="preserve">境外关联
劳务支出
</t>
  </si>
  <si>
    <t>境外关联劳务支出小计</t>
  </si>
  <si>
    <t xml:space="preserve">境内关联
劳务支出
</t>
  </si>
  <si>
    <t>境内关联劳务支出小计</t>
  </si>
  <si>
    <t>境内外关联和非关联劳务支出合计</t>
  </si>
  <si>
    <t>劳务内容</t>
  </si>
  <si>
    <t>分配方法</t>
  </si>
  <si>
    <t>总成本费用</t>
  </si>
  <si>
    <t>【清单模板-数据表B5】</t>
  </si>
  <si>
    <t>所需承担的比例</t>
  </si>
  <si>
    <t>市场营销服务</t>
  </si>
  <si>
    <t>销售额</t>
  </si>
  <si>
    <t>XX,XXX</t>
  </si>
  <si>
    <t>XX%</t>
  </si>
  <si>
    <t>行政支持服务</t>
  </si>
  <si>
    <t>信息技术服务</t>
  </si>
  <si>
    <t>人数</t>
  </si>
  <si>
    <t>关联方</t>
  </si>
  <si>
    <t>金额</t>
  </si>
  <si>
    <t>缔约方</t>
  </si>
  <si>
    <t>公司间资金融通交易性质</t>
  </si>
  <si>
    <t>货币</t>
  </si>
  <si>
    <t>本金</t>
  </si>
  <si>
    <t>到期期限</t>
  </si>
  <si>
    <t>利率</t>
  </si>
  <si>
    <t>利息收入/利息支出</t>
  </si>
  <si>
    <t>（原币）</t>
  </si>
  <si>
    <t>（人民币）</t>
  </si>
  <si>
    <t>借款/贷款</t>
  </si>
  <si>
    <t>资产净值</t>
  </si>
  <si>
    <t>年初数</t>
  </si>
  <si>
    <t>年末数</t>
  </si>
  <si>
    <t>房屋及建筑物</t>
  </si>
  <si>
    <t>电脑设备</t>
  </si>
  <si>
    <t>机器设备</t>
  </si>
  <si>
    <t>办公设备</t>
  </si>
  <si>
    <t>家具</t>
  </si>
  <si>
    <t>运输设备</t>
  </si>
  <si>
    <t>生产设备</t>
  </si>
  <si>
    <t>其他</t>
  </si>
  <si>
    <t>无列示</t>
  </si>
  <si>
    <t>序号</t>
  </si>
  <si>
    <t>风险</t>
  </si>
  <si>
    <r>
      <rPr>
        <b/>
        <sz val="11"/>
        <color rgb="FFFFFFFF"/>
        <rFont val="微软雅黑"/>
        <family val="2"/>
        <charset val="134"/>
      </rPr>
      <t>项目</t>
    </r>
  </si>
  <si>
    <r>
      <rPr>
        <b/>
        <sz val="11"/>
        <color rgb="FFFFFFFF"/>
        <rFont val="微软雅黑"/>
        <family val="2"/>
        <charset val="134"/>
      </rPr>
      <t>公式</t>
    </r>
  </si>
  <si>
    <t>【年度】</t>
  </si>
  <si>
    <r>
      <rPr>
        <sz val="11"/>
        <color rgb="FF000000"/>
        <rFont val="微软雅黑"/>
        <family val="2"/>
        <charset val="134"/>
      </rPr>
      <t>营业收入</t>
    </r>
  </si>
  <si>
    <t>a</t>
  </si>
  <si>
    <r>
      <rPr>
        <sz val="11"/>
        <rFont val="微软雅黑"/>
        <family val="2"/>
        <charset val="134"/>
      </rPr>
      <t>减：</t>
    </r>
    <r>
      <rPr>
        <sz val="11"/>
        <color rgb="FF000000"/>
        <rFont val="微软雅黑"/>
        <family val="2"/>
        <charset val="134"/>
      </rPr>
      <t>营业成本</t>
    </r>
  </si>
  <si>
    <t>b</t>
  </si>
  <si>
    <r>
      <rPr>
        <sz val="11"/>
        <color rgb="FF000000"/>
        <rFont val="微软雅黑"/>
        <family val="2"/>
        <charset val="134"/>
      </rPr>
      <t>税金及附加</t>
    </r>
  </si>
  <si>
    <t>c</t>
  </si>
  <si>
    <r>
      <rPr>
        <sz val="11"/>
        <color rgb="FF000000"/>
        <rFont val="微软雅黑"/>
        <family val="2"/>
        <charset val="134"/>
      </rPr>
      <t>营业利润</t>
    </r>
  </si>
  <si>
    <t>d = a-b-c</t>
  </si>
  <si>
    <r>
      <rPr>
        <sz val="11"/>
        <rFont val="微软雅黑"/>
        <family val="2"/>
        <charset val="134"/>
      </rPr>
      <t>减：销售费用</t>
    </r>
  </si>
  <si>
    <t>e</t>
  </si>
  <si>
    <r>
      <rPr>
        <sz val="11"/>
        <color rgb="FF000000"/>
        <rFont val="微软雅黑"/>
        <family val="2"/>
        <charset val="134"/>
      </rPr>
      <t>管理费用</t>
    </r>
  </si>
  <si>
    <t>f</t>
  </si>
  <si>
    <r>
      <rPr>
        <sz val="11"/>
        <rFont val="微软雅黑"/>
        <family val="2"/>
        <charset val="134"/>
      </rPr>
      <t>息税前利润</t>
    </r>
  </si>
  <si>
    <r>
      <rPr>
        <sz val="11"/>
        <rFont val="微软雅黑"/>
        <family val="2"/>
        <charset val="134"/>
      </rPr>
      <t>营业成本及费用</t>
    </r>
  </si>
  <si>
    <r>
      <rPr>
        <sz val="11"/>
        <rFont val="微软雅黑"/>
        <family val="2"/>
        <charset val="134"/>
      </rPr>
      <t>完全成本加成率</t>
    </r>
  </si>
  <si>
    <t>根据访谈，关联销售以审计报告为准</t>
  </si>
  <si>
    <r>
      <rPr>
        <b/>
        <sz val="11"/>
        <color rgb="FFFFFFFF"/>
        <rFont val="仿宋_GB2312"/>
        <charset val="134"/>
      </rPr>
      <t>占采购、销售总额比例</t>
    </r>
    <r>
      <rPr>
        <b/>
        <sz val="11"/>
        <color rgb="FFFFFFFF"/>
        <rFont val="Arial Narrow"/>
        <family val="2"/>
      </rPr>
      <t>(%)</t>
    </r>
  </si>
  <si>
    <t>关联</t>
  </si>
  <si>
    <t>采购</t>
  </si>
  <si>
    <t>关联采购总计</t>
  </si>
  <si>
    <t>销售</t>
  </si>
  <si>
    <t>关联销售总计</t>
  </si>
  <si>
    <t>上海派智能源股份有限公司</t>
  </si>
  <si>
    <t>附件一：组织结构及管理架构</t>
  </si>
  <si>
    <t>以下内容根据贵公司2022年度资料清单中提供的相关信息预填，请贵公司就2023年度情况对以下描述进行确认或更新。</t>
  </si>
  <si>
    <t>请更新截至2023年12月31日公司组织架构情况</t>
  </si>
  <si>
    <t>部门</t>
  </si>
  <si>
    <t>人数
（截至2023年12月31日）</t>
  </si>
  <si>
    <t>主要职责范围简介</t>
  </si>
  <si>
    <t>部门负责人汇报对象</t>
  </si>
  <si>
    <t>部门负责人汇报对象主要办公所在地</t>
  </si>
  <si>
    <t>LEV事业部</t>
  </si>
  <si>
    <t>1、总经理应向公司集团领导负责，全面组织实施集团领导会的有关决议和规定，全面完成集团领导下达的各项指标，并将实施情况向集团领导汇报；
2、负责宣传贯彻执行国家和行业有关法律、法规、方针、政策；
3、根据集团的要求确定公司的经营方针，建立公司的经营管理体系并组织实施和改进，为经营管理体系运行提供足够的资源；
4、主持公司的日常各项经营管理工作，组织实施公司年度经营计划；
5、根据市场变化，不断调整公司的经营方向，使公司持续健康发展；
6、负责倡导公司的企业文化和经营理念，塑造企业形象；
7、负责代表公司对外处理业务，开展公关活动；
8、负责公司信息管理系统的建立及信息资源的配置；
9、签署日常行政、业务文件，保证公司经营运作的合法性；
10、负责公司人力资源的开发、管理和提高；
11、负责公司安全工作；
12、负责确定公司的年度财务预、决算方案，利润分配方案和弥补亏损方案；
13、负责公司组织结构的调整；
14、负责组织完成集团下达的其它临时性、阶段性工作和任务。</t>
  </si>
  <si>
    <t>吕振国</t>
  </si>
  <si>
    <t>上海</t>
  </si>
  <si>
    <t>储能事业部</t>
  </si>
  <si>
    <t>消费类电子事业部</t>
  </si>
  <si>
    <t>1、负责针对公司的经营目标，分解事业处经营指标，并推进实施；
2、不断调整优化经营管理细节，对事业处的经营指标最终负责；
3、负责事业处管理团队的策划/搭建；
4、负责事业处培训体系、能力矩阵的规划/实施；
5、负责事业处人才梯队的构建；
6、负责事业处的日常事务管理；
7、负责事业处考评、薪酬体系的搭建/管理；
8、事业处的整体经营风险和机遇评估，及执行相应的措施以规避或者降低风险；
9、了解ISO9001&amp;ISO14001管理体系知识，熟悉管理方针和目标；维护、推动事业处管理体系的有效运行。
10、负责组织完成集团下达的其它临时性、阶段性工作和任务。</t>
  </si>
  <si>
    <t>第一营销中心</t>
  </si>
  <si>
    <t>1．总经理应向公司集团领导负责，全面组织实施集团领导会的有关决议和规定，全面完成集团领导下达的各项指标，并将实施情况向集团领导汇报；
2．负责宣传贯彻执行国家和行业有关法律、法规、方针、政策；
3．根据集团的要求确定公司的经营方针，建立公司的经营管理体系并组织实施和改进，为经营管理体系运行提供足够的资源；
4．主持公司的日常各项经营管理工作，组织实施公司年度经营计划；
5．根据市场变化，不断调整公司的经营方向，使公司持续健康发展；
6．负责倡导公司的企业文化和经营理念，塑造企业形象；
7．负责代表公司对外处理业务，开展公关活动；
8 负责公司信息管理系统的建立及信息资源的配置；
9 签署日常行政、业务文件，保证公司经营运作的合法性；
10 负责公司人力资源的开发、管理和提高；
11 负责公司安全工作；
12 负责确定公司的年度财务预、决算方案，利润分配方案和弥补亏损方案；
13 负责公司组织结构的调整；
14 负责组织完成集团下达的其它临时性、阶段性工作和任务。</t>
  </si>
  <si>
    <t>第二营销中心</t>
  </si>
  <si>
    <t>1、 负责部门发展、定位的策划；
2、 负责管理销售经理和业务员；
2、市场的开发及客户的维护与服务；
3、客户订单及单据的审核与控制；组织客户合同、协议评审；
4、负责部门销售业绩及销售目标的制定执行；
5、负责市场信息的收集及竞争对手的分析，协助完成市场调查分析报告；
6、统筹识别本部门的风险和机遇，并定期参与评审及执行相应的管理措施以规避或者降低风险级别；
7、了解本部门的环境因素、重要环境因素清单，制定本部门重要环境因素的管理方法；
8、统筹维护并保证本部门管理体系（ISO9001/ISO14001）正常、有效的运行；
9、统筹管理本部门的日常工作；
10、完成其他相关事项。</t>
  </si>
  <si>
    <t>第三营销中心</t>
  </si>
  <si>
    <t>目的：为实现公司东欧区域营销目标，具体组织并落实公司持续健康发展，全面完成集团领导下达的各项中东亚营销指标任务，及其他部分的建立和完善发展工作
1、组织实施第三营销中心工作：组织实施公司年度经营计划；全面完成集团领导下达的各项指标，并将实施情况向集团领导汇报；全面组织实施集团领导会的有关决议和规定；
2、组织实施公司发展经营方针：总经理应向公司集团领导负责，主持第三营销中心的日常各项经营管理工作，建立公司的经营管理体系并组织实施和改进，为经营管理体系运行提供足够的资源；根据市场变化，不断调整公司的经营方向，使公司持续健康发展；负责代表公司对外处理业务，开展公关活动；负责确定公司的年度财务预、决算方案，利润分配方案和弥补亏损方案；
3、组织负责公司经营工作任务：组织负责公司信息管理系统的建立及信息资源的配置；签署日常行政、业务文件，保证公司经营运作的合法性；负责公司人力资源的开发、管理和提高；负责公司组织结构的调整；负责组织完成公司下达的其它临时性、阶段性工作和任务。
4、宣传贯彻公司安全工作及企业文化建设：负责宣传贯彻执行国家和行业有关法律、法规、方针、政策；负责倡导公司的企业文化和经营理念，塑造企业形象；</t>
  </si>
  <si>
    <t>第五营销中心</t>
  </si>
  <si>
    <t>目的：为实现公司中东亚营销目标，具体组织并落实公司持续健康发展，全面完成集团领导下达的各项中东亚营销指标任务，及其他部分的建立和完善发展工作
1、组织实施中东亚营销工作：组织实施公司年度经营计划；全面完成集团领导下达的各项指标，并将实施情况向集团领导汇报；全面组织实施集团领导会的有关决议和规定；
2、组织实施中东亚发展经营方针：总经理应向公司集团领导负责，主持中东亚的日常各项经营管理工作，建立公司的经营管理体系并组织实施和改进，为经营管理体系运行提供足够的资源；根据市场变化，不断调整公司的经营方向，使公司持续健康发展；负责代表公司对外处理业务，开展公关活动；负责确定公司的年度财务预、决算方案，利润分配方案和弥补亏损方案；
3、组织负责公司经营工作任务：组织负责公司信息管理系统的建立及信息资源的配置；签署日常行政、业务文件，保证公司经营运作的合法性；负责公司人力资源的开发、管理和提高；负责公司组织结构的调整；负责组织完成公司下达的其它临时性、阶段性工作和任务。
4、宣传贯彻公司安全工作及企业文化建设：负责宣传贯彻执行国家和行业有关法律、法规、方针、政策；负责倡导公司的企业文化和经营理念，塑造企业形象；</t>
  </si>
  <si>
    <t>总经办</t>
  </si>
  <si>
    <t xml:space="preserve">1、参与内部事务及提供法律保障
（1）参与公司的投资并购、产权转让、招投标及重组等重大经济活动的决策，并处理有关法律事务；
（2）向公司业务部门、下属公司提供有关法律咨询；
（3）为各部门提供法律咨询，确保各项流程符合法律法规。
2、完善法律风险管理
（1）及时完成合同起草或审核，防范风险、维护公司利益、规范管理；
（2）加强员工法律意思的培养，严格遵守相关法律和各项规章制度；
（3）做好公司各类案件的诉讼和应诉工作，降低公司因仲裁、诉讼而产生的损失；
（4）加强公司内部法律事务管理人员培养，结合本公司的特点和实际情况建立适合的法律风险防范体系；
（5）配合业务和财务做好应收账款的催收工作；
（6）知识产权管理工作，培养/招聘专门的知识产权管理人员，负责知识产权工作的开展；
3、外联工作
代表公司联络公检法机关和律师事务所，与相关部门建立良好关系；
4、内审体系建设：负责公司内控体系、风险管理体系的构建与维护； 
5、风险管理：负责建立并维护风险管理矩阵，定期开展风险识别、风险评价、风险管理。负责推进公司全面风险管理体系建设，形成《内控管理手册》； 
6、内审测评：定期开展内审测评，出具年度《内部控制自我评价报告》； 
   内审缺陷整改：负责推动公司各事业处、中心对内控缺陷事项进行整改；
   内审环境优化：负责开展各类内控与风险管理知识宣导，提升公司全员内控与风险管理意识； </t>
  </si>
  <si>
    <t>财务中心</t>
  </si>
  <si>
    <t>1、服从公司CEO的统一指挥,认真执行其工作指令,管理行为向公司CEO负责；
2、负责本部门的员工队伍组建,提出对下属人员的调配,培训,考核意见；
3、制定本部门的业务内容、范围、及推进战略。</t>
  </si>
  <si>
    <t>运营中心</t>
  </si>
  <si>
    <t>1、以企业降本或提效为最终目标，进行企业信息化长远规划和建设； 
2、统筹集团的信息化系统供应商开发，产品选型，与相关业务部门负责人共同评选出选最适合的产品或供应商； 
3、对接公司业务部门，了解业务部门的信息化诉求，以业务部门为中心，进行信息化建设或优化； 
4、企业信息化项目实施过长中，对业务需求、系统方案进行把关，对项目质量和进度进行风险管控和监督； 
5、负责运营系统部团队人才梯队搭建与培养，管理和激励等工作，对管对进行有效的管理、提升和考评。</t>
  </si>
  <si>
    <t>资材管理部</t>
  </si>
  <si>
    <t>1、参与制定公司战略与年度经营计划，协同采购活动整体优化；
2、建立健全采购流程、供应商绩效管理流程，进行有效规划及优化，规范供应商管理；
3、负责集团供应商符合性审查，组织供应商的整体评估，根据事业部；
4、搭建采购体系管理团队，通过有效的培训、激励和绩效管理，提升组织能力；
5、建立完善的采购管理数据和指标监控体系；
6、发起、统筹采购管理系统建设和持续改进。
7、负责公司信息管理系统的建立及信息资源的配置；
8、负责团队人力资源的开发、管理和提高；
9、负责资材中心组织结构的调整；
10、负责组织完成集团下达的其它临时性、阶段性工作和任务。
11.根据海外各国关务政策制定我司关务工作制度操作流程
12.收集整理各国贸易管制措施，制定我司符合本地报关策略和实施方案，并根据海外各国优惠税率政策优化我司本地报关方式，并指导清关工作；
13.对关务人员进行政策和专业知识培训，为直接领导提供关务决策依据，并为领导决策提供专业参谋；
14.负责建立和维护与海关、商检、外经局等政府部门之间的工作关系，并随时了解最新政策资讯，将对公司有影响的方针，政策及时通告相关部门和人员，确保公司进出口流程始终保持在符合国家法律，法规的范围内，保持物流链处于流畅状态；
15.负责对报关课进行综合事务性管理，包括（但不限于）报关员工作监督制度的建立、业绩考核、内部培训等日常人员管理工作。</t>
  </si>
  <si>
    <t>赵华夏</t>
  </si>
  <si>
    <t>人力资源部</t>
  </si>
  <si>
    <t>1、根据公司战略及业务发展规划，制定人力资源战略规划与行政战略规划，全面统筹规划本中心工作； 
2、根据公司战略制定人力资源规划方案，并组织实施人力资源体系的年度计划
3、制定、推动、监督人力资源各项流程和制度，并根据公司发展情况不断修订 
4、协调、指导各部门在人力资源管理方面等工作的开展，确保公司人力资源的合理使用，及时处理公司管理过程中的重大人力资源问题
5、负责绩效考核体系管理，制定和修订公司绩效考核制度，根据公司绩效考核原则结合各部门业务发展需求，设计、修订与业务相匹配的绩效考核要求方案；对各部门绩效评价过程中进行监督控制，及时解决其中出现的问题；6、对本中心管理中出现的问题，提出改进建议和实施方案，经批准后组织实施；监督、检查所辖中心的各项工作及计划的执行情况，本中心员工的培训、考核工作。
7、审核公司年度人力资源预算方案,行政费用预算；
8、负责建立公司内部畅通的沟通渠道，及时了解员工意见和想法。积极听取和采纳员工合理化建议，并反馈给相关部门。受理员工投诉，调查后落实相关部门解决。
9、规范完善公司人力资源管理系统，提供各项人事工作支持。
11、负责公司整体的文化建设工作
12、及时解决公司管理过程中的重大劳资纠纷及人力资源问题。
13、组织公司内外部重要会议，负责对政府机关及其他外部组织机构的联络、接待工作；
14、统筹维护并保证本部门管理体系（ISO9001/ISO14001）正常、有效的运行；
15、统筹识别本部门的风险和机遇，并定期参与评审及执行相应的管理措施以规避或者降低风险级别；
16、解本部门的环境因素、重要环境因素清单，制定本部门重要环境因素的管理方法；
17、完成上级领导委派的其他工作事项。</t>
  </si>
  <si>
    <t>行政管理部</t>
  </si>
  <si>
    <r>
      <rPr>
        <sz val="10"/>
        <color rgb="FF000000"/>
        <rFont val="宋体"/>
        <family val="3"/>
        <charset val="134"/>
      </rPr>
      <t xml:space="preserve">1、根据公司发展规划，组织制定行政部工作发展规划，并且全面负责本部门的工作； 
2、负责统筹各项行政管理制度的制定、完善、宣导、执行与监督，使公司的管理工作规范化； 
3、规范完善公司行政管理工作，提供各项行政后勤支持；
4、组织公司内外部重要会议，负责对政府机关及其他外部组织机构的联络、接待工作；
</t>
    </r>
    <r>
      <rPr>
        <sz val="10"/>
        <color indexed="8"/>
        <rFont val="宋体"/>
        <family val="3"/>
        <charset val="134"/>
      </rPr>
      <t>5、统筹维护并保证本部门管理体系（ISO9001/ISO14001）正常、有效的运行；
6、统筹识别本部门的风险和机遇，并定期参与评审及执行相应的管理措施以规避或者降低风险级别； 
7、了解本部门的环境因素、重要环境因素清单，制定本部门重要环境因素的管理方法； 8、完成上级领导委派的其他工作事项。</t>
    </r>
  </si>
  <si>
    <t>制造部</t>
  </si>
  <si>
    <t>1、负责制定并监督生产计划、工作计划和培训计划的实施；
 2、负责现有设备生产负荷统计及产销平衡调度，保证设备在受控状态下运行，合理配置生产资源组织生产计划的安全实施； 
3、负责生产进度控制，产品质量控制，生产成本控制以及对库存与资金占用控制； 
4、负责生产环境卫生改善及推行6S管理； 
5、负责本部门工作流程和产品质量的持续改进和完善； 
6、负责本部门与公司其它部门之间的协调工作； 
7、负责本部门人员管理、团队建设、绩效辅导； 
8、按照公司EPROS流程规定进行业务管理； 
9、其他上级领导安排事宜。</t>
  </si>
  <si>
    <t>品质管理部</t>
  </si>
  <si>
    <t>1、调节处理重大质量纠纷 
2、监督与评价工厂质量情况，推进工厂质量系统改善 
3、识别与评价本部门风险和机遇，并制定相应的对策 
4、建立和完善品质管理系统，包括产品标准、过程标准、持续改进等
5、根据国际、国家、行业动态，制定/优化企业标准
6、每年各部门相互之间交叉审核，发现存在的问题和不足
7、定期与关键客户沟通交流，掌握产品质量状况，挖掘客户关键的新质量要求
8、识别与评价本部门的环境因素；参与制定重要环境因素的管理方法；
9、熟悉管理方针和目标；维护、推动本部门管理体系的有效运行；
10、上级领导交代的其他事项。</t>
  </si>
  <si>
    <t>设备开发部</t>
  </si>
  <si>
    <t>上海总部&amp;山东工厂&amp;越南工厂
1、根据公司的发展规划，负责公司的设备开发管理工作； 
2、根据公司发展需要，负责制定公司年度的设备开发工作计划和季度计划以及开发策略； 
3、负责公司设备管理体系的搭建与优化工作；负责完善与优化部门制度、流程的审批； 4、负责承接各事业部产品配套设备的开发管理工作；
5、负责持续提升公司现有生产设备生产效率，节约成本； 
6、负责根据公司产品的描述和工艺，规划现有生产线的设备方案与需求，完善生产的设备需求； 
7、负责优化与完善公司现有设备，改进和保障运行设备方案，提升产品质量的稳定； 
8、负责设备开发队伍的组建与管理，指导其完成公司计划与设备开发任务； 
9、负责定期召开会议，组织团队年度、月度等工作计划，推进团队正常有序的达成工作任务； 
10、负责培养储备设备管理人员，并做好梯队建设；
11、负责组织设备团队相关人员集中学习培训，提高与业技能和组织管理能力； 12、负责与部门之间的沟通协调以及相关外部关系的建立工作： 13、负责自研设备总体规划： 14、负责自研设备上位机与下位机软件开发； 15、负责外购设备技术协议审批、出厂验收； 16、统筹维护并保证本部门管理体系（ISO9001/ISO14001）正常、有效的运行，并对所属人员进行宣导； 17、统筹识别本部门的风险和机遇，并定期参与评审及执行相应的管理措施以规避或者降低风险级别； 18、了解本部门的环境因素、重要环境因素清单，制定本部门重要环境因素的管理方法； 19、上级安排的其它工作。</t>
  </si>
  <si>
    <t>认证服务部</t>
  </si>
  <si>
    <t>1、负责领导本部门的日常管理工作； 
2、制定，实施、完成部门绩效指标任务工作；
3、统筹部门的规划与发展工作； 
4、对内检测认证的开发、承接，跟进维护等工作；
5、规划检测认证潜在的客户与市场方向；
6、开发检测认证的新合作渠道，新市场；
7、参与各类锂电池标准的参与制定工作； 
8、行业内的市场分析，行情的收集整理，总结工作； 
9、部门内运营能力的月报、年报分析，总结、汇报； 
10、协助公司其它部门的检测认证需求工作； 
11、统筹维护并保证本部门管理体系（ISO9001/ISO14001）正常、有效的运行，并对所属人员进行宣导； 
12、统筹识别本部门的风险和机遇，并定期参与评审及执行相应的管理措施以规避或者降低风险级别； 
13、了解本部门的环境因素、重要环境因素清单，制定本部门重要环境因素的管理方法； 14、完成上级领导交待的各项临时事务。</t>
  </si>
  <si>
    <t>体系管理部</t>
  </si>
  <si>
    <t>1、负责组织编制，完善相关体系文件和制度文件； 
2、负责组织公司安全检查、隐患排查及监督整改事项的落实和申报工作。
3、负责员工安全教育，开展安全活动，参与安全事故的调查和处理。 
4、负责二方、三方的例行检查和稽核，检查问题点的整改； 
5、对员工健康进行监控，及时组织员工进行职业健康体检，维护职业卫生员工档案； 6、公司EHS相关许可证（如排污许可证）申请、年审、变更； 
7、公司危险源及环境因素识别与管控，提出改善方案； 
8、负责临时用电、动火等特殊作业的审批工作，对作业条件把关，并建立台账； 
9、负责消防演练、化学品泄露等相关演习，制作完整演练PPT报告； 
10、负责稽查安全工作的落实情况，组织安全会议； 
11、新建项目安全、环保、职业卫生三同时的实施。</t>
  </si>
  <si>
    <t>系统开发部</t>
  </si>
  <si>
    <t>1、以企业降本或提效为最终目标，进行企业信息化长远规划和建设；
2、统筹集团的信息化系统供应商开发，产品选型，与相关业务部门负责人共同评选出选最适合的产品或供应商；
3、对接公司业务部门，了解业务部门的信息化诉求，以业务部门为中心，进行信息化建设或优化；
4、企业信息化项目实施过长中，对业务需求、系统方案进行把关，对项目质量和进度进行风险管控和监督，；
5、负责应用系统团队人才梯队搭建与培养，管理和激励等工作，对管对进行有效的管理、提升和考评。</t>
  </si>
  <si>
    <t>研发中心</t>
  </si>
  <si>
    <t>1、参与制定公司发展战略、年度经营计划和预算方案；
2、组织研究行业最新产品的技术发展方向，主持制定技术发展战略规划；
3、管理公司的整体核心技术，组织制定和实施重大技术决策和技术方案；
4、及时了解和监督技术发展战略规划的执行情况；
5、领导分管部门制度并组织实施年度工作计划，完成年度任务目标；
6、主持新产品项目所需的物料开发、试产、改进以及产线布局等工作；
7、研究决策事业部技术发展路线，规划开发事业部产品；
8、指导、审核项目总体技术方案，对各项目进行最后的质量评估；
9、与客户进行技术交流，了解客户在技术与业务上的发展要求，并解答客户提出的与产品技术相关的问题。
10、制定技术人员的培训计划，并组织安排事业部其他相关人员的技术培训。</t>
  </si>
  <si>
    <t>董事会</t>
  </si>
  <si>
    <t>1、参与内部事务及提供法律保障
（1）参与公司的投资并购、产权转让、招投标及重组等重大经济活动的决策，并处理有关法律事务；
（2）向公司业务部门、下属公司提供有关法律咨询；
（3）为各部门提供法律咨询，确保各项流程符合法律法规。
2、完善法律风险管理
（1）及时完成合同起草或审核，防范风险、维护公司利益、规范管理；
（2）加强员工法律意思的培养，严格遵守相关法律和各项规章制度；
（3）做好公司各类案件的诉讼和应诉工作，降低公司因仲裁、诉讼而产生的损失；
（4）加强公司内部法律事务管理人员培养，结合本公司的特点和实际情况建立适合的法律风险防范体系；
（5）配合业务和财务做好应收账款的催收工作；
（6）知识产权管理工作，培养/招聘专门的知识产权管理人员，负责知识产权工作的开展；
3、外联工作
代表公司联络公检法机关和律师事务所，与相关部门建立良好关系；
4、部门建设及团队建设
（1）搭建法务部管理体系，编制法务部相关管理制度，保证法务部顺畅嵌入公司业务流程；
（2）做好本部门员工的培训与考核工作，对部属进行日常的业务辅导；
（3）负责本部门人员的培训，不断提升团队专业水平，完成公司的各项法律工作；
5、政府项目申报工作
6、领导交办的其他工作。</t>
  </si>
  <si>
    <r>
      <rPr>
        <sz val="10"/>
        <rFont val="宋体"/>
        <family val="3"/>
        <charset val="134"/>
      </rPr>
      <t>请确认截至</t>
    </r>
    <r>
      <rPr>
        <sz val="10"/>
        <rFont val="Verdana"/>
        <family val="2"/>
      </rPr>
      <t>2023</t>
    </r>
    <r>
      <rPr>
        <sz val="10"/>
        <rFont val="宋体"/>
        <family val="3"/>
        <charset val="134"/>
      </rPr>
      <t>年</t>
    </r>
    <r>
      <rPr>
        <sz val="10"/>
        <rFont val="Verdana"/>
        <family val="2"/>
      </rPr>
      <t>12</t>
    </r>
    <r>
      <rPr>
        <sz val="10"/>
        <rFont val="宋体"/>
        <family val="3"/>
        <charset val="134"/>
      </rPr>
      <t>月</t>
    </r>
    <r>
      <rPr>
        <sz val="10"/>
        <rFont val="Verdana"/>
        <family val="2"/>
      </rPr>
      <t>31</t>
    </r>
    <r>
      <rPr>
        <sz val="10"/>
        <rFont val="宋体"/>
        <family val="3"/>
        <charset val="134"/>
      </rPr>
      <t>日公司的股权架构情况如下图所示：</t>
    </r>
  </si>
  <si>
    <t>派智能源</t>
    <phoneticPr fontId="75" type="noConversion"/>
  </si>
  <si>
    <t>敬请注意，该“提供资料清单”只适用于上海派智能源股份有限公司（以下简称“贵公司”）。贵公司需要提供截至2023会计年度12月31日（以下简称“2023年度”）的信息与资料，敬请贵公司注意，该清单是基于本所目前对贵公司经营状况的理解，该“资料清单”并不是全面的或是最终的，必要时我们会继续要求贵公司提供额外的信息和资料。
我们希望贵公司能够尽量以电子表格的形式提供数据。对于较难获得或者以现场讨论的方式更易获取的信息，我们将在访谈时与贵公司进行探讨。如果贵公司有任何的问题或建议，请联系我们的团队成员：
Director: Lillian Deng
Email: deng.chengyu@bdo.com.cn
Manager: Zoe Li
Email: li.shuyi@bdo.com.cn</t>
  </si>
  <si>
    <t>3.1. 行业概述</t>
    <phoneticPr fontId="75" type="noConversion"/>
  </si>
  <si>
    <t xml:space="preserve">锂离子电池是一种二次电池（充电电池），它主要依靠锂离子在正极和负极之间移动来工作。近年来，锂电池不仅广泛应用于新能源汽车、消费类电子产品、储能领域，而且受工业智能化、军事信息化、民用便利化以及互联网、物联网、智慧城市快速发展带动，应用场景日趋丰富、产品质量持续提升。 
根据高工锂电产业研究所（GGII）不完全统计，2023年中国锂电池及四大主材（不含铜箔、结构件等辅材）共有137个新增规划项目（只统计公告/签约项目，以下分析均指该数据），较2022年减少近一半。按公布投资金额的122个项目进行统计，2023年中国锂电产业拟投资总额约7500亿元，较2022年下降超46%，尤其是负极材料项目，新签约项目投资额仅为去年的18%。 
根据前瞻产业研究院《2024年中国动力锂电池行业投融资现状及兼并重组分析 投融资热度下滑》，2015-2023年，我国动力锂电池行业融资事件数和金额呈波动趋势，融资事件数2022年达到顶点，为48起，融资金额2021年达到顶点，为409.2亿元。整体来看，2016年以来，我国动力锂电池行业融资事件数和金额均处于较高水平，我国动力锂电池行业融资较热。但2023年，我国动力锂电池行业融资事件数和融资金额均下降，分别为27起和139.4亿元，融资热度有所下滑。尽管2022年和2023年的融资金额和事件数有所下降，但仍然保持在较高水平，表明市场对锂电产业的关注度依然较高，但经过前几年的高速增长后逐步步入相对稳定的发展阶段。
图表 7:2015-2023年中国动力锂电池行业融资整体情况（单位：亿元） 
 </t>
    <phoneticPr fontId="75" type="noConversion"/>
  </si>
  <si>
    <t>3.2. 行业规模</t>
    <phoneticPr fontId="75" type="noConversion"/>
  </si>
  <si>
    <t>3.2.1全球锂电池行业规模
从全球锂电池出货量情况来看，根据研究机构EVTank、伊维经济研究院联合中国电池产业研究院共同发布了《中国锂离子电池行业发展白皮书(2024年)》数据显示，2023年，全球锂离子电池总体出货量1202.6GWh，同比增长25.6%，增幅相对于2022年已经呈现大幅度下滑。 
图表 8：2014年-2023年全球锂电子出货量
从出货结构来看，2023年，全球汽车动力电池（EV LIB）出货量为865.2GWh，同比增长26.5%；储能电池（ESS LIB）出货量224.2GWh，同比增长40.7%；小型电池（SMALL LIB）出货量113.2GWh，同比下滑0.9%。
图表 9：2023年全球锂电池行业出货量结构占比情况
3.2.2中国锂电池行业规模
近年来，中国锂电池出货量不断增长。中商产业研究院发布的《2023-2028年中国锂电池行业市场前景预测及未来发展趋势研究报告》显示，2023年，中国锂离子电池出货量达到887.4GWh，同比增长34.3%，在全球锂离子电池总体出货量的占比达到73.8%，出货量占比继续提升。中商产业研究院分析师预测，2024年中国锂电池出货量将超过1000GWh。 
图表 10：2019-2024中国锂电池出货量预测趋势图
2023年我国锂离子电池产业延续增长态势，根据锂电池行业规范公告企业信息和行业协会测算，全国锂电池总产量超过940GWh，同比增长25%，行业总产值超过1.4万亿元。 
图表 11：2018年-2023年我国锂离子电池行业规模及增速
从2015年到2023年间，全国锂离子电池行业规模实现逐年攀升。虽然个别年份出现增长波动，但总体来看，中国锂电池行业的增长仍然非常迅速，正迈入行业发展的快车道。
另一方面，新能源汽车市场的持续火爆推动锂离子电池行业快速发展。市场需求逐年攀升，而关于锂离子电池的需求量也在不断增大。新能源汽车作为锂离子电池技术重点应用领域，在低碳环保、技术创新、性能安全上都对其提出了更高的要求。长期来看，锂离子电池行业将形成全产业联动式发展模式，涌现一批技术实力过硬、产业布局能力较强的企业。</t>
    <phoneticPr fontId="75" type="noConversion"/>
  </si>
  <si>
    <t>3.3. 行业政策</t>
    <phoneticPr fontId="75" type="noConversion"/>
  </si>
  <si>
    <t>2020年9月22日，我国提出了全面切实做好应对气候变化各项工作的新目标，包括在2060年前实现“碳中和”。此后，政府陆续出台了一系列政策措施，加强碳排放控制和可持续发展等方面的工作，并一直致力于推动全球应对气候变化的协同发展。如减免企业所得税、城市公交、物流车、公务车推广试点等，这些政策为锂电行业带来了巨大的投资机会和市场需求，也推动着锂电技术的进步和发展。
图表 12：锂电池行业相关政策
政策名称	发布部门	相关内容	发布时间
《锂电池行业规范条件(2024年本)》(征求意见稿)	工信部	锂电池企业及项目应符合国家资源开发利用、生态环境保护、节能管理、安全生产等法律法规要求，符合国家产业政策和相关产业规划及布局要求，符合当地国土空间规划和生态环境保护专项规划等要求，符合“三线一单”生态环境分区管控要求。引导企业减少单纯扩大产能的制造项目，加强技术创新、提高产品质量、降低生产成本。	2024年5月
《锂电池行业规范公告管理办法(2024年本)》(征求意见稿)	工信部	引导企业减少单纯扩大产能的制造项目，加强技术创新、提高产品质量、降低生产成本。	2024年5月
《关于加强新能源汽车与电网融合互动的实施意见》	国家发展改革委等部门	加大动力电池关键技术攻关，在不明显增加成本基础上将动力电池循环寿命提升至3000次及以上，攻克高频度双向充放电工况下的电池安全防控技术。	2023年12月
《关于进一步构建高质量充电基础设施体系的指导意见》	国务院	压实电动汽车、动力电池和充电基础设施生产企业产品质量安全责任，严格充电基础设施建设、安装质量安全管理，建立火灾、爆炸事故责任倒查制度。持续优化电动汽车电池技术性能，加强新体系动力电池、电池梯次利用等技术研究。	2023年6月
《关于做好锂离子电池产业链供应链协同稳定发展工作的通知》	工信部、市场监管总局	鼓励锂电池生产商、锂电池材料生产商、上游矿产资源企业、锂电池回收企业等协调配合，共同引导上下游参与者稳定市场期望、明确供需及价格并确保稳定供应。	2022年11月
《科技支撑破达峰碳中和实施方案(2022-2030年)》	科技部、工信部、国家发改委等9部门	力争到2030年，动力电池、驱动电机、车用操作系统等关键技术取得重大突破，新能源汽车安全水平全面提升，纯电动乘用车新车平均电耗大幅下降。	2022年8月
《关于推动轻工业高质量发展的指导意见》	工业和信息化等五部门	指出高能效锂电池安全技术是关键研发技术之一    	2022年6月
《关于加强产业融合推动工业绿色发展的指导意见》	工业和信息化等四部门	指出要提升新能源汽车等产业链水平，加快充电桩、换电站等基础设施建设运营，推动新能源汽车动力电池回收利用体系建设	2021年9月
2020年以来，面对电动汽车市场蓬勃发展，锂电产业链上中高端市场的格局被清晰地呈现出来，高新材料的研发、电芯工艺技术的提升、设备制造的创新三个领域成为中国锂电产业下一步发力重点。同时，政府也相继出台扶持新能源产业发展的政策支持，促进锂电产业的升级和转型。 
未来，随着技术不断进步，中国锂电行业发展将进入以政策为主导、以技术创新为驱动，逐步拓宽锂离子电池在品质、安全、环保等方面的市场竞争力，迎来更广泛应用空间和发展机会。</t>
    <phoneticPr fontId="75" type="noConversion"/>
  </si>
  <si>
    <t>3.4. 市场竞争情况</t>
    <phoneticPr fontId="75" type="noConversion"/>
  </si>
  <si>
    <t xml:space="preserve">锂离子电池行业具有较高的技术壁垒，经过多年的发展，市场主要的锂离子电池制造商数量相对固定，市场集中度较高，其中，前十大锂离子电池制造商占据全球超过50%的市场份额。
国际上，中国、日本和韩国是全球锂离子电池的主要生产国，三国总产量占比达90%以上。其中，日本主要为松下、索尼，韩国主要为三星SDI、LG化学等。日本松下、索尼等厂商在规模、技术各方面占据主导地位，韩国电子产品迅速崛起，锂离子电池厂商快速成长，目前已是全球领先的锂离子电池生产国。近年来，中国厂商在锂离子电池的产能和技术等方面不断提升，宁德时代、比亚迪、亿纬锂能等陆续崛起，使得中国成为全球锂离子电池生产制造的重要参与者。
经过数年发展，我国锂离子电池行业集中度不断提高。国内主要的锂离子电池企业为宁德时代、比亚迪、亿纬锂能、中创新航、国轩高科、欣旺达、蜂巢能源、孚能科技、鹏辉能源等。国内市场上还有数量众多的中小型厂商，由于自身规模、研发实力不足，不能自主生产电芯，而主要采用进口或外购国内大型厂商电芯来组装生产电池产品。随着行业环保要求的日益严格以及市场对产品技术和质量要求的不断提高，小型企业生存空间将逐步压缩，而行业领先企业将凭借技术、质量、规模和环保治理等优势逐步扩大市场份额，行业集中度将进一步提高。 </t>
    <phoneticPr fontId="75" type="noConversion"/>
  </si>
  <si>
    <t>3.5. 行业前景预测</t>
    <phoneticPr fontId="75" type="noConversion"/>
  </si>
  <si>
    <r>
      <t xml:space="preserve">锂电技术是未来新能源领域的重要技术之一，它不仅具有高能量密度、安全可靠等优点，广泛应用于电动汽车、储能、消费电子等领域，也是未来的主流能源之一。分析来看，锂离子电池行业发展呈现出以下发展态势：
</t>
    </r>
    <r>
      <rPr>
        <sz val="12"/>
        <rFont val="Wingdings"/>
        <family val="3"/>
        <charset val="2"/>
      </rPr>
      <t></t>
    </r>
    <r>
      <rPr>
        <sz val="12"/>
        <rFont val="宋体"/>
        <family val="3"/>
        <charset val="134"/>
      </rPr>
      <t xml:space="preserve">	政策利好行业发展
近年来，我国政府相关部门出台了一系列政策，支持锂电池产业的发展。2024年5月工信部对《锂离子电池行业规范条件(2021年本)》《锂离子电池行业规范公告管理办法(2021年本)》进行修订，而形成《锂电池行业规范条件(2024年本)》《锂电池行业规范公告管理办法(2024年本)》(征求意见稿)，本次征求意见稿对锂电企业的产业布局和项目设立、生产经营和工艺水平、产品性能、安全和质量管理等多方面提出了要求。政策的发布为锂电池行业的发展提供了明确、广阔的市场前景，为企业提供了良好的生产经营环境。
</t>
    </r>
    <r>
      <rPr>
        <sz val="12"/>
        <rFont val="Wingdings"/>
        <family val="3"/>
        <charset val="2"/>
      </rPr>
      <t></t>
    </r>
    <r>
      <rPr>
        <sz val="12"/>
        <rFont val="宋体"/>
        <family val="3"/>
        <charset val="134"/>
      </rPr>
      <t xml:space="preserve">	技术进步驱动行业发展
随着科技的不断发展，锂电池在材料、工艺、性能以及安全性等方面取得了显著的进步。通过研发新型的正负极材料和电解质，锂电池的能量密度得到了显著提升；优化电池的内部结构，提高电池的效率和寿命；引入智能传感器和云计算等技术，实现对电池的实时监控和预测性维护。在技术进步的推动下，锂电池的应用领域也在不断拓展，新的应用领域为锂电池行业带来了巨大的市场空间和发展机遇。
</t>
    </r>
    <r>
      <rPr>
        <sz val="12"/>
        <rFont val="Wingdings"/>
        <family val="3"/>
        <charset val="2"/>
      </rPr>
      <t></t>
    </r>
    <r>
      <rPr>
        <sz val="12"/>
        <rFont val="宋体"/>
        <family val="3"/>
        <charset val="134"/>
      </rPr>
      <t xml:space="preserve">	下游需求增加推动行业发展
随着新能源汽车和储能市场的持续增长，锂电池行业预计将继续保持增长势头，中国已经连续五年成为全球最大的锂电池消费市场，且市场规模仍在不断扩大。得益于新能源汽车产业的发展，市场上对优质动力电池企业的需求不断增加。新能源汽车的高速发展带动锂离子电池需求的增加，目前锂离子动力电池的供应不能满足市场上的相关需求。 </t>
    </r>
    <phoneticPr fontId="75" type="noConversion"/>
  </si>
  <si>
    <t>3.6.结论</t>
    <phoneticPr fontId="75" type="noConversion"/>
  </si>
  <si>
    <t>中国作为全球最大锂电池的生产国和市场，拥有巨大的发展潜力。随着电动汽车、储能等领域的不断发展，对锂电池的需求将持续增加。锂电行业近几年在技术和产品发展上进步显著，国内产业链不断优化，设备智能化和工艺水平不断改进，多数锂电制造企业不断加大研发投入，为行业产品更新换代助力。我国的锂电企业通过自主创新和吸收引进相结合的方式，在部分细分领域实现了突破和发展，技术水平不断提升。 
目前虽然我国锂电池行业增长率较高，但市场集中度高，导致中小型企业竞争激烈。市场上占据主导地位的大型企业，如宁德时代、比亚迪等，拥有强大的研发能力和雄厚的资金支持，使其在技术创新、生产规模和市场占有率方面占据优势。这些龙头企业能够通过规模效应降低生产成本，提高产品竞争力，并在市场上形成较强的品牌效应。而随着动力电池市场竞争进一步加剧，龙头企业优势不断放大，行业集中度持续提升。
因此，中小型企业在这种高市场集中度的环境中面临着诸多挑战。首先是资金和资源的限制，这使得它们在技术研发和规模扩展上处于劣势。其次，大型企业在供应链管理和客户资源方面具有更强的控制力，使得中小型企业难以在市场上获得稳定的原材料供应和客户订单。
总的来说，随着技术的进步和政策的支持，预计中国锂电池产业将继续保持快速增长，并在全球锂电池市场中发挥重要作用。但由于激烈的竞争环境，上海派智的发展也面临着一些挑战。</t>
    <phoneticPr fontId="75" type="noConversion"/>
  </si>
  <si>
    <t>派智能源是以锂电池制造为基础的高科技企业，公司始创于2004年，经过19年的行业积淀。公司已经发展布局了：总部上海派智，山东派智电子，越南派智以及山东派智新能源4个主要工厂。在境外成立了美国和荷兰子公司，同时2022年在匈牙利新设立了锂电池生产线。公司目前全球员工约1000名，年产能1.82Gwh。
业务涵盖3C、智能吸尘器、电动自行车、电动摩托车、储能等多个领域，致力于为全球客户带来先进的能源解决方案。</t>
    <phoneticPr fontId="75" type="noConversion"/>
  </si>
  <si>
    <t>上海派智成立于2015年02月09日，经营期限为无固定期限。公司主要从事锂电池相关的研发及制造。截至2023年12月31日，公司注册资本为人民币9,415万元。经营地址上海市奉贤区青村镇光明金钱公路3492号第9幢，经营期限无固定期限。注册资本
（截至2023年12月31日）为人民币9,415万元。主要经营活动包括许可项目：货物进出口；技术进出口。（依法须经批准的项目，经相关部门批准后方可开展经营活动，具体经营项目以相关部门批准文件或许可证件为准）一般项目：一般项目：新兴能源技术研发；新能源汽车电附件销售；新能源原动设备销售；技术服务、技术开发、技术咨询、技术交流、技术转让、技术推广（人体干细胞、基因诊断与治疗技术开发和应用除外）；电池销售；电池制造；电池研发；电动自行车销售；助动车研发；助动车制造；电机及其控制系统研发；光伏设备及元器件制造；光伏设备及元器件销售；光伏设备及元器件研发；集成电路制造；集成电路销售；集成电路研发；互联网销售（除销售需要许可的商品）；电子元器件批发；电子元器件零售。（除依法须经批准的项目外，凭营业执照依法自主开展经营活动）总经办7人，负责全公司的常规运维工作，部门负责人对总经办汇报，汇报对象主要办公地上海。事业部148人，负责事业部经营运维工作，部门负责人对总经办汇报，汇报对象主要办公地上海。财务中心17人，负责公司财务核算分析工作，部门负责人对总经办汇报，汇报对象主要办公地上海。营销中心44人，负责公司产品的销售工作，部门负责人对总经办汇报，汇报对象主要办公地上海。
研发中心2人，负责公司产品的研究开发工作，部门负责人对总经办汇报，汇报对象主要办公地上海。运营中心122人，负责公司产品的生产工作，新供应商 、新物料的采购开发，信息化建设或优化，人员管理及后勤工作，部门负责人对总经办汇报，汇报对象主要办公地上海。总计340人。	
评估期间，上海派智从事锂电池制造业务，主营业务收入948,194,916.22元，主营业务成本804,743,968.37元，营业税金及附加3,270,449.93元，销售费用55,298,620.54元，管理费用85,657,237.96元，资产减值损失-1,388,027.19元，总成本947,582,249.61元，息税前利润612,666.61元，完全成本加成率0.06%主营业务收入948,194,916.22元，主营业务成本804,743,968.37元，营业税金及附加3,270,449.93元，销售费用55,298,620.54元，管理费用85,657,237.96元，资产减值损失-1,388,027.19元，总成本947,582,249.61元，息税前利润612,666.61元，完全成本加成率0.06%主营业务收入948,194,916.22元，主营业务成本804,743,968.37元，营业税金及附加3,270,449.93元，销售费用55,298,620.54元，管理费用85,657,237.96元，资产减值损失-1,388,027.19元，总成本947,582,249.61元，息税前利润612,666.61元，完全成本加成率0.06%。上海派智在2023年度不仅进行生产与销售业务，同时还向第三方客户销售其从第三方采购的原材料（“第三方原料分销”），金额为267,037,913.78元。由于上述第三方原料分销业务与关联交易无关，而其与关联方的业务往来均与其的生产销售业务活动密切相关且不可分割。因此，我们主要对其生产销售业务相关（即受测关联交易）的财务数据进行分析和验证，具体参见章节7.4.2的确定与受测关联交易相关的财务数据。</t>
    <phoneticPr fontId="75" type="noConversion"/>
  </si>
  <si>
    <t>附件二：关联方相关信息</t>
  </si>
  <si>
    <t>请贵公司提供截至2023年12月31日的关联公司信息。</t>
  </si>
  <si>
    <t>法定代表人</t>
  </si>
  <si>
    <t>与本公司关系</t>
  </si>
  <si>
    <t>注册地址</t>
  </si>
  <si>
    <t>经营地址</t>
  </si>
  <si>
    <t>山东派智电子有限公司</t>
  </si>
  <si>
    <t>王宏义</t>
  </si>
  <si>
    <t>控股</t>
  </si>
  <si>
    <t>山东省济宁市微山县经济开发区东风东路36号高新技术产业园2号楼</t>
  </si>
  <si>
    <t>山东派智新能源科技有限公司</t>
  </si>
  <si>
    <t>高朋坤</t>
  </si>
  <si>
    <t>山东省济宁市微山县经济开发区东风东路36号高新技术产业园1号楼</t>
  </si>
  <si>
    <t>上海能勤网络科技有限公司</t>
  </si>
  <si>
    <t>刘博赫</t>
  </si>
  <si>
    <t>上海市奉贤区金钱公路3329号4幢</t>
  </si>
  <si>
    <t>PYTES (VIET NAM) ENERGY CO.,LTD</t>
  </si>
  <si>
    <t>LYU, ZHENGUO</t>
  </si>
  <si>
    <r>
      <rPr>
        <sz val="10"/>
        <rFont val="微软雅黑"/>
        <family val="2"/>
        <charset val="134"/>
      </rPr>
      <t>Lô G3-1 đ</t>
    </r>
    <r>
      <rPr>
        <sz val="10"/>
        <rFont val="Times New Roman"/>
        <family val="1"/>
      </rPr>
      <t>ườ</t>
    </r>
    <r>
      <rPr>
        <sz val="10"/>
        <rFont val="微软雅黑"/>
        <family val="2"/>
        <charset val="134"/>
      </rPr>
      <t>ng D3, KCN Vi</t>
    </r>
    <r>
      <rPr>
        <sz val="10"/>
        <rFont val="Times New Roman"/>
        <family val="1"/>
      </rPr>
      <t>ệ</t>
    </r>
    <r>
      <rPr>
        <sz val="10"/>
        <rFont val="微软雅黑"/>
        <family val="2"/>
        <charset val="134"/>
      </rPr>
      <t>t Hóa - Đ</t>
    </r>
    <r>
      <rPr>
        <sz val="10"/>
        <rFont val="Times New Roman"/>
        <family val="1"/>
      </rPr>
      <t>ứ</t>
    </r>
    <r>
      <rPr>
        <sz val="10"/>
        <rFont val="微软雅黑"/>
        <family val="2"/>
        <charset val="134"/>
      </rPr>
      <t>c Hòa III, Xã Đ</t>
    </r>
    <r>
      <rPr>
        <sz val="10"/>
        <rFont val="Times New Roman"/>
        <family val="1"/>
      </rPr>
      <t>ứ</t>
    </r>
    <r>
      <rPr>
        <sz val="10"/>
        <rFont val="微软雅黑"/>
        <family val="2"/>
        <charset val="134"/>
      </rPr>
      <t>c L</t>
    </r>
    <r>
      <rPr>
        <sz val="10"/>
        <rFont val="Times New Roman"/>
        <family val="1"/>
      </rPr>
      <t>ậ</t>
    </r>
    <r>
      <rPr>
        <sz val="10"/>
        <rFont val="微软雅黑"/>
        <family val="2"/>
        <charset val="134"/>
      </rPr>
      <t>p H</t>
    </r>
    <r>
      <rPr>
        <sz val="10"/>
        <rFont val="Times New Roman"/>
        <family val="1"/>
      </rPr>
      <t>ạ</t>
    </r>
    <r>
      <rPr>
        <sz val="10"/>
        <rFont val="微软雅黑"/>
        <family val="2"/>
        <charset val="134"/>
      </rPr>
      <t>, Huy</t>
    </r>
    <r>
      <rPr>
        <sz val="10"/>
        <rFont val="Times New Roman"/>
        <family val="1"/>
      </rPr>
      <t>ệ</t>
    </r>
    <r>
      <rPr>
        <sz val="10"/>
        <rFont val="微软雅黑"/>
        <family val="2"/>
        <charset val="134"/>
      </rPr>
      <t>n Đ</t>
    </r>
    <r>
      <rPr>
        <sz val="10"/>
        <rFont val="Times New Roman"/>
        <family val="1"/>
      </rPr>
      <t>ứ</t>
    </r>
    <r>
      <rPr>
        <sz val="10"/>
        <rFont val="微软雅黑"/>
        <family val="2"/>
        <charset val="134"/>
      </rPr>
      <t>c Hoà, T</t>
    </r>
    <r>
      <rPr>
        <sz val="10"/>
        <rFont val="Times New Roman"/>
        <family val="1"/>
      </rPr>
      <t>ỉ</t>
    </r>
    <r>
      <rPr>
        <sz val="10"/>
        <rFont val="微软雅黑"/>
        <family val="2"/>
        <charset val="134"/>
      </rPr>
      <t>nh Long An, Vi</t>
    </r>
    <r>
      <rPr>
        <sz val="10"/>
        <rFont val="Times New Roman"/>
        <family val="1"/>
      </rPr>
      <t>ệ</t>
    </r>
    <r>
      <rPr>
        <sz val="10"/>
        <rFont val="微软雅黑"/>
        <family val="2"/>
        <charset val="134"/>
      </rPr>
      <t>t Nam</t>
    </r>
  </si>
  <si>
    <t>PYTES B.V.</t>
  </si>
  <si>
    <t>Sun, Shengwei
Chang, Yanjie</t>
  </si>
  <si>
    <t>Molendijk-Zuid 23 B, 5482WZ Schijndel</t>
  </si>
  <si>
    <t>PYTES (HongKong) ENERGY LIMITED</t>
  </si>
  <si>
    <t>金鐘金鐘道89號力寶中心第一座10樓1003室, 香港</t>
  </si>
  <si>
    <t>PYTES (USA) Energy,Inc</t>
  </si>
  <si>
    <t>UNITS 107, 920 S HOLGATE, SEATTLE, WA, 98134, UNITED STATES</t>
  </si>
  <si>
    <t>PYTES (SINGAPORE) ENERGY PTE. LTD.</t>
  </si>
  <si>
    <t>LYU, ZHENGUO
MAO,HONG</t>
  </si>
  <si>
    <t>04, 17 CLIFFORD CENTRE, 24, RAFFLES PLACE 048621</t>
  </si>
  <si>
    <t xml:space="preserve"> PYTES Hungary Korlátolt Felelősségű Társaság</t>
  </si>
  <si>
    <t>Shengwei Sun</t>
  </si>
  <si>
    <t>1053 Budapest, Károlyi utca 12. 2. em.</t>
  </si>
  <si>
    <t>PYTES  GmbH</t>
  </si>
  <si>
    <t xml:space="preserve">Kleinkoschener Dorfstraße 6, 01968 Senftenberg, Deutschland </t>
  </si>
  <si>
    <t>PYTES Energy Inc.</t>
  </si>
  <si>
    <t>DAN WANG</t>
  </si>
  <si>
    <t>6721 TILLAMOOK AVE, WESTMINSTER CA 92683</t>
  </si>
  <si>
    <t>中华人民共和国</t>
  </si>
  <si>
    <t>控股关联</t>
    <phoneticPr fontId="75" type="noConversion"/>
  </si>
  <si>
    <t>2023年1月1日 -2023年12月31日</t>
    <phoneticPr fontId="75" type="noConversion"/>
  </si>
  <si>
    <t>美利坚合众国</t>
    <phoneticPr fontId="75" type="noConversion"/>
  </si>
  <si>
    <t>匈牙利共和国</t>
  </si>
  <si>
    <t>德意志联邦共和国</t>
    <phoneticPr fontId="75" type="noConversion"/>
  </si>
  <si>
    <t>荷兰王国</t>
    <phoneticPr fontId="75" type="noConversion"/>
  </si>
  <si>
    <t>越南社会主义共和国</t>
    <phoneticPr fontId="75" type="noConversion"/>
  </si>
  <si>
    <t>中国香港特别行政区</t>
    <phoneticPr fontId="75" type="noConversion"/>
  </si>
  <si>
    <t>新加坡共和国</t>
    <phoneticPr fontId="75" type="noConversion"/>
  </si>
  <si>
    <t>关联方名称</t>
    <phoneticPr fontId="75" type="noConversion"/>
  </si>
  <si>
    <t>附件三：分部财务数据</t>
  </si>
  <si>
    <t>请贵公司拆分截至2023年12月31日的财务数据。如果没有相关的数据，请标明“N/A”。</t>
  </si>
  <si>
    <t xml:space="preserve">
项目</t>
  </si>
  <si>
    <t>备注</t>
  </si>
  <si>
    <t>销售业务</t>
  </si>
  <si>
    <t>其他业务（如有）</t>
  </si>
  <si>
    <t>境外</t>
  </si>
  <si>
    <t>境内</t>
  </si>
  <si>
    <t>非关联方</t>
  </si>
  <si>
    <t>一、营业收入</t>
  </si>
  <si>
    <t>　　　　其中：主营业务收入</t>
  </si>
  <si>
    <t>　减：营业成本</t>
  </si>
  <si>
    <t>　　　　其中：主营业务成本</t>
  </si>
  <si>
    <t>　　　营业税金及附加</t>
  </si>
  <si>
    <t>　　　　其中：主营业务税金及附加</t>
  </si>
  <si>
    <t>　　　销售费用</t>
  </si>
  <si>
    <t>　　　管理费用</t>
  </si>
  <si>
    <t>　　　财务费用</t>
  </si>
  <si>
    <t>　　　资产减值损失</t>
  </si>
  <si>
    <t>　加：公允价值变动收益（损失以“-”号填列）</t>
  </si>
  <si>
    <t>　　　投资收益（损失以“-”号填列）</t>
  </si>
  <si>
    <t>　　   　其中：对联营企业和合营企业的投资收益</t>
  </si>
  <si>
    <t>二、营业利润（亏损以“-”号填列）＝</t>
  </si>
  <si>
    <t>说明：分别披露关联交易和非关联交易的收入、成本、费用和利润，不能直接归集的，按照合理比例划分，并说明该划分比例的依据。</t>
  </si>
  <si>
    <t>请贵公司提供截至2023年12月31日包括关联方在内的贵公司的主要供应商详情。 请注明供应商位于境内还是境外、采购的产品类型、采购金额及每个供应商的采购金额占贵公司采购总金额的比例等。</t>
  </si>
  <si>
    <t>项目</t>
  </si>
  <si>
    <t>编号</t>
  </si>
  <si>
    <t>供应商名称</t>
  </si>
  <si>
    <t>产品类型（例如原材料，半成品或成品）</t>
  </si>
  <si>
    <t>会计年度2023</t>
  </si>
  <si>
    <t>运输条款（例如FOB，CIF等）</t>
  </si>
  <si>
    <t>支付货币 （例如美元）</t>
  </si>
  <si>
    <t>支付条款（例如发票开具日期30天内）</t>
  </si>
  <si>
    <t>占采购总金额比例</t>
  </si>
  <si>
    <t>占关联采购总金额比例</t>
  </si>
  <si>
    <t>关联供应商</t>
  </si>
  <si>
    <t>境外关联采购</t>
  </si>
  <si>
    <t xml:space="preserve"> </t>
  </si>
  <si>
    <t>境外关联采购小计</t>
  </si>
  <si>
    <t>境内关联采购</t>
  </si>
  <si>
    <t>山东电子</t>
  </si>
  <si>
    <t>山东新能源</t>
  </si>
  <si>
    <t>境内关联采购小计</t>
  </si>
  <si>
    <t>关联采购小计</t>
  </si>
  <si>
    <t>非关联供应商</t>
  </si>
  <si>
    <t>境外非关联采购</t>
  </si>
  <si>
    <t>LG Energy Solution, LTD.</t>
  </si>
  <si>
    <t>原材料</t>
  </si>
  <si>
    <t>款到发货</t>
  </si>
  <si>
    <t>YUAN WEN SHING INDUSTRIES CORP</t>
  </si>
  <si>
    <t>迈特国际有限公司</t>
  </si>
  <si>
    <t>预付50%，尾款50%货到票到月结90天</t>
  </si>
  <si>
    <t>TOYOMURA ELECTRONICS(HK) CO.,LTD</t>
  </si>
  <si>
    <t>预付30%，余款发货前付清</t>
  </si>
  <si>
    <t>Quick Circuit</t>
  </si>
  <si>
    <t>境外非关联采购小计</t>
  </si>
  <si>
    <t>境内非关联采购</t>
  </si>
  <si>
    <t>松下电器机电（中国）有限公司(RMB)</t>
  </si>
  <si>
    <t>货到票到合格验收后月结30天</t>
  </si>
  <si>
    <t>爱尔集新能源（南京）有限公司</t>
  </si>
  <si>
    <t>货到票到合格验收后月结90天</t>
  </si>
  <si>
    <t>瑞浦兰钧能源股份有限公司</t>
  </si>
  <si>
    <t>货到票到合格验收后月结45天</t>
  </si>
  <si>
    <t>友尚电子 (上海)有限公司</t>
  </si>
  <si>
    <t>中银（宁波）电池有限公司</t>
  </si>
  <si>
    <t>发货30天付款</t>
  </si>
  <si>
    <t>境内非关联采购小计</t>
  </si>
  <si>
    <t>非关联采购小计</t>
  </si>
  <si>
    <t>请贵公司提供截至2023年12月31日贵公司的关联劳务交易详情。</t>
    <phoneticPr fontId="75" type="noConversion"/>
  </si>
  <si>
    <r>
      <t>PYTES (VIET NAM) ENERGY CO.</t>
    </r>
    <r>
      <rPr>
        <sz val="10"/>
        <rFont val="宋体"/>
        <family val="1"/>
        <charset val="134"/>
      </rPr>
      <t>，</t>
    </r>
    <r>
      <rPr>
        <sz val="10"/>
        <rFont val="Times New Roman"/>
        <family val="1"/>
      </rPr>
      <t>LTD</t>
    </r>
    <phoneticPr fontId="75" type="noConversion"/>
  </si>
  <si>
    <t>PYTES B.V.</t>
    <phoneticPr fontId="75" type="noConversion"/>
  </si>
  <si>
    <t>PYTES (SINGAPORE) ENERGY PTE. LTD.</t>
    <phoneticPr fontId="75" type="noConversion"/>
  </si>
  <si>
    <r>
      <t>PYTES (USA) Energy</t>
    </r>
    <r>
      <rPr>
        <sz val="10"/>
        <rFont val="宋体"/>
        <family val="1"/>
        <charset val="134"/>
      </rPr>
      <t>，</t>
    </r>
    <r>
      <rPr>
        <sz val="10"/>
        <rFont val="Times New Roman"/>
        <family val="1"/>
      </rPr>
      <t>Inc</t>
    </r>
    <phoneticPr fontId="75" type="noConversion"/>
  </si>
  <si>
    <t>电子设备</t>
    <phoneticPr fontId="75" type="noConversion"/>
  </si>
  <si>
    <t>其他，其他，电子设备</t>
    <phoneticPr fontId="75" type="noConversion"/>
  </si>
  <si>
    <t>其他，其他</t>
    <phoneticPr fontId="75" type="noConversion"/>
  </si>
  <si>
    <t>山东派智电子有限公司</t>
    <phoneticPr fontId="75" type="noConversion"/>
  </si>
  <si>
    <t>其他,其他,机械机器设备,器具工具家具,电子设备</t>
    <phoneticPr fontId="75" type="noConversion"/>
  </si>
  <si>
    <t>其他,其他,电子设备</t>
    <phoneticPr fontId="75" type="noConversion"/>
  </si>
  <si>
    <t>山东派智新能源科技有限公司</t>
    <phoneticPr fontId="75" type="noConversion"/>
  </si>
  <si>
    <t>上海能勤网络科技有限公司</t>
    <phoneticPr fontId="75" type="noConversion"/>
  </si>
  <si>
    <r>
      <rPr>
        <sz val="10"/>
        <rFont val="宋体"/>
        <family val="1"/>
        <charset val="134"/>
      </rPr>
      <t>其他</t>
    </r>
    <r>
      <rPr>
        <sz val="10"/>
        <rFont val="Times New Roman"/>
        <family val="1"/>
      </rPr>
      <t>,</t>
    </r>
    <r>
      <rPr>
        <sz val="10"/>
        <rFont val="宋体"/>
        <family val="1"/>
        <charset val="134"/>
      </rPr>
      <t>其他</t>
    </r>
    <r>
      <rPr>
        <sz val="10"/>
        <rFont val="Times New Roman"/>
        <family val="1"/>
      </rPr>
      <t>,</t>
    </r>
    <r>
      <rPr>
        <sz val="10"/>
        <rFont val="宋体"/>
        <family val="1"/>
        <charset val="134"/>
      </rPr>
      <t>机械机器设备</t>
    </r>
    <r>
      <rPr>
        <sz val="10"/>
        <rFont val="Times New Roman"/>
        <family val="1"/>
      </rPr>
      <t>,</t>
    </r>
    <r>
      <rPr>
        <sz val="10"/>
        <rFont val="宋体"/>
        <family val="1"/>
        <charset val="134"/>
      </rPr>
      <t>电子设备</t>
    </r>
    <phoneticPr fontId="75" type="noConversion"/>
  </si>
  <si>
    <t>其他</t>
    <phoneticPr fontId="75" type="noConversion"/>
  </si>
  <si>
    <t>资产减值损失</t>
    <phoneticPr fontId="75" type="noConversion"/>
  </si>
  <si>
    <t>g</t>
    <phoneticPr fontId="75" type="noConversion"/>
  </si>
  <si>
    <t>h = a-b-c-e-f-g</t>
    <phoneticPr fontId="75" type="noConversion"/>
  </si>
  <si>
    <t>i = b+c+e+f+g</t>
    <phoneticPr fontId="75" type="noConversion"/>
  </si>
  <si>
    <t>j= h/i</t>
    <phoneticPr fontId="75" type="noConversion"/>
  </si>
  <si>
    <t>公式</t>
  </si>
  <si>
    <t>2023
(销售业务)
报告版本</t>
  </si>
  <si>
    <t>2023
(汇缴利润表)</t>
  </si>
  <si>
    <t>营业成本特调
(工、费)</t>
  </si>
  <si>
    <t>调整后2023年</t>
  </si>
  <si>
    <t>2022
(汇缴利润表)</t>
  </si>
  <si>
    <t>变动率</t>
  </si>
  <si>
    <t>其他业务</t>
  </si>
  <si>
    <t>[A]</t>
  </si>
  <si>
    <t>营业成本</t>
  </si>
  <si>
    <t>[B]</t>
  </si>
  <si>
    <t>其中：原材料</t>
  </si>
  <si>
    <t xml:space="preserve">    人工</t>
  </si>
  <si>
    <t xml:space="preserve">   费用</t>
  </si>
  <si>
    <t>[C]</t>
  </si>
  <si>
    <t>销售费用</t>
  </si>
  <si>
    <t>[D]</t>
  </si>
  <si>
    <t>管理费用</t>
  </si>
  <si>
    <t>[E]</t>
  </si>
  <si>
    <t>资产损失</t>
  </si>
  <si>
    <t>[F]</t>
  </si>
  <si>
    <t>[G]=[B]+[C]+[D]+[E]+[F]</t>
  </si>
  <si>
    <t>[H]=[A]-[G]</t>
  </si>
  <si>
    <t>息税前利润率</t>
  </si>
  <si>
    <t>[I]=[H]/[A]</t>
  </si>
  <si>
    <t>[J]=[H]/[F]</t>
  </si>
  <si>
    <t>毛利</t>
  </si>
  <si>
    <t>[K]=[A]-[B]</t>
  </si>
  <si>
    <t>贝里比率</t>
  </si>
  <si>
    <t>[L]=[K]/([D]+[E])</t>
  </si>
  <si>
    <t>成本加成</t>
  </si>
  <si>
    <t>加成率=A/B-1</t>
  </si>
  <si>
    <t>营业收入</t>
  </si>
  <si>
    <t>营业税金及附加</t>
  </si>
  <si>
    <t>总成本</t>
  </si>
  <si>
    <t>息税前利润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</si>
</sst>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76" formatCode="_-* #,##0.00_-;\-* #,##0.00_-;_-* &quot;-&quot;??_-;_-@_-"/>
    <numFmt numFmtId="177" formatCode="_(* #,##0.00_);_(* \(#,##0.00\);_(* &quot;-&quot;??_);_(@_)"/>
    <numFmt numFmtId="178" formatCode="0.0%"/>
    <numFmt numFmtId="179" formatCode="0.00_ "/>
    <numFmt numFmtId="184" formatCode="_([$€-2]* #,##0.00_);_([$€-2]* \(#,##0.00\);_([$€-2]* &quot;-&quot;??_)"/>
    <numFmt numFmtId="185" formatCode="0_);[Red]\(0\)"/>
  </numFmts>
  <fonts count="102">
    <font>
      <sz val="12"/>
      <name val="宋体"/>
      <charset val="134"/>
    </font>
    <font>
      <sz val="11"/>
      <color theme="1"/>
      <name val="Arial"/>
      <family val="2"/>
    </font>
    <font>
      <b/>
      <sz val="11"/>
      <color rgb="FFFFFFFF"/>
      <name val="Arial"/>
      <family val="2"/>
    </font>
    <font>
      <b/>
      <sz val="11"/>
      <color rgb="FFFFFFFF"/>
      <name val="宋体"/>
      <family val="3"/>
      <charset val="134"/>
    </font>
    <font>
      <sz val="11"/>
      <color rgb="FF000000"/>
      <name val="Arial"/>
      <family val="2"/>
    </font>
    <font>
      <sz val="11"/>
      <name val="Arial"/>
      <family val="2"/>
    </font>
    <font>
      <sz val="11"/>
      <color theme="1"/>
      <name val="宋体"/>
      <family val="3"/>
      <charset val="134"/>
    </font>
    <font>
      <sz val="10"/>
      <name val="Times New Roman"/>
      <family val="1"/>
    </font>
    <font>
      <sz val="10"/>
      <name val="宋体"/>
      <family val="3"/>
      <charset val="134"/>
    </font>
    <font>
      <b/>
      <sz val="10"/>
      <name val="Times New Roman"/>
      <family val="1"/>
    </font>
    <font>
      <b/>
      <sz val="11"/>
      <color rgb="FFFFFFFF"/>
      <name val="仿宋_GB2312"/>
      <charset val="134"/>
    </font>
    <font>
      <b/>
      <sz val="11"/>
      <color rgb="FFFFFFFF"/>
      <name val="Arial Narrow"/>
      <family val="2"/>
    </font>
    <font>
      <sz val="11"/>
      <name val="仿宋_GB2312"/>
      <charset val="134"/>
    </font>
    <font>
      <sz val="11"/>
      <name val="Arial Narrow"/>
      <family val="2"/>
    </font>
    <font>
      <b/>
      <sz val="11"/>
      <name val="仿宋_GB2312"/>
      <charset val="134"/>
    </font>
    <font>
      <b/>
      <sz val="11"/>
      <name val="Arial Narrow"/>
      <family val="2"/>
    </font>
    <font>
      <sz val="11"/>
      <color rgb="FF000000"/>
      <name val="仿宋_GB2312"/>
      <charset val="134"/>
    </font>
    <font>
      <sz val="11"/>
      <color rgb="FF000000"/>
      <name val="Arial Narrow"/>
      <family val="2"/>
    </font>
    <font>
      <b/>
      <sz val="11"/>
      <color rgb="FF000000"/>
      <name val="仿宋_GB2312"/>
      <charset val="134"/>
    </font>
    <font>
      <b/>
      <sz val="11"/>
      <color rgb="FF000000"/>
      <name val="Arial Narrow"/>
      <family val="2"/>
    </font>
    <font>
      <sz val="11"/>
      <color rgb="FFFF0000"/>
      <name val="Arial"/>
      <family val="2"/>
    </font>
    <font>
      <sz val="12"/>
      <name val="宋体"/>
      <family val="3"/>
      <charset val="134"/>
    </font>
    <font>
      <sz val="11"/>
      <color indexed="8"/>
      <name val="宋体"/>
      <family val="3"/>
      <charset val="134"/>
    </font>
    <font>
      <b/>
      <sz val="10"/>
      <color rgb="FF000000"/>
      <name val="微软雅黑"/>
      <family val="2"/>
      <charset val="134"/>
    </font>
    <font>
      <sz val="10"/>
      <name val="微软雅黑"/>
      <family val="2"/>
      <charset val="134"/>
    </font>
    <font>
      <b/>
      <sz val="10"/>
      <name val="微软雅黑"/>
      <family val="2"/>
      <charset val="134"/>
    </font>
    <font>
      <sz val="11"/>
      <name val="微软雅黑"/>
      <family val="2"/>
      <charset val="134"/>
    </font>
    <font>
      <sz val="12"/>
      <name val="微软雅黑"/>
      <family val="2"/>
      <charset val="134"/>
    </font>
    <font>
      <b/>
      <sz val="10"/>
      <color theme="0"/>
      <name val="微软雅黑"/>
      <family val="2"/>
      <charset val="134"/>
    </font>
    <font>
      <b/>
      <sz val="12"/>
      <color theme="0"/>
      <name val="微软雅黑"/>
      <family val="2"/>
      <charset val="134"/>
    </font>
    <font>
      <sz val="10"/>
      <color indexed="8"/>
      <name val="宋体"/>
      <family val="3"/>
      <charset val="134"/>
    </font>
    <font>
      <sz val="10"/>
      <color indexed="8"/>
      <name val="Times New Roman"/>
      <family val="1"/>
    </font>
    <font>
      <sz val="10"/>
      <color rgb="FF000000"/>
      <name val="宋体"/>
      <family val="3"/>
      <charset val="134"/>
    </font>
    <font>
      <b/>
      <sz val="10"/>
      <color indexed="8"/>
      <name val="宋体"/>
      <family val="3"/>
      <charset val="134"/>
    </font>
    <font>
      <b/>
      <sz val="10"/>
      <color indexed="8"/>
      <name val="Times New Roman"/>
      <family val="1"/>
    </font>
    <font>
      <b/>
      <sz val="12"/>
      <name val="宋体"/>
      <family val="3"/>
      <charset val="134"/>
    </font>
    <font>
      <sz val="12"/>
      <name val="Times New Roman"/>
      <family val="1"/>
    </font>
    <font>
      <sz val="11"/>
      <name val="Times New Roman"/>
      <family val="1"/>
    </font>
    <font>
      <b/>
      <sz val="12"/>
      <color rgb="FF000000"/>
      <name val="华文楷体"/>
      <family val="3"/>
      <charset val="134"/>
    </font>
    <font>
      <b/>
      <sz val="12"/>
      <color rgb="FF000000"/>
      <name val="Times New Roman"/>
      <family val="1"/>
    </font>
    <font>
      <b/>
      <sz val="12"/>
      <color rgb="FFFF0000"/>
      <name val="宋体"/>
      <family val="3"/>
      <charset val="134"/>
    </font>
    <font>
      <b/>
      <sz val="12"/>
      <name val="Times New Roman"/>
      <family val="1"/>
    </font>
    <font>
      <sz val="12"/>
      <color rgb="FFFF0000"/>
      <name val="Times New Roman"/>
      <family val="1"/>
    </font>
    <font>
      <b/>
      <sz val="10"/>
      <color theme="0"/>
      <name val="Times New Roman"/>
      <family val="1"/>
    </font>
    <font>
      <sz val="9"/>
      <color theme="0"/>
      <name val="Times New Roman"/>
      <family val="1"/>
    </font>
    <font>
      <b/>
      <sz val="10"/>
      <color theme="0"/>
      <name val="华文楷体"/>
      <family val="3"/>
      <charset val="134"/>
    </font>
    <font>
      <i/>
      <sz val="10"/>
      <color rgb="FFFF0000"/>
      <name val="Arial"/>
      <family val="2"/>
    </font>
    <font>
      <sz val="10"/>
      <color rgb="FFFF0000"/>
      <name val="宋体"/>
      <family val="3"/>
      <charset val="134"/>
    </font>
    <font>
      <sz val="12"/>
      <name val="华文楷体"/>
      <family val="3"/>
      <charset val="134"/>
    </font>
    <font>
      <sz val="10"/>
      <name val="华文楷体"/>
      <family val="3"/>
      <charset val="134"/>
    </font>
    <font>
      <b/>
      <sz val="12"/>
      <name val="华文楷体"/>
      <family val="3"/>
      <charset val="134"/>
    </font>
    <font>
      <sz val="11"/>
      <color rgb="FFFF0000"/>
      <name val="Times New Roman"/>
      <family val="1"/>
    </font>
    <font>
      <sz val="11"/>
      <color indexed="8"/>
      <name val="Times New Roman"/>
      <family val="1"/>
    </font>
    <font>
      <b/>
      <sz val="10"/>
      <color rgb="FF000000"/>
      <name val="华文楷体"/>
      <family val="3"/>
      <charset val="134"/>
    </font>
    <font>
      <b/>
      <sz val="10"/>
      <name val="华文楷体"/>
      <family val="3"/>
      <charset val="134"/>
    </font>
    <font>
      <sz val="11"/>
      <color theme="1"/>
      <name val="Times New Roman"/>
      <family val="1"/>
    </font>
    <font>
      <sz val="11"/>
      <color theme="1"/>
      <name val="华文楷体"/>
      <family val="3"/>
      <charset val="134"/>
    </font>
    <font>
      <b/>
      <sz val="11"/>
      <color theme="1"/>
      <name val="Times New Roman"/>
      <family val="1"/>
    </font>
    <font>
      <b/>
      <sz val="12"/>
      <color theme="1"/>
      <name val="Times New Roman"/>
      <family val="1"/>
    </font>
    <font>
      <b/>
      <sz val="11"/>
      <color theme="1"/>
      <name val="华文楷体"/>
      <family val="3"/>
      <charset val="134"/>
    </font>
    <font>
      <sz val="11"/>
      <color theme="1"/>
      <name val="等线"/>
      <family val="3"/>
      <charset val="134"/>
    </font>
    <font>
      <sz val="12"/>
      <color rgb="FFFF0000"/>
      <name val="宋体"/>
      <family val="3"/>
      <charset val="134"/>
    </font>
    <font>
      <b/>
      <sz val="11"/>
      <color indexed="9"/>
      <name val="Times New Roman"/>
      <family val="1"/>
    </font>
    <font>
      <sz val="11"/>
      <color indexed="8"/>
      <name val="华文楷体"/>
      <family val="3"/>
      <charset val="134"/>
    </font>
    <font>
      <sz val="11"/>
      <name val="Wingdings"/>
      <charset val="2"/>
    </font>
    <font>
      <sz val="10"/>
      <name val="Arial"/>
      <family val="2"/>
    </font>
    <font>
      <sz val="9"/>
      <name val="Times New Roman"/>
      <family val="1"/>
    </font>
    <font>
      <sz val="11"/>
      <color theme="1"/>
      <name val="宋体"/>
      <family val="3"/>
      <charset val="134"/>
      <scheme val="minor"/>
    </font>
    <font>
      <sz val="11"/>
      <color indexed="8"/>
      <name val="Calibri"/>
      <family val="2"/>
    </font>
    <font>
      <b/>
      <sz val="11"/>
      <color rgb="FFFFFFFF"/>
      <name val="微软雅黑"/>
      <family val="2"/>
      <charset val="134"/>
    </font>
    <font>
      <sz val="11"/>
      <color rgb="FF000000"/>
      <name val="微软雅黑"/>
      <family val="2"/>
      <charset val="134"/>
    </font>
    <font>
      <b/>
      <sz val="11"/>
      <color indexed="9"/>
      <name val="华文楷体"/>
      <family val="3"/>
      <charset val="134"/>
    </font>
    <font>
      <b/>
      <sz val="10"/>
      <color theme="0"/>
      <name val="宋体"/>
      <family val="3"/>
      <charset val="134"/>
    </font>
    <font>
      <sz val="12"/>
      <color rgb="FFFF0000"/>
      <name val="华文楷体"/>
      <family val="3"/>
      <charset val="134"/>
    </font>
    <font>
      <b/>
      <sz val="11"/>
      <color indexed="8"/>
      <name val="华文楷体"/>
      <family val="3"/>
      <charset val="134"/>
    </font>
    <font>
      <sz val="9"/>
      <name val="宋体"/>
      <family val="3"/>
      <charset val="134"/>
    </font>
    <font>
      <sz val="10"/>
      <name val="Verdana"/>
      <family val="2"/>
    </font>
    <font>
      <sz val="10"/>
      <color rgb="FFFF0000"/>
      <name val="微软雅黑"/>
      <family val="2"/>
      <charset val="134"/>
    </font>
    <font>
      <sz val="10"/>
      <color theme="1"/>
      <name val="微软雅黑"/>
      <family val="2"/>
      <charset val="134"/>
    </font>
    <font>
      <sz val="12"/>
      <name val="Wingdings"/>
      <family val="3"/>
      <charset val="2"/>
    </font>
    <font>
      <sz val="10"/>
      <color theme="0"/>
      <name val="微软雅黑"/>
      <family val="2"/>
      <charset val="134"/>
    </font>
    <font>
      <sz val="10"/>
      <color indexed="8"/>
      <name val="微软雅黑"/>
      <family val="2"/>
      <charset val="134"/>
    </font>
    <font>
      <sz val="10"/>
      <color indexed="9"/>
      <name val="微软雅黑"/>
      <family val="2"/>
      <charset val="134"/>
    </font>
    <font>
      <sz val="13"/>
      <color rgb="FF404040"/>
      <name val="宋体"/>
      <family val="3"/>
      <charset val="134"/>
      <scheme val="minor"/>
    </font>
    <font>
      <sz val="10"/>
      <name val="宋体"/>
      <family val="1"/>
      <charset val="134"/>
    </font>
    <font>
      <sz val="10"/>
      <name val="Times New Roman"/>
      <family val="1"/>
      <charset val="134"/>
    </font>
    <font>
      <sz val="11"/>
      <color rgb="FF000000"/>
      <name val="宋体"/>
      <family val="2"/>
      <charset val="134"/>
    </font>
    <font>
      <b/>
      <sz val="11"/>
      <color rgb="FFFFFFFF"/>
      <name val="Times New Roman"/>
      <family val="1"/>
    </font>
    <font>
      <b/>
      <sz val="11"/>
      <color rgb="FFFFFFFF"/>
      <name val="仿宋"/>
      <family val="3"/>
      <charset val="134"/>
    </font>
    <font>
      <sz val="10"/>
      <color theme="1"/>
      <name val="宋体"/>
      <family val="3"/>
      <charset val="134"/>
      <scheme val="minor"/>
    </font>
    <font>
      <sz val="11"/>
      <color rgb="FF000000"/>
      <name val="Times New Roman"/>
      <family val="1"/>
    </font>
    <font>
      <sz val="11"/>
      <color rgb="FF000000"/>
      <name val="仿宋"/>
      <family val="3"/>
      <charset val="134"/>
    </font>
    <font>
      <i/>
      <sz val="10"/>
      <color rgb="FF000000"/>
      <name val="仿宋"/>
      <family val="3"/>
      <charset val="134"/>
    </font>
    <font>
      <b/>
      <sz val="11"/>
      <color rgb="FF000000"/>
      <name val="仿宋"/>
      <family val="3"/>
      <charset val="134"/>
    </font>
    <font>
      <b/>
      <sz val="9"/>
      <name val="宋体"/>
      <family val="3"/>
      <charset val="134"/>
    </font>
    <font>
      <sz val="10"/>
      <color rgb="FF000000"/>
      <name val="等线"/>
      <family val="3"/>
      <charset val="134"/>
    </font>
    <font>
      <b/>
      <sz val="11"/>
      <color rgb="FF000000"/>
      <name val="等线"/>
      <family val="3"/>
      <charset val="134"/>
    </font>
    <font>
      <sz val="11"/>
      <color rgb="FF000000"/>
      <name val="等线"/>
      <family val="3"/>
      <charset val="134"/>
    </font>
    <font>
      <sz val="10"/>
      <color rgb="FF000000"/>
      <name val="Times New Roman"/>
      <family val="1"/>
    </font>
    <font>
      <i/>
      <sz val="11"/>
      <color rgb="FF000000"/>
      <name val="Times New Roman"/>
      <family val="1"/>
    </font>
    <font>
      <sz val="11"/>
      <name val="等线"/>
      <family val="3"/>
      <charset val="134"/>
    </font>
    <font>
      <b/>
      <sz val="11"/>
      <color rgb="FF000000"/>
      <name val="Times New Roman"/>
      <family val="1"/>
    </font>
  </fonts>
  <fills count="18">
    <fill>
      <patternFill patternType="none"/>
    </fill>
    <fill>
      <patternFill patternType="gray125"/>
    </fill>
    <fill>
      <patternFill patternType="solid">
        <fgColor theme="8" tint="-0.499984740745262"/>
        <bgColor indexed="64"/>
      </patternFill>
    </fill>
    <fill>
      <patternFill patternType="solid">
        <fgColor theme="9"/>
        <bgColor indexed="64"/>
      </patternFill>
    </fill>
    <fill>
      <patternFill patternType="solid">
        <fgColor rgb="FF00A7E1"/>
        <bgColor indexed="64"/>
      </patternFill>
    </fill>
    <fill>
      <patternFill patternType="solid">
        <fgColor theme="0"/>
        <bgColor indexed="64"/>
      </patternFill>
    </fill>
    <fill>
      <patternFill patternType="solid">
        <fgColor theme="2" tint="-0.14990691854609822"/>
        <bgColor indexed="64"/>
      </patternFill>
    </fill>
    <fill>
      <patternFill patternType="solid">
        <fgColor rgb="FF002060"/>
        <bgColor indexed="64"/>
      </patternFill>
    </fill>
    <fill>
      <patternFill patternType="solid">
        <fgColor theme="0" tint="-0.14996795556505021"/>
        <bgColor indexed="64"/>
      </patternFill>
    </fill>
    <fill>
      <patternFill patternType="solid">
        <fgColor theme="0" tint="-0.14993743705557422"/>
        <bgColor indexed="64"/>
      </patternFill>
    </fill>
    <fill>
      <patternFill patternType="solid">
        <fgColor theme="9" tint="0.79992065187536243"/>
        <bgColor indexed="64"/>
      </patternFill>
    </fill>
    <fill>
      <patternFill patternType="solid">
        <fgColor theme="0" tint="-0.14990691854609822"/>
        <bgColor indexed="64"/>
      </patternFill>
    </fill>
    <fill>
      <patternFill patternType="solid">
        <fgColor rgb="FFFFFF00"/>
        <bgColor indexed="64"/>
      </patternFill>
    </fill>
    <fill>
      <patternFill patternType="solid">
        <fgColor theme="2" tint="-0.249977111117893"/>
        <bgColor indexed="64"/>
      </patternFill>
    </fill>
    <fill>
      <patternFill patternType="solid">
        <fgColor rgb="FFFFFFFF"/>
        <bgColor indexed="64"/>
      </patternFill>
    </fill>
    <fill>
      <patternFill patternType="solid">
        <fgColor theme="2" tint="-0.1498458815271462"/>
        <bgColor indexed="64"/>
      </patternFill>
    </fill>
    <fill>
      <patternFill patternType="solid">
        <fgColor rgb="FF002060"/>
        <bgColor rgb="FF000000"/>
      </patternFill>
    </fill>
    <fill>
      <patternFill patternType="solid">
        <fgColor rgb="FFC00000"/>
        <bgColor rgb="FF000000"/>
      </patternFill>
    </fill>
  </fills>
  <borders count="4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medium">
        <color rgb="FF3C8A2E"/>
      </left>
      <right/>
      <top style="medium">
        <color rgb="FF3C8A2E"/>
      </top>
      <bottom style="medium">
        <color rgb="FF3C8A2E"/>
      </bottom>
      <diagonal/>
    </border>
    <border>
      <left style="medium">
        <color auto="1"/>
      </left>
      <right/>
      <top style="medium">
        <color rgb="FF3C8A2E"/>
      </top>
      <bottom/>
      <diagonal/>
    </border>
    <border>
      <left style="medium">
        <color auto="1"/>
      </left>
      <right style="medium">
        <color rgb="FF3C8A2E"/>
      </right>
      <top style="medium">
        <color rgb="FF3C8A2E"/>
      </top>
      <bottom/>
      <diagonal/>
    </border>
    <border>
      <left style="medium">
        <color auto="1"/>
      </left>
      <right/>
      <top/>
      <bottom style="medium">
        <color rgb="FF3C8A2E"/>
      </bottom>
      <diagonal/>
    </border>
    <border>
      <left style="medium">
        <color auto="1"/>
      </left>
      <right style="medium">
        <color rgb="FF3C8A2E"/>
      </right>
      <top/>
      <bottom style="medium">
        <color rgb="FF3C8A2E"/>
      </bottom>
      <diagonal/>
    </border>
    <border>
      <left style="medium">
        <color auto="1"/>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double">
        <color auto="1"/>
      </bottom>
      <diagonal/>
    </border>
    <border>
      <left/>
      <right style="thin">
        <color auto="1"/>
      </right>
      <top/>
      <bottom style="thin">
        <color auto="1"/>
      </bottom>
      <diagonal/>
    </border>
    <border>
      <left style="thin">
        <color auto="1"/>
      </left>
      <right style="thin">
        <color auto="1"/>
      </right>
      <top style="double">
        <color auto="1"/>
      </top>
      <bottom style="thin">
        <color auto="1"/>
      </bottom>
      <diagonal/>
    </border>
    <border>
      <left style="thin">
        <color auto="1"/>
      </left>
      <right/>
      <top style="thin">
        <color auto="1"/>
      </top>
      <bottom style="double">
        <color auto="1"/>
      </bottom>
      <diagonal/>
    </border>
    <border>
      <left style="medium">
        <color auto="1"/>
      </left>
      <right style="thin">
        <color auto="1"/>
      </right>
      <top/>
      <bottom/>
      <diagonal/>
    </border>
    <border>
      <left style="medium">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top style="thin">
        <color auto="1"/>
      </top>
      <bottom style="thin">
        <color rgb="FF000000"/>
      </bottom>
      <diagonal/>
    </border>
    <border>
      <left/>
      <right style="thin">
        <color auto="1"/>
      </right>
      <top style="thin">
        <color auto="1"/>
      </top>
      <bottom style="thin">
        <color rgb="FF000000"/>
      </bottom>
      <diagonal/>
    </border>
    <border>
      <left/>
      <right style="thin">
        <color auto="1"/>
      </right>
      <top style="thin">
        <color auto="1"/>
      </top>
      <bottom/>
      <diagonal/>
    </border>
    <border>
      <left/>
      <right/>
      <top style="thin">
        <color rgb="FF000000"/>
      </top>
      <bottom/>
      <diagonal/>
    </border>
    <border>
      <left/>
      <right/>
      <top/>
      <bottom style="thin">
        <color auto="1"/>
      </bottom>
      <diagonal/>
    </border>
    <border>
      <left style="thin">
        <color auto="1"/>
      </left>
      <right style="medium">
        <color auto="1"/>
      </right>
      <top/>
      <bottom/>
      <diagonal/>
    </border>
    <border>
      <left style="thin">
        <color rgb="FFF2F2F2"/>
      </left>
      <right style="thin">
        <color rgb="FFF2F2F2"/>
      </right>
      <top/>
      <bottom style="thin">
        <color rgb="FFF2F2F2"/>
      </bottom>
      <diagonal/>
    </border>
  </borders>
  <cellStyleXfs count="25">
    <xf numFmtId="0" fontId="0" fillId="0" borderId="0">
      <alignment vertical="center"/>
    </xf>
    <xf numFmtId="176" fontId="21" fillId="0" borderId="0" applyFont="0" applyFill="0" applyBorder="0" applyAlignment="0" applyProtection="0"/>
    <xf numFmtId="9" fontId="21" fillId="0" borderId="0" applyFont="0" applyFill="0" applyBorder="0" applyAlignment="0" applyProtection="0">
      <alignment vertical="center"/>
    </xf>
    <xf numFmtId="43" fontId="65" fillId="0" borderId="0" applyFont="0" applyFill="0" applyBorder="0" applyAlignment="0" applyProtection="0">
      <alignment vertical="center"/>
    </xf>
    <xf numFmtId="177" fontId="66" fillId="0" borderId="0" applyFont="0" applyFill="0" applyBorder="0" applyAlignment="0" applyProtection="0">
      <alignment vertical="center"/>
    </xf>
    <xf numFmtId="0" fontId="65" fillId="0" borderId="0"/>
    <xf numFmtId="0" fontId="66" fillId="0" borderId="0">
      <alignment vertical="center"/>
    </xf>
    <xf numFmtId="0" fontId="21" fillId="0" borderId="0">
      <alignment vertical="center"/>
    </xf>
    <xf numFmtId="0" fontId="65" fillId="0" borderId="0"/>
    <xf numFmtId="0" fontId="67" fillId="0" borderId="0"/>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5" fillId="0" borderId="0"/>
    <xf numFmtId="9" fontId="67" fillId="0" borderId="0" applyFont="0" applyFill="0" applyBorder="0" applyAlignment="0" applyProtection="0">
      <alignment vertical="center"/>
    </xf>
    <xf numFmtId="9" fontId="68" fillId="0" borderId="0" applyFont="0" applyFill="0" applyBorder="0" applyAlignment="0" applyProtection="0"/>
    <xf numFmtId="0" fontId="65" fillId="0" borderId="0"/>
    <xf numFmtId="0" fontId="67" fillId="0" borderId="0">
      <alignment vertical="center"/>
    </xf>
    <xf numFmtId="0" fontId="21" fillId="0" borderId="0">
      <alignment vertical="center"/>
    </xf>
    <xf numFmtId="176" fontId="21" fillId="0" borderId="0" applyFont="0" applyFill="0" applyBorder="0" applyAlignment="0" applyProtection="0"/>
    <xf numFmtId="43" fontId="21" fillId="0" borderId="0" applyFont="0" applyFill="0" applyBorder="0" applyAlignment="0" applyProtection="0"/>
    <xf numFmtId="184" fontId="89" fillId="0" borderId="0">
      <alignment vertical="center"/>
    </xf>
    <xf numFmtId="9" fontId="89" fillId="0" borderId="0" applyFont="0" applyFill="0" applyBorder="0" applyAlignment="0" applyProtection="0">
      <alignment vertical="center"/>
    </xf>
  </cellStyleXfs>
  <cellXfs count="392">
    <xf numFmtId="0" fontId="0" fillId="0" borderId="0" xfId="0">
      <alignment vertical="center"/>
    </xf>
    <xf numFmtId="0" fontId="1" fillId="0" borderId="0" xfId="5" applyFont="1" applyAlignment="1">
      <alignment vertical="center"/>
    </xf>
    <xf numFmtId="0" fontId="3" fillId="2" borderId="3" xfId="5" applyFont="1" applyFill="1" applyBorder="1" applyAlignment="1">
      <alignment horizontal="center" vertical="center" wrapText="1"/>
    </xf>
    <xf numFmtId="0" fontId="2" fillId="2" borderId="7" xfId="5" applyFont="1" applyFill="1" applyBorder="1" applyAlignment="1">
      <alignment horizontal="center" vertical="center" wrapText="1"/>
    </xf>
    <xf numFmtId="0" fontId="2" fillId="4" borderId="7" xfId="5" applyFont="1" applyFill="1" applyBorder="1" applyAlignment="1">
      <alignment horizontal="center" vertical="center" wrapText="1"/>
    </xf>
    <xf numFmtId="0" fontId="4" fillId="0" borderId="6" xfId="5" applyFont="1" applyBorder="1" applyAlignment="1">
      <alignment vertical="center" wrapText="1"/>
    </xf>
    <xf numFmtId="0" fontId="4" fillId="0" borderId="7" xfId="5" applyFont="1" applyBorder="1" applyAlignment="1">
      <alignment horizontal="center" vertical="center" wrapText="1"/>
    </xf>
    <xf numFmtId="43" fontId="4" fillId="0" borderId="7" xfId="5" applyNumberFormat="1" applyFont="1" applyBorder="1" applyAlignment="1">
      <alignment horizontal="center" vertical="center" wrapText="1"/>
    </xf>
    <xf numFmtId="43" fontId="4" fillId="0" borderId="7" xfId="5" applyNumberFormat="1" applyFont="1" applyBorder="1" applyAlignment="1">
      <alignment horizontal="right" vertical="center" wrapText="1"/>
    </xf>
    <xf numFmtId="0" fontId="5" fillId="0" borderId="6" xfId="5" applyFont="1" applyBorder="1" applyAlignment="1">
      <alignment vertical="center" wrapText="1"/>
    </xf>
    <xf numFmtId="0" fontId="4" fillId="0" borderId="6" xfId="5" applyFont="1" applyBorder="1" applyAlignment="1">
      <alignment horizontal="left" vertical="center" wrapText="1" indent="2"/>
    </xf>
    <xf numFmtId="0" fontId="5" fillId="0" borderId="7" xfId="5" applyFont="1" applyBorder="1" applyAlignment="1">
      <alignment horizontal="center" vertical="center" wrapText="1"/>
    </xf>
    <xf numFmtId="43" fontId="5" fillId="0" borderId="7" xfId="5" applyNumberFormat="1" applyFont="1" applyBorder="1" applyAlignment="1">
      <alignment horizontal="center" vertical="center" wrapText="1"/>
    </xf>
    <xf numFmtId="0" fontId="5" fillId="0" borderId="8" xfId="5" applyFont="1" applyBorder="1" applyAlignment="1">
      <alignment vertical="center" wrapText="1"/>
    </xf>
    <xf numFmtId="0" fontId="5" fillId="0" borderId="9" xfId="5" applyFont="1" applyBorder="1" applyAlignment="1">
      <alignment horizontal="center" vertical="center" wrapText="1"/>
    </xf>
    <xf numFmtId="10" fontId="5" fillId="0" borderId="9" xfId="2" applyNumberFormat="1" applyFont="1" applyFill="1" applyBorder="1" applyAlignment="1" applyProtection="1">
      <alignment horizontal="right" vertical="center" wrapText="1"/>
    </xf>
    <xf numFmtId="10" fontId="4" fillId="0" borderId="9" xfId="16" applyNumberFormat="1" applyFont="1" applyBorder="1" applyAlignment="1">
      <alignment horizontal="right" vertical="center" wrapText="1"/>
    </xf>
    <xf numFmtId="10" fontId="5" fillId="0" borderId="9" xfId="16" applyNumberFormat="1" applyFont="1" applyBorder="1" applyAlignment="1">
      <alignment horizontal="right" vertical="center" wrapText="1"/>
    </xf>
    <xf numFmtId="0" fontId="1" fillId="0" borderId="0" xfId="5" applyFont="1" applyAlignment="1">
      <alignment horizontal="center" vertical="center"/>
    </xf>
    <xf numFmtId="10" fontId="1" fillId="0" borderId="0" xfId="16" applyNumberFormat="1" applyFont="1">
      <alignment vertical="center"/>
    </xf>
    <xf numFmtId="0" fontId="6" fillId="0" borderId="0" xfId="5" applyFont="1" applyAlignment="1">
      <alignment vertical="center"/>
    </xf>
    <xf numFmtId="0" fontId="7" fillId="5" borderId="7" xfId="13" applyFont="1" applyFill="1" applyBorder="1" applyAlignment="1">
      <alignment horizontal="center" vertical="center"/>
    </xf>
    <xf numFmtId="0" fontId="7" fillId="0" borderId="11" xfId="13" applyFont="1" applyBorder="1">
      <alignment vertical="center"/>
    </xf>
    <xf numFmtId="0" fontId="8" fillId="0" borderId="7" xfId="14" applyFont="1" applyBorder="1" applyAlignment="1">
      <alignment vertical="center" wrapText="1"/>
    </xf>
    <xf numFmtId="176" fontId="7" fillId="0" borderId="7" xfId="1" applyFont="1" applyFill="1" applyBorder="1" applyAlignment="1">
      <alignment vertical="center"/>
    </xf>
    <xf numFmtId="176" fontId="7" fillId="5" borderId="7" xfId="1" applyFont="1" applyFill="1" applyBorder="1" applyAlignment="1">
      <alignment vertical="center"/>
    </xf>
    <xf numFmtId="0" fontId="7" fillId="5" borderId="11" xfId="13" applyFont="1" applyFill="1" applyBorder="1">
      <alignment vertical="center"/>
    </xf>
    <xf numFmtId="0" fontId="7" fillId="5" borderId="7" xfId="14" applyFont="1" applyFill="1" applyBorder="1" applyAlignment="1">
      <alignment vertical="center" wrapText="1"/>
    </xf>
    <xf numFmtId="0" fontId="7" fillId="5" borderId="7" xfId="13" applyFont="1" applyFill="1" applyBorder="1">
      <alignment vertical="center"/>
    </xf>
    <xf numFmtId="0" fontId="7" fillId="6" borderId="7" xfId="13" applyFont="1" applyFill="1" applyBorder="1">
      <alignment vertical="center"/>
    </xf>
    <xf numFmtId="0" fontId="7" fillId="6" borderId="11" xfId="13" applyFont="1" applyFill="1" applyBorder="1">
      <alignment vertical="center"/>
    </xf>
    <xf numFmtId="0" fontId="7" fillId="6" borderId="7" xfId="14" applyFont="1" applyFill="1" applyBorder="1" applyAlignment="1">
      <alignment vertical="center" wrapText="1"/>
    </xf>
    <xf numFmtId="176" fontId="7" fillId="6" borderId="7" xfId="1" applyFont="1" applyFill="1" applyBorder="1" applyAlignment="1">
      <alignment vertical="center"/>
    </xf>
    <xf numFmtId="0" fontId="9" fillId="6" borderId="7" xfId="13" applyFont="1" applyFill="1" applyBorder="1">
      <alignment vertical="center"/>
    </xf>
    <xf numFmtId="0" fontId="9" fillId="6" borderId="11" xfId="13" applyFont="1" applyFill="1" applyBorder="1">
      <alignment vertical="center"/>
    </xf>
    <xf numFmtId="0" fontId="10" fillId="7" borderId="15" xfId="0" applyFont="1" applyFill="1" applyBorder="1" applyAlignment="1">
      <alignment horizontal="center" vertical="center" wrapText="1"/>
    </xf>
    <xf numFmtId="0" fontId="10" fillId="7" borderId="16" xfId="0" applyFont="1" applyFill="1" applyBorder="1" applyAlignment="1">
      <alignment horizontal="center" vertical="center" wrapText="1"/>
    </xf>
    <xf numFmtId="0" fontId="11" fillId="7" borderId="17" xfId="0" applyFont="1" applyFill="1" applyBorder="1" applyAlignment="1">
      <alignment horizontal="center" vertical="center" wrapText="1"/>
    </xf>
    <xf numFmtId="0" fontId="11" fillId="7" borderId="18" xfId="0" applyFont="1" applyFill="1" applyBorder="1" applyAlignment="1">
      <alignment horizontal="center" vertical="center" wrapText="1"/>
    </xf>
    <xf numFmtId="0" fontId="12" fillId="0" borderId="19" xfId="0" applyFont="1" applyBorder="1" applyAlignment="1">
      <alignment horizontal="center" vertical="center" wrapText="1"/>
    </xf>
    <xf numFmtId="4" fontId="13" fillId="0" borderId="19" xfId="0" applyNumberFormat="1" applyFont="1" applyBorder="1" applyAlignment="1">
      <alignment horizontal="right" vertical="center" wrapText="1"/>
    </xf>
    <xf numFmtId="0" fontId="13" fillId="0" borderId="19" xfId="0" applyFont="1" applyBorder="1" applyAlignment="1">
      <alignment horizontal="right" vertical="center" wrapText="1"/>
    </xf>
    <xf numFmtId="0" fontId="14" fillId="0" borderId="19" xfId="0" applyFont="1" applyBorder="1" applyAlignment="1">
      <alignment horizontal="center" vertical="center" wrapText="1"/>
    </xf>
    <xf numFmtId="4" fontId="15" fillId="0" borderId="19" xfId="0" applyNumberFormat="1" applyFont="1" applyBorder="1" applyAlignment="1">
      <alignment horizontal="right" vertical="center" wrapText="1"/>
    </xf>
    <xf numFmtId="43" fontId="1" fillId="0" borderId="0" xfId="5" applyNumberFormat="1" applyFont="1" applyAlignment="1">
      <alignment vertical="center"/>
    </xf>
    <xf numFmtId="0" fontId="10" fillId="7" borderId="7" xfId="0" applyFont="1" applyFill="1" applyBorder="1" applyAlignment="1">
      <alignment horizontal="center" vertical="center" wrapText="1"/>
    </xf>
    <xf numFmtId="0" fontId="16" fillId="0" borderId="7" xfId="0" applyFont="1" applyBorder="1" applyAlignment="1">
      <alignment horizontal="center" vertical="center" wrapText="1"/>
    </xf>
    <xf numFmtId="0" fontId="17" fillId="0" borderId="7" xfId="0" applyFont="1" applyBorder="1" applyAlignment="1">
      <alignment horizontal="justify" vertical="center" wrapText="1"/>
    </xf>
    <xf numFmtId="4" fontId="17" fillId="0" borderId="7" xfId="0" applyNumberFormat="1" applyFont="1" applyBorder="1" applyAlignment="1">
      <alignment horizontal="right" vertical="center" wrapText="1"/>
    </xf>
    <xf numFmtId="10" fontId="17" fillId="0" borderId="7" xfId="0" applyNumberFormat="1" applyFont="1" applyBorder="1" applyAlignment="1">
      <alignment horizontal="right" vertical="center" wrapText="1"/>
    </xf>
    <xf numFmtId="4" fontId="19" fillId="0" borderId="7" xfId="0" applyNumberFormat="1" applyFont="1" applyBorder="1" applyAlignment="1">
      <alignment horizontal="right" vertical="center" wrapText="1"/>
    </xf>
    <xf numFmtId="0" fontId="0" fillId="0" borderId="7" xfId="0" applyBorder="1">
      <alignment vertical="center"/>
    </xf>
    <xf numFmtId="0" fontId="16" fillId="0" borderId="7" xfId="0" applyFont="1" applyBorder="1" applyAlignment="1">
      <alignment horizontal="justify" vertical="center" wrapText="1"/>
    </xf>
    <xf numFmtId="4" fontId="17" fillId="0" borderId="7" xfId="0" applyNumberFormat="1" applyFont="1" applyBorder="1" applyAlignment="1">
      <alignment horizontal="right" vertical="center"/>
    </xf>
    <xf numFmtId="0" fontId="2" fillId="4" borderId="2" xfId="5" applyFont="1" applyFill="1" applyBorder="1" applyAlignment="1">
      <alignment horizontal="center" vertical="center" wrapText="1"/>
    </xf>
    <xf numFmtId="10" fontId="1" fillId="0" borderId="21" xfId="16" applyNumberFormat="1" applyFont="1" applyBorder="1">
      <alignment vertical="center"/>
    </xf>
    <xf numFmtId="0" fontId="1" fillId="0" borderId="21" xfId="16" applyNumberFormat="1" applyFont="1" applyBorder="1">
      <alignment vertical="center"/>
    </xf>
    <xf numFmtId="10" fontId="20" fillId="0" borderId="9" xfId="16" applyNumberFormat="1" applyFont="1" applyBorder="1" applyAlignment="1">
      <alignment horizontal="right" vertical="center" wrapText="1"/>
    </xf>
    <xf numFmtId="10" fontId="1" fillId="0" borderId="22" xfId="16" applyNumberFormat="1" applyFont="1" applyBorder="1">
      <alignment vertical="center"/>
    </xf>
    <xf numFmtId="10" fontId="20" fillId="0" borderId="0" xfId="16" applyNumberFormat="1" applyFont="1">
      <alignment vertical="center"/>
    </xf>
    <xf numFmtId="0" fontId="21" fillId="8" borderId="0" xfId="0" applyFont="1" applyFill="1">
      <alignment vertical="center"/>
    </xf>
    <xf numFmtId="0" fontId="22" fillId="0" borderId="0" xfId="19" applyFont="1" applyProtection="1">
      <alignment vertical="center"/>
      <protection locked="0"/>
    </xf>
    <xf numFmtId="0" fontId="0" fillId="0" borderId="0" xfId="19" applyFont="1" applyProtection="1">
      <alignment vertical="center"/>
      <protection locked="0"/>
    </xf>
    <xf numFmtId="0" fontId="23" fillId="5" borderId="0" xfId="0" applyFont="1" applyFill="1">
      <alignment vertical="center"/>
    </xf>
    <xf numFmtId="0" fontId="23" fillId="5" borderId="0" xfId="19" applyFont="1" applyFill="1" applyAlignment="1">
      <alignment horizontal="left" vertical="center"/>
    </xf>
    <xf numFmtId="0" fontId="24" fillId="5" borderId="0" xfId="11" applyFont="1" applyFill="1">
      <alignment vertical="center"/>
    </xf>
    <xf numFmtId="0" fontId="23" fillId="5" borderId="0" xfId="19" applyFont="1" applyFill="1">
      <alignment vertical="center"/>
    </xf>
    <xf numFmtId="0" fontId="25" fillId="5" borderId="0" xfId="19" applyFont="1" applyFill="1" applyAlignment="1">
      <alignment horizontal="left" vertical="center"/>
    </xf>
    <xf numFmtId="0" fontId="26" fillId="5" borderId="0" xfId="11" applyFont="1" applyFill="1" applyAlignment="1">
      <alignment horizontal="left" vertical="center"/>
    </xf>
    <xf numFmtId="0" fontId="27" fillId="5" borderId="0" xfId="11" applyFont="1" applyFill="1" applyAlignment="1">
      <alignment horizontal="left" vertical="center"/>
    </xf>
    <xf numFmtId="0" fontId="24" fillId="5" borderId="0" xfId="11" applyFont="1" applyFill="1" applyAlignment="1">
      <alignment horizontal="left" vertical="center"/>
    </xf>
    <xf numFmtId="0" fontId="24" fillId="5" borderId="0" xfId="11" applyFont="1" applyFill="1" applyAlignment="1">
      <alignment horizontal="left" vertical="center" wrapText="1"/>
    </xf>
    <xf numFmtId="0" fontId="28" fillId="4" borderId="7" xfId="19" applyFont="1" applyFill="1" applyBorder="1" applyAlignment="1" applyProtection="1">
      <alignment horizontal="center" vertical="center" wrapText="1"/>
      <protection locked="0"/>
    </xf>
    <xf numFmtId="0" fontId="29" fillId="4" borderId="7" xfId="19" applyFont="1" applyFill="1" applyBorder="1" applyAlignment="1" applyProtection="1">
      <alignment horizontal="center" vertical="center"/>
      <protection locked="0"/>
    </xf>
    <xf numFmtId="0" fontId="30" fillId="0" borderId="7" xfId="19" applyFont="1" applyBorder="1" applyAlignment="1" applyProtection="1">
      <alignment horizontal="center" vertical="center"/>
      <protection locked="0"/>
    </xf>
    <xf numFmtId="0" fontId="31" fillId="0" borderId="7" xfId="19" applyFont="1" applyBorder="1" applyAlignment="1" applyProtection="1">
      <alignment horizontal="center" vertical="center" wrapText="1"/>
      <protection locked="0"/>
    </xf>
    <xf numFmtId="0" fontId="32" fillId="0" borderId="7" xfId="19" applyFont="1" applyBorder="1" applyAlignment="1" applyProtection="1">
      <alignment horizontal="center" vertical="center" wrapText="1"/>
      <protection locked="0"/>
    </xf>
    <xf numFmtId="10" fontId="31" fillId="5" borderId="7" xfId="2" applyNumberFormat="1" applyFont="1" applyFill="1" applyBorder="1" applyAlignment="1" applyProtection="1">
      <alignment horizontal="center" vertical="center" wrapText="1"/>
    </xf>
    <xf numFmtId="0" fontId="0" fillId="0" borderId="7" xfId="19" applyFont="1" applyBorder="1" applyProtection="1">
      <alignment vertical="center"/>
      <protection locked="0"/>
    </xf>
    <xf numFmtId="0" fontId="30" fillId="0" borderId="7" xfId="19" applyFont="1" applyBorder="1" applyAlignment="1" applyProtection="1">
      <alignment horizontal="center" vertical="center" wrapText="1"/>
      <protection locked="0"/>
    </xf>
    <xf numFmtId="0" fontId="30" fillId="9" borderId="7" xfId="19" applyFont="1" applyFill="1" applyBorder="1" applyAlignment="1" applyProtection="1">
      <alignment horizontal="center" vertical="center"/>
      <protection locked="0"/>
    </xf>
    <xf numFmtId="0" fontId="31" fillId="9" borderId="7" xfId="19" applyFont="1" applyFill="1" applyBorder="1" applyAlignment="1">
      <alignment horizontal="center" vertical="center" wrapText="1"/>
    </xf>
    <xf numFmtId="10" fontId="31" fillId="9" borderId="7" xfId="2" applyNumberFormat="1" applyFont="1" applyFill="1" applyBorder="1" applyAlignment="1" applyProtection="1">
      <alignment horizontal="center" vertical="center" wrapText="1"/>
    </xf>
    <xf numFmtId="0" fontId="0" fillId="9" borderId="7" xfId="19" applyFont="1" applyFill="1" applyBorder="1" applyProtection="1">
      <alignment vertical="center"/>
      <protection locked="0"/>
    </xf>
    <xf numFmtId="0" fontId="30" fillId="0" borderId="25" xfId="19" applyFont="1" applyBorder="1" applyAlignment="1" applyProtection="1">
      <alignment horizontal="center" vertical="center" wrapText="1"/>
      <protection locked="0"/>
    </xf>
    <xf numFmtId="0" fontId="0" fillId="0" borderId="0" xfId="19" applyFont="1">
      <alignment vertical="center"/>
    </xf>
    <xf numFmtId="0" fontId="31" fillId="0" borderId="25" xfId="19" applyFont="1" applyBorder="1" applyAlignment="1" applyProtection="1">
      <alignment horizontal="center" vertical="center" wrapText="1"/>
      <protection locked="0"/>
    </xf>
    <xf numFmtId="0" fontId="31" fillId="9" borderId="7" xfId="19" applyFont="1" applyFill="1" applyBorder="1" applyAlignment="1" applyProtection="1">
      <alignment horizontal="center" vertical="center" wrapText="1"/>
      <protection locked="0"/>
    </xf>
    <xf numFmtId="9" fontId="31" fillId="9" borderId="7" xfId="19" applyNumberFormat="1" applyFont="1" applyFill="1" applyBorder="1" applyAlignment="1" applyProtection="1">
      <alignment horizontal="center" vertical="center"/>
      <protection locked="0"/>
    </xf>
    <xf numFmtId="0" fontId="33" fillId="9" borderId="7" xfId="19" applyFont="1" applyFill="1" applyBorder="1" applyAlignment="1" applyProtection="1">
      <alignment horizontal="center" vertical="center"/>
      <protection locked="0"/>
    </xf>
    <xf numFmtId="0" fontId="34" fillId="9" borderId="7" xfId="19" applyFont="1" applyFill="1" applyBorder="1" applyAlignment="1">
      <alignment horizontal="center" vertical="center" wrapText="1"/>
    </xf>
    <xf numFmtId="10" fontId="34" fillId="9" borderId="7" xfId="2" applyNumberFormat="1" applyFont="1" applyFill="1" applyBorder="1" applyAlignment="1" applyProtection="1">
      <alignment horizontal="center" vertical="center" wrapText="1"/>
    </xf>
    <xf numFmtId="0" fontId="35" fillId="9" borderId="7" xfId="19" applyFont="1" applyFill="1" applyBorder="1" applyProtection="1">
      <alignment vertical="center"/>
      <protection locked="0"/>
    </xf>
    <xf numFmtId="0" fontId="30" fillId="10" borderId="7" xfId="19" applyFont="1" applyFill="1" applyBorder="1" applyAlignment="1" applyProtection="1">
      <alignment horizontal="center" vertical="center"/>
      <protection locked="0"/>
    </xf>
    <xf numFmtId="0" fontId="21" fillId="0" borderId="0" xfId="19" applyFont="1" applyProtection="1">
      <alignment vertical="center"/>
      <protection locked="0"/>
    </xf>
    <xf numFmtId="4" fontId="0" fillId="0" borderId="0" xfId="19" applyNumberFormat="1" applyFont="1" applyProtection="1">
      <alignment vertical="center"/>
      <protection locked="0"/>
    </xf>
    <xf numFmtId="10" fontId="0" fillId="0" borderId="0" xfId="19" applyNumberFormat="1" applyFont="1" applyProtection="1">
      <alignment vertical="center"/>
      <protection locked="0"/>
    </xf>
    <xf numFmtId="0" fontId="36" fillId="5" borderId="0" xfId="14" applyFont="1" applyFill="1">
      <alignment vertical="center"/>
    </xf>
    <xf numFmtId="0" fontId="37" fillId="5" borderId="0" xfId="14" applyFont="1" applyFill="1">
      <alignment vertical="center"/>
    </xf>
    <xf numFmtId="0" fontId="9" fillId="5" borderId="0" xfId="14" applyFont="1" applyFill="1" applyAlignment="1">
      <alignment horizontal="center" vertical="center" wrapText="1"/>
    </xf>
    <xf numFmtId="0" fontId="7" fillId="5" borderId="0" xfId="14" applyFont="1" applyFill="1" applyAlignment="1">
      <alignment horizontal="center" vertical="center"/>
    </xf>
    <xf numFmtId="0" fontId="7" fillId="5" borderId="0" xfId="14" applyFont="1" applyFill="1">
      <alignment vertical="center"/>
    </xf>
    <xf numFmtId="176" fontId="7" fillId="5" borderId="0" xfId="1" applyFont="1" applyFill="1" applyAlignment="1">
      <alignment vertical="center"/>
    </xf>
    <xf numFmtId="0" fontId="38" fillId="5" borderId="0" xfId="0" applyFont="1" applyFill="1">
      <alignment vertical="center"/>
    </xf>
    <xf numFmtId="0" fontId="39" fillId="5" borderId="0" xfId="0" applyFont="1" applyFill="1">
      <alignment vertical="center"/>
    </xf>
    <xf numFmtId="0" fontId="40" fillId="8" borderId="0" xfId="14" applyFont="1" applyFill="1" applyAlignment="1">
      <alignment horizontal="left" vertical="center"/>
    </xf>
    <xf numFmtId="176" fontId="36" fillId="5" borderId="0" xfId="1" applyFont="1" applyFill="1" applyAlignment="1">
      <alignment vertical="center"/>
    </xf>
    <xf numFmtId="0" fontId="41" fillId="5" borderId="0" xfId="0" applyFont="1" applyFill="1" applyAlignment="1">
      <alignment horizontal="left" vertical="center"/>
    </xf>
    <xf numFmtId="0" fontId="41" fillId="5" borderId="0" xfId="14" applyFont="1" applyFill="1" applyAlignment="1">
      <alignment horizontal="left" vertical="center"/>
    </xf>
    <xf numFmtId="0" fontId="36" fillId="5" borderId="0" xfId="14" applyFont="1" applyFill="1" applyAlignment="1">
      <alignment horizontal="left" vertical="center"/>
    </xf>
    <xf numFmtId="0" fontId="43" fillId="7" borderId="7" xfId="14" applyFont="1" applyFill="1" applyBorder="1" applyAlignment="1">
      <alignment horizontal="center" vertical="center" wrapText="1"/>
    </xf>
    <xf numFmtId="176" fontId="45" fillId="7" borderId="7" xfId="1" applyFont="1" applyFill="1" applyBorder="1" applyAlignment="1">
      <alignment horizontal="center" vertical="center" wrapText="1"/>
    </xf>
    <xf numFmtId="178" fontId="7" fillId="5" borderId="7" xfId="2" applyNumberFormat="1" applyFont="1" applyFill="1" applyBorder="1">
      <alignment vertical="center"/>
    </xf>
    <xf numFmtId="0" fontId="7" fillId="5" borderId="7" xfId="14" applyFont="1" applyFill="1" applyBorder="1">
      <alignment vertical="center"/>
    </xf>
    <xf numFmtId="178" fontId="7" fillId="6" borderId="7" xfId="2" applyNumberFormat="1" applyFont="1" applyFill="1" applyBorder="1">
      <alignment vertical="center"/>
    </xf>
    <xf numFmtId="0" fontId="7" fillId="6" borderId="7" xfId="14" applyFont="1" applyFill="1" applyBorder="1">
      <alignment vertical="center"/>
    </xf>
    <xf numFmtId="0" fontId="8" fillId="5" borderId="7" xfId="14" applyFont="1" applyFill="1" applyBorder="1" applyAlignment="1">
      <alignment vertical="center" wrapText="1"/>
    </xf>
    <xf numFmtId="0" fontId="9" fillId="6" borderId="28" xfId="13" applyFont="1" applyFill="1" applyBorder="1" applyAlignment="1">
      <alignment horizontal="left" vertical="center"/>
    </xf>
    <xf numFmtId="0" fontId="7" fillId="6" borderId="29" xfId="13" applyFont="1" applyFill="1" applyBorder="1" applyAlignment="1">
      <alignment horizontal="left" vertical="center"/>
    </xf>
    <xf numFmtId="0" fontId="7" fillId="6" borderId="28" xfId="13" applyFont="1" applyFill="1" applyBorder="1">
      <alignment vertical="center"/>
    </xf>
    <xf numFmtId="176" fontId="7" fillId="6" borderId="28" xfId="1" applyFont="1" applyFill="1" applyBorder="1" applyAlignment="1">
      <alignment vertical="center"/>
    </xf>
    <xf numFmtId="178" fontId="7" fillId="6" borderId="28" xfId="2" applyNumberFormat="1" applyFont="1" applyFill="1" applyBorder="1">
      <alignment vertical="center"/>
    </xf>
    <xf numFmtId="178" fontId="7" fillId="5" borderId="7" xfId="2" applyNumberFormat="1" applyFont="1" applyFill="1" applyBorder="1" applyAlignment="1">
      <alignment vertical="center"/>
    </xf>
    <xf numFmtId="178" fontId="7" fillId="6" borderId="7" xfId="2" applyNumberFormat="1" applyFont="1" applyFill="1" applyBorder="1" applyAlignment="1">
      <alignment vertical="center"/>
    </xf>
    <xf numFmtId="0" fontId="9" fillId="6" borderId="23" xfId="13" applyFont="1" applyFill="1" applyBorder="1" applyAlignment="1">
      <alignment horizontal="left" vertical="center"/>
    </xf>
    <xf numFmtId="0" fontId="9" fillId="6" borderId="29" xfId="13" applyFont="1" applyFill="1" applyBorder="1">
      <alignment vertical="center"/>
    </xf>
    <xf numFmtId="0" fontId="7" fillId="6" borderId="28" xfId="14" applyFont="1" applyFill="1" applyBorder="1" applyAlignment="1">
      <alignment vertical="center" wrapText="1"/>
    </xf>
    <xf numFmtId="178" fontId="7" fillId="6" borderId="28" xfId="2" applyNumberFormat="1" applyFont="1" applyFill="1" applyBorder="1" applyAlignment="1">
      <alignment vertical="center"/>
    </xf>
    <xf numFmtId="0" fontId="7" fillId="6" borderId="28" xfId="14" applyFont="1" applyFill="1" applyBorder="1">
      <alignment vertical="center"/>
    </xf>
    <xf numFmtId="0" fontId="9" fillId="6" borderId="7" xfId="14" applyFont="1" applyFill="1" applyBorder="1" applyAlignment="1">
      <alignment horizontal="left" vertical="center"/>
    </xf>
    <xf numFmtId="0" fontId="9" fillId="6" borderId="30" xfId="14" applyFont="1" applyFill="1" applyBorder="1" applyAlignment="1">
      <alignment horizontal="left" vertical="center"/>
    </xf>
    <xf numFmtId="0" fontId="7" fillId="6" borderId="25" xfId="14" applyFont="1" applyFill="1" applyBorder="1" applyAlignment="1">
      <alignment horizontal="left" vertical="center"/>
    </xf>
    <xf numFmtId="0" fontId="7" fillId="6" borderId="25" xfId="14" applyFont="1" applyFill="1" applyBorder="1" applyAlignment="1">
      <alignment vertical="center" wrapText="1"/>
    </xf>
    <xf numFmtId="176" fontId="7" fillId="6" borderId="31" xfId="1" applyFont="1" applyFill="1" applyBorder="1" applyAlignment="1">
      <alignment vertical="center"/>
    </xf>
    <xf numFmtId="178" fontId="7" fillId="6" borderId="31" xfId="2" applyNumberFormat="1" applyFont="1" applyFill="1" applyBorder="1" applyAlignment="1">
      <alignment vertical="center"/>
    </xf>
    <xf numFmtId="178" fontId="7" fillId="6" borderId="25" xfId="2" applyNumberFormat="1" applyFont="1" applyFill="1" applyBorder="1" applyAlignment="1">
      <alignment vertical="center"/>
    </xf>
    <xf numFmtId="0" fontId="7" fillId="6" borderId="25" xfId="14" applyFont="1" applyFill="1" applyBorder="1">
      <alignment vertical="center"/>
    </xf>
    <xf numFmtId="0" fontId="7" fillId="5" borderId="0" xfId="14" applyFont="1" applyFill="1" applyAlignment="1">
      <alignment vertical="center" wrapText="1"/>
    </xf>
    <xf numFmtId="0" fontId="46" fillId="5" borderId="0" xfId="14" applyFont="1" applyFill="1" applyAlignment="1">
      <alignment horizontal="left" vertical="center"/>
    </xf>
    <xf numFmtId="0" fontId="47" fillId="5" borderId="0" xfId="14" applyFont="1" applyFill="1" applyAlignment="1">
      <alignment horizontal="left" vertical="center"/>
    </xf>
    <xf numFmtId="0" fontId="7" fillId="5" borderId="26" xfId="14" applyFont="1" applyFill="1" applyBorder="1">
      <alignment vertical="center"/>
    </xf>
    <xf numFmtId="43" fontId="7" fillId="5" borderId="0" xfId="14" applyNumberFormat="1" applyFont="1" applyFill="1">
      <alignment vertical="center"/>
    </xf>
    <xf numFmtId="0" fontId="7" fillId="6" borderId="26" xfId="14" applyFont="1" applyFill="1" applyBorder="1">
      <alignment vertical="center"/>
    </xf>
    <xf numFmtId="0" fontId="7" fillId="6" borderId="32" xfId="14" applyFont="1" applyFill="1" applyBorder="1">
      <alignment vertical="center"/>
    </xf>
    <xf numFmtId="0" fontId="7" fillId="6" borderId="13" xfId="14" applyFont="1" applyFill="1" applyBorder="1">
      <alignment vertical="center"/>
    </xf>
    <xf numFmtId="0" fontId="48" fillId="5" borderId="0" xfId="13" applyFont="1" applyFill="1">
      <alignment vertical="center"/>
    </xf>
    <xf numFmtId="0" fontId="49" fillId="5" borderId="0" xfId="13" applyFont="1" applyFill="1" applyAlignment="1">
      <alignment horizontal="center" vertical="center"/>
    </xf>
    <xf numFmtId="0" fontId="49" fillId="5" borderId="0" xfId="13" applyFont="1" applyFill="1">
      <alignment vertical="center"/>
    </xf>
    <xf numFmtId="0" fontId="50" fillId="5" borderId="0" xfId="13" applyFont="1" applyFill="1" applyAlignment="1">
      <alignment horizontal="left" vertical="center"/>
    </xf>
    <xf numFmtId="4" fontId="0" fillId="0" borderId="0" xfId="0" applyNumberFormat="1">
      <alignment vertical="center"/>
    </xf>
    <xf numFmtId="0" fontId="36" fillId="5" borderId="0" xfId="11" applyFont="1" applyFill="1">
      <alignment vertical="center"/>
    </xf>
    <xf numFmtId="0" fontId="37" fillId="5" borderId="0" xfId="11" applyFont="1" applyFill="1" applyAlignment="1">
      <alignment horizontal="center" vertical="center"/>
    </xf>
    <xf numFmtId="0" fontId="37" fillId="5" borderId="0" xfId="11" applyFont="1" applyFill="1">
      <alignment vertical="center"/>
    </xf>
    <xf numFmtId="0" fontId="51" fillId="5" borderId="0" xfId="11" applyFont="1" applyFill="1">
      <alignment vertical="center"/>
    </xf>
    <xf numFmtId="0" fontId="39" fillId="5" borderId="0" xfId="0" applyFont="1" applyFill="1" applyAlignment="1">
      <alignment horizontal="left" vertical="center"/>
    </xf>
    <xf numFmtId="0" fontId="42" fillId="5" borderId="0" xfId="11" applyFont="1" applyFill="1">
      <alignment vertical="center"/>
    </xf>
    <xf numFmtId="0" fontId="21" fillId="0" borderId="0" xfId="0" applyFont="1">
      <alignment vertical="center"/>
    </xf>
    <xf numFmtId="0" fontId="0" fillId="8" borderId="0" xfId="0" applyFill="1">
      <alignment vertical="center"/>
    </xf>
    <xf numFmtId="0" fontId="49" fillId="5" borderId="0" xfId="10" applyFont="1" applyFill="1" applyAlignment="1">
      <alignment horizontal="center" vertical="center"/>
    </xf>
    <xf numFmtId="0" fontId="49" fillId="5" borderId="0" xfId="10" applyFont="1" applyFill="1">
      <alignment vertical="center"/>
    </xf>
    <xf numFmtId="0" fontId="53" fillId="5" borderId="0" xfId="0" applyFont="1" applyFill="1">
      <alignment vertical="center"/>
    </xf>
    <xf numFmtId="0" fontId="37" fillId="5" borderId="0" xfId="5" applyFont="1" applyFill="1"/>
    <xf numFmtId="0" fontId="51" fillId="5" borderId="0" xfId="5" applyFont="1" applyFill="1"/>
    <xf numFmtId="0" fontId="55" fillId="0" borderId="0" xfId="9" applyFont="1" applyAlignment="1">
      <alignment vertical="center"/>
    </xf>
    <xf numFmtId="0" fontId="57" fillId="0" borderId="0" xfId="9" applyFont="1" applyAlignment="1">
      <alignment vertical="center"/>
    </xf>
    <xf numFmtId="0" fontId="57" fillId="0" borderId="0" xfId="9" applyFont="1" applyAlignment="1">
      <alignment horizontal="center" vertical="center"/>
    </xf>
    <xf numFmtId="0" fontId="59" fillId="0" borderId="0" xfId="9" applyFont="1" applyAlignment="1">
      <alignment horizontal="left" vertical="center"/>
    </xf>
    <xf numFmtId="0" fontId="57" fillId="0" borderId="0" xfId="9" applyFont="1" applyAlignment="1">
      <alignment horizontal="left" vertical="center"/>
    </xf>
    <xf numFmtId="0" fontId="55" fillId="0" borderId="0" xfId="9" applyFont="1" applyAlignment="1">
      <alignment horizontal="left" vertical="center" wrapText="1"/>
    </xf>
    <xf numFmtId="0" fontId="60" fillId="0" borderId="0" xfId="9" applyFont="1" applyAlignment="1">
      <alignment horizontal="left" vertical="center" wrapText="1"/>
    </xf>
    <xf numFmtId="0" fontId="6" fillId="0" borderId="0" xfId="9" applyFont="1" applyAlignment="1">
      <alignment horizontal="left" vertical="center" wrapText="1"/>
    </xf>
    <xf numFmtId="0" fontId="61" fillId="0" borderId="0" xfId="0" applyFont="1">
      <alignment vertical="center"/>
    </xf>
    <xf numFmtId="0" fontId="62" fillId="7" borderId="7" xfId="9" applyFont="1" applyFill="1" applyBorder="1" applyAlignment="1">
      <alignment horizontal="center" vertical="center" wrapText="1"/>
    </xf>
    <xf numFmtId="0" fontId="55" fillId="0" borderId="7" xfId="9" applyFont="1" applyBorder="1" applyAlignment="1">
      <alignment horizontal="left" vertical="center" wrapText="1"/>
    </xf>
    <xf numFmtId="0" fontId="52" fillId="0" borderId="23" xfId="9" applyFont="1" applyBorder="1" applyAlignment="1">
      <alignment horizontal="center" vertical="center" wrapText="1"/>
    </xf>
    <xf numFmtId="0" fontId="55" fillId="0" borderId="23" xfId="9" applyFont="1" applyBorder="1" applyAlignment="1">
      <alignment horizontal="center" vertical="center" wrapText="1"/>
    </xf>
    <xf numFmtId="0" fontId="63" fillId="0" borderId="23" xfId="9" applyFont="1" applyBorder="1" applyAlignment="1">
      <alignment horizontal="center" vertical="center" wrapText="1"/>
    </xf>
    <xf numFmtId="0" fontId="55" fillId="0" borderId="7" xfId="9" applyFont="1" applyBorder="1" applyAlignment="1">
      <alignment horizontal="center" vertical="center" wrapText="1"/>
    </xf>
    <xf numFmtId="0" fontId="55" fillId="0" borderId="7" xfId="9" applyFont="1" applyBorder="1" applyAlignment="1">
      <alignment vertical="center"/>
    </xf>
    <xf numFmtId="0" fontId="56" fillId="0" borderId="7" xfId="9" applyFont="1" applyBorder="1" applyAlignment="1">
      <alignment horizontal="center" vertical="center" wrapText="1"/>
    </xf>
    <xf numFmtId="10" fontId="0" fillId="0" borderId="0" xfId="2" applyNumberFormat="1" applyFont="1">
      <alignment vertical="center"/>
    </xf>
    <xf numFmtId="0" fontId="21" fillId="0" borderId="0" xfId="0" applyFont="1" applyAlignment="1">
      <alignment vertical="center" wrapText="1"/>
    </xf>
    <xf numFmtId="0" fontId="64" fillId="0" borderId="0" xfId="0" applyFont="1" applyAlignment="1">
      <alignment horizontal="justify" vertical="center"/>
    </xf>
    <xf numFmtId="0" fontId="12" fillId="0" borderId="0" xfId="0" applyFont="1" applyAlignment="1">
      <alignment horizontal="justify" vertical="center"/>
    </xf>
    <xf numFmtId="0" fontId="12" fillId="0" borderId="0" xfId="0" applyFont="1">
      <alignment vertical="center"/>
    </xf>
    <xf numFmtId="0" fontId="76" fillId="5" borderId="0" xfId="5" applyFont="1" applyFill="1"/>
    <xf numFmtId="0" fontId="24" fillId="5" borderId="0" xfId="5" applyFont="1" applyFill="1"/>
    <xf numFmtId="0" fontId="25" fillId="5" borderId="0" xfId="0" applyFont="1" applyFill="1" applyAlignment="1">
      <alignment horizontal="left" vertical="center"/>
    </xf>
    <xf numFmtId="0" fontId="26" fillId="5" borderId="0" xfId="14" applyFont="1" applyFill="1" applyAlignment="1">
      <alignment horizontal="left" vertical="center"/>
    </xf>
    <xf numFmtId="0" fontId="24" fillId="5" borderId="0" xfId="14" applyFont="1" applyFill="1" applyAlignment="1">
      <alignment horizontal="left" vertical="center"/>
    </xf>
    <xf numFmtId="0" fontId="28" fillId="7" borderId="7" xfId="0" applyFont="1" applyFill="1" applyBorder="1" applyAlignment="1">
      <alignment horizontal="center" vertical="center" wrapText="1"/>
    </xf>
    <xf numFmtId="0" fontId="8" fillId="12" borderId="7" xfId="0" applyFont="1" applyFill="1" applyBorder="1" applyAlignment="1">
      <alignment horizontal="center" vertical="center"/>
    </xf>
    <xf numFmtId="49" fontId="30" fillId="0" borderId="7" xfId="0" applyNumberFormat="1" applyFont="1" applyBorder="1" applyAlignment="1">
      <alignment horizontal="left" vertical="center" wrapText="1"/>
    </xf>
    <xf numFmtId="0" fontId="24" fillId="14" borderId="7" xfId="0" applyFont="1" applyFill="1" applyBorder="1" applyAlignment="1">
      <alignment horizontal="center" vertical="center" wrapText="1"/>
    </xf>
    <xf numFmtId="49" fontId="30" fillId="0" borderId="7" xfId="0" applyNumberFormat="1" applyFont="1" applyBorder="1" applyAlignment="1">
      <alignment horizontal="left" vertical="center"/>
    </xf>
    <xf numFmtId="49" fontId="30" fillId="0" borderId="13" xfId="0" applyNumberFormat="1" applyFont="1" applyBorder="1">
      <alignment vertical="center"/>
    </xf>
    <xf numFmtId="49" fontId="30" fillId="0" borderId="26" xfId="0" applyNumberFormat="1" applyFont="1" applyBorder="1">
      <alignment vertical="center"/>
    </xf>
    <xf numFmtId="0" fontId="24" fillId="5" borderId="0" xfId="10" applyFont="1" applyFill="1">
      <alignment vertical="center"/>
    </xf>
    <xf numFmtId="0" fontId="26" fillId="5" borderId="0" xfId="10" applyFont="1" applyFill="1">
      <alignment vertical="center"/>
    </xf>
    <xf numFmtId="0" fontId="24" fillId="5" borderId="0" xfId="10" applyFont="1" applyFill="1" applyAlignment="1">
      <alignment vertical="center" wrapText="1"/>
    </xf>
    <xf numFmtId="0" fontId="24" fillId="5" borderId="0" xfId="6" applyFont="1" applyFill="1">
      <alignment vertical="center"/>
    </xf>
    <xf numFmtId="0" fontId="24" fillId="5" borderId="0" xfId="6" applyFont="1" applyFill="1" applyAlignment="1">
      <alignment vertical="center" wrapText="1"/>
    </xf>
    <xf numFmtId="0" fontId="28" fillId="7" borderId="7" xfId="19" applyFont="1" applyFill="1" applyBorder="1" applyAlignment="1">
      <alignment horizontal="center" vertical="center" wrapText="1"/>
    </xf>
    <xf numFmtId="0" fontId="28" fillId="7" borderId="7" xfId="19" applyFont="1" applyFill="1" applyBorder="1" applyAlignment="1">
      <alignment horizontal="center" vertical="center"/>
    </xf>
    <xf numFmtId="0" fontId="24" fillId="0" borderId="25" xfId="0" applyFont="1" applyBorder="1" applyAlignment="1">
      <alignment horizontal="center" vertical="center"/>
    </xf>
    <xf numFmtId="0" fontId="24" fillId="0" borderId="25" xfId="0" applyFont="1" applyBorder="1" applyAlignment="1">
      <alignment horizontal="left" vertical="center"/>
    </xf>
    <xf numFmtId="0" fontId="24" fillId="0" borderId="25" xfId="0" applyFont="1" applyBorder="1" applyAlignment="1">
      <alignment horizontal="left" vertical="center" wrapText="1"/>
    </xf>
    <xf numFmtId="0" fontId="24" fillId="0" borderId="7" xfId="0" applyFont="1" applyBorder="1" applyAlignment="1">
      <alignment horizontal="center" vertical="center" wrapText="1"/>
    </xf>
    <xf numFmtId="0" fontId="24" fillId="0" borderId="7" xfId="0" applyFont="1" applyBorder="1" applyAlignment="1">
      <alignment horizontal="left" vertical="center" wrapText="1"/>
    </xf>
    <xf numFmtId="0" fontId="24" fillId="0" borderId="7" xfId="0" applyFont="1" applyBorder="1" applyAlignment="1">
      <alignment horizontal="center" vertical="center"/>
    </xf>
    <xf numFmtId="0" fontId="24" fillId="0" borderId="7" xfId="0" applyFont="1" applyBorder="1" applyAlignment="1">
      <alignment horizontal="left" vertical="center"/>
    </xf>
    <xf numFmtId="0" fontId="24" fillId="0" borderId="25" xfId="0" applyFont="1" applyBorder="1" applyAlignment="1">
      <alignment horizontal="center" vertical="center" wrapText="1"/>
    </xf>
    <xf numFmtId="14" fontId="21" fillId="0" borderId="0" xfId="0" applyNumberFormat="1" applyFont="1">
      <alignment vertical="center"/>
    </xf>
    <xf numFmtId="179" fontId="24" fillId="5" borderId="0" xfId="11" applyNumberFormat="1" applyFont="1" applyFill="1">
      <alignment vertical="center"/>
    </xf>
    <xf numFmtId="179" fontId="28" fillId="7" borderId="7" xfId="15" applyNumberFormat="1" applyFont="1" applyFill="1" applyBorder="1" applyAlignment="1">
      <alignment horizontal="center" vertical="center" wrapText="1"/>
    </xf>
    <xf numFmtId="0" fontId="24" fillId="5" borderId="33" xfId="15" applyFont="1" applyFill="1" applyBorder="1"/>
    <xf numFmtId="179" fontId="24" fillId="5" borderId="33" xfId="4" applyNumberFormat="1" applyFont="1" applyFill="1" applyBorder="1" applyAlignment="1"/>
    <xf numFmtId="179" fontId="24" fillId="5" borderId="24" xfId="4" applyNumberFormat="1" applyFont="1" applyFill="1" applyBorder="1" applyAlignment="1"/>
    <xf numFmtId="179" fontId="24" fillId="5" borderId="34" xfId="11" applyNumberFormat="1" applyFont="1" applyFill="1" applyBorder="1">
      <alignment vertical="center"/>
    </xf>
    <xf numFmtId="0" fontId="81" fillId="5" borderId="42" xfId="0" applyFont="1" applyFill="1" applyBorder="1" applyAlignment="1">
      <alignment horizontal="left" vertical="center"/>
    </xf>
    <xf numFmtId="0" fontId="81" fillId="5" borderId="0" xfId="0" applyFont="1" applyFill="1" applyAlignment="1">
      <alignment horizontal="left" vertical="center"/>
    </xf>
    <xf numFmtId="179" fontId="24" fillId="5" borderId="33" xfId="4" applyNumberFormat="1" applyFont="1" applyFill="1" applyBorder="1" applyAlignment="1">
      <alignment horizontal="right"/>
    </xf>
    <xf numFmtId="179" fontId="24" fillId="5" borderId="24" xfId="4" applyNumberFormat="1" applyFont="1" applyFill="1" applyBorder="1" applyAlignment="1">
      <alignment horizontal="right"/>
    </xf>
    <xf numFmtId="179" fontId="24" fillId="5" borderId="24" xfId="22" applyNumberFormat="1" applyFont="1" applyFill="1" applyBorder="1" applyAlignment="1">
      <alignment horizontal="right"/>
    </xf>
    <xf numFmtId="179" fontId="24" fillId="5" borderId="24" xfId="22" applyNumberFormat="1" applyFont="1" applyFill="1" applyBorder="1" applyAlignment="1"/>
    <xf numFmtId="0" fontId="24" fillId="5" borderId="42" xfId="0" applyFont="1" applyFill="1" applyBorder="1" applyAlignment="1">
      <alignment horizontal="left" vertical="center"/>
    </xf>
    <xf numFmtId="179" fontId="24" fillId="5" borderId="33" xfId="15" applyNumberFormat="1" applyFont="1" applyFill="1" applyBorder="1"/>
    <xf numFmtId="179" fontId="24" fillId="5" borderId="24" xfId="2" applyNumberFormat="1" applyFont="1" applyFill="1" applyBorder="1" applyAlignment="1"/>
    <xf numFmtId="179" fontId="24" fillId="5" borderId="34" xfId="22" applyNumberFormat="1" applyFont="1" applyFill="1" applyBorder="1" applyAlignment="1">
      <alignment vertical="center"/>
    </xf>
    <xf numFmtId="43" fontId="24" fillId="5" borderId="0" xfId="11" applyNumberFormat="1" applyFont="1" applyFill="1">
      <alignment vertical="center"/>
    </xf>
    <xf numFmtId="0" fontId="24" fillId="5" borderId="35" xfId="15" applyFont="1" applyFill="1" applyBorder="1"/>
    <xf numFmtId="179" fontId="82" fillId="5" borderId="35" xfId="4" applyNumberFormat="1" applyFont="1" applyFill="1" applyBorder="1" applyAlignment="1"/>
    <xf numFmtId="179" fontId="82" fillId="5" borderId="36" xfId="15" applyNumberFormat="1" applyFont="1" applyFill="1" applyBorder="1"/>
    <xf numFmtId="179" fontId="24" fillId="5" borderId="19" xfId="11" applyNumberFormat="1" applyFont="1" applyFill="1" applyBorder="1">
      <alignment vertical="center"/>
    </xf>
    <xf numFmtId="0" fontId="24" fillId="5" borderId="0" xfId="11" applyFont="1" applyFill="1" applyAlignment="1">
      <alignment horizontal="center" vertical="center"/>
    </xf>
    <xf numFmtId="0" fontId="24" fillId="5" borderId="0" xfId="0" applyFont="1" applyFill="1">
      <alignment vertical="center"/>
    </xf>
    <xf numFmtId="0" fontId="25" fillId="5" borderId="0" xfId="13" applyFont="1" applyFill="1" applyAlignment="1">
      <alignment horizontal="left" vertical="center"/>
    </xf>
    <xf numFmtId="0" fontId="24" fillId="5" borderId="0" xfId="13" applyFont="1" applyFill="1">
      <alignment vertical="center"/>
    </xf>
    <xf numFmtId="0" fontId="26" fillId="5" borderId="0" xfId="13" applyFont="1" applyFill="1" applyAlignment="1">
      <alignment horizontal="left" vertical="center"/>
    </xf>
    <xf numFmtId="0" fontId="24" fillId="5" borderId="0" xfId="13" applyFont="1" applyFill="1" applyAlignment="1">
      <alignment horizontal="left" vertical="center"/>
    </xf>
    <xf numFmtId="0" fontId="28" fillId="7" borderId="7" xfId="13" applyFont="1" applyFill="1" applyBorder="1" applyAlignment="1">
      <alignment horizontal="center" vertical="center" wrapText="1"/>
    </xf>
    <xf numFmtId="0" fontId="25" fillId="5" borderId="0" xfId="13" applyFont="1" applyFill="1" applyAlignment="1">
      <alignment horizontal="center" vertical="center" wrapText="1"/>
    </xf>
    <xf numFmtId="0" fontId="24" fillId="5" borderId="7" xfId="13" applyFont="1" applyFill="1" applyBorder="1" applyAlignment="1">
      <alignment horizontal="center" vertical="center"/>
    </xf>
    <xf numFmtId="0" fontId="24" fillId="5" borderId="11" xfId="13" applyFont="1" applyFill="1" applyBorder="1">
      <alignment vertical="center"/>
    </xf>
    <xf numFmtId="0" fontId="24" fillId="5" borderId="7" xfId="13" applyFont="1" applyFill="1" applyBorder="1" applyAlignment="1">
      <alignment vertical="center" wrapText="1"/>
    </xf>
    <xf numFmtId="10" fontId="24" fillId="5" borderId="7" xfId="2" applyNumberFormat="1" applyFont="1" applyFill="1" applyBorder="1">
      <alignment vertical="center"/>
    </xf>
    <xf numFmtId="0" fontId="24" fillId="5" borderId="7" xfId="13" applyFont="1" applyFill="1" applyBorder="1">
      <alignment vertical="center"/>
    </xf>
    <xf numFmtId="0" fontId="24" fillId="5" borderId="26" xfId="13" applyFont="1" applyFill="1" applyBorder="1">
      <alignment vertical="center"/>
    </xf>
    <xf numFmtId="0" fontId="24" fillId="15" borderId="7" xfId="13" applyFont="1" applyFill="1" applyBorder="1">
      <alignment vertical="center"/>
    </xf>
    <xf numFmtId="0" fontId="24" fillId="15" borderId="11" xfId="13" applyFont="1" applyFill="1" applyBorder="1">
      <alignment vertical="center"/>
    </xf>
    <xf numFmtId="0" fontId="24" fillId="15" borderId="7" xfId="13" applyFont="1" applyFill="1" applyBorder="1" applyAlignment="1">
      <alignment vertical="center" wrapText="1"/>
    </xf>
    <xf numFmtId="43" fontId="24" fillId="15" borderId="7" xfId="22" applyFont="1" applyFill="1" applyBorder="1" applyAlignment="1">
      <alignment vertical="center"/>
    </xf>
    <xf numFmtId="10" fontId="24" fillId="15" borderId="7" xfId="2" applyNumberFormat="1" applyFont="1" applyFill="1" applyBorder="1">
      <alignment vertical="center"/>
    </xf>
    <xf numFmtId="0" fontId="24" fillId="15" borderId="26" xfId="13" applyFont="1" applyFill="1" applyBorder="1">
      <alignment vertical="center"/>
    </xf>
    <xf numFmtId="0" fontId="25" fillId="5" borderId="0" xfId="13" applyFont="1" applyFill="1">
      <alignment vertical="center"/>
    </xf>
    <xf numFmtId="43" fontId="24" fillId="5" borderId="7" xfId="22" applyFont="1" applyFill="1" applyBorder="1" applyAlignment="1">
      <alignment vertical="center"/>
    </xf>
    <xf numFmtId="0" fontId="25" fillId="15" borderId="7" xfId="13" applyFont="1" applyFill="1" applyBorder="1">
      <alignment vertical="center"/>
    </xf>
    <xf numFmtId="0" fontId="25" fillId="15" borderId="11" xfId="13" applyFont="1" applyFill="1" applyBorder="1">
      <alignment vertical="center"/>
    </xf>
    <xf numFmtId="0" fontId="25" fillId="15" borderId="7" xfId="13" applyFont="1" applyFill="1" applyBorder="1" applyAlignment="1">
      <alignment vertical="center" wrapText="1"/>
    </xf>
    <xf numFmtId="10" fontId="25" fillId="15" borderId="7" xfId="2" applyNumberFormat="1" applyFont="1" applyFill="1" applyBorder="1">
      <alignment vertical="center"/>
    </xf>
    <xf numFmtId="0" fontId="25" fillId="15" borderId="26" xfId="13" applyFont="1" applyFill="1" applyBorder="1">
      <alignment vertical="center"/>
    </xf>
    <xf numFmtId="0" fontId="25" fillId="15" borderId="28" xfId="13" applyFont="1" applyFill="1" applyBorder="1" applyAlignment="1">
      <alignment horizontal="left" vertical="center"/>
    </xf>
    <xf numFmtId="0" fontId="24" fillId="15" borderId="29" xfId="13" applyFont="1" applyFill="1" applyBorder="1" applyAlignment="1">
      <alignment horizontal="left" vertical="center"/>
    </xf>
    <xf numFmtId="0" fontId="24" fillId="15" borderId="28" xfId="13" applyFont="1" applyFill="1" applyBorder="1">
      <alignment vertical="center"/>
    </xf>
    <xf numFmtId="0" fontId="24" fillId="15" borderId="28" xfId="13" applyFont="1" applyFill="1" applyBorder="1" applyAlignment="1">
      <alignment vertical="center" wrapText="1"/>
    </xf>
    <xf numFmtId="179" fontId="24" fillId="15" borderId="28" xfId="13" applyNumberFormat="1" applyFont="1" applyFill="1" applyBorder="1">
      <alignment vertical="center"/>
    </xf>
    <xf numFmtId="9" fontId="24" fillId="15" borderId="28" xfId="2" applyFont="1" applyFill="1" applyBorder="1">
      <alignment vertical="center"/>
    </xf>
    <xf numFmtId="0" fontId="24" fillId="15" borderId="32" xfId="13" applyFont="1" applyFill="1" applyBorder="1">
      <alignment vertical="center"/>
    </xf>
    <xf numFmtId="10" fontId="24" fillId="5" borderId="7" xfId="2" applyNumberFormat="1" applyFont="1" applyFill="1" applyBorder="1" applyAlignment="1">
      <alignment horizontal="center" vertical="center"/>
    </xf>
    <xf numFmtId="0" fontId="83" fillId="14" borderId="43" xfId="0" applyFont="1" applyFill="1" applyBorder="1" applyAlignment="1">
      <alignment vertical="top" wrapText="1"/>
    </xf>
    <xf numFmtId="43" fontId="24" fillId="15" borderId="7" xfId="22" applyFont="1" applyFill="1" applyBorder="1" applyAlignment="1">
      <alignment horizontal="center" vertical="center"/>
    </xf>
    <xf numFmtId="0" fontId="25" fillId="15" borderId="29" xfId="13" applyFont="1" applyFill="1" applyBorder="1" applyAlignment="1">
      <alignment horizontal="left" vertical="center"/>
    </xf>
    <xf numFmtId="0" fontId="25" fillId="15" borderId="28" xfId="13" applyFont="1" applyFill="1" applyBorder="1" applyAlignment="1">
      <alignment vertical="center" wrapText="1"/>
    </xf>
    <xf numFmtId="179" fontId="25" fillId="15" borderId="28" xfId="13" applyNumberFormat="1" applyFont="1" applyFill="1" applyBorder="1">
      <alignment vertical="center"/>
    </xf>
    <xf numFmtId="179" fontId="25" fillId="15" borderId="28" xfId="13" applyNumberFormat="1" applyFont="1" applyFill="1" applyBorder="1" applyAlignment="1">
      <alignment horizontal="center" vertical="center"/>
    </xf>
    <xf numFmtId="0" fontId="25" fillId="15" borderId="28" xfId="13" applyFont="1" applyFill="1" applyBorder="1">
      <alignment vertical="center"/>
    </xf>
    <xf numFmtId="0" fontId="25" fillId="15" borderId="32" xfId="13" applyFont="1" applyFill="1" applyBorder="1">
      <alignment vertical="center"/>
    </xf>
    <xf numFmtId="0" fontId="25" fillId="15" borderId="25" xfId="13" applyFont="1" applyFill="1" applyBorder="1" applyAlignment="1">
      <alignment horizontal="left" vertical="center"/>
    </xf>
    <xf numFmtId="0" fontId="25" fillId="15" borderId="30" xfId="13" applyFont="1" applyFill="1" applyBorder="1" applyAlignment="1">
      <alignment horizontal="left" vertical="center"/>
    </xf>
    <xf numFmtId="0" fontId="24" fillId="15" borderId="25" xfId="13" applyFont="1" applyFill="1" applyBorder="1" applyAlignment="1">
      <alignment horizontal="left" vertical="center"/>
    </xf>
    <xf numFmtId="0" fontId="24" fillId="15" borderId="25" xfId="13" applyFont="1" applyFill="1" applyBorder="1" applyAlignment="1">
      <alignment vertical="center" wrapText="1"/>
    </xf>
    <xf numFmtId="179" fontId="24" fillId="15" borderId="25" xfId="13" applyNumberFormat="1" applyFont="1" applyFill="1" applyBorder="1">
      <alignment vertical="center"/>
    </xf>
    <xf numFmtId="179" fontId="24" fillId="15" borderId="25" xfId="13" applyNumberFormat="1" applyFont="1" applyFill="1" applyBorder="1" applyAlignment="1">
      <alignment horizontal="center" vertical="center"/>
    </xf>
    <xf numFmtId="0" fontId="24" fillId="15" borderId="25" xfId="13" applyFont="1" applyFill="1" applyBorder="1">
      <alignment vertical="center"/>
    </xf>
    <xf numFmtId="0" fontId="24" fillId="15" borderId="13" xfId="13" applyFont="1" applyFill="1" applyBorder="1">
      <alignment vertical="center"/>
    </xf>
    <xf numFmtId="0" fontId="8" fillId="5" borderId="11" xfId="13" applyFont="1" applyFill="1" applyBorder="1">
      <alignment vertical="center"/>
    </xf>
    <xf numFmtId="0" fontId="84" fillId="5" borderId="11" xfId="13" applyFont="1" applyFill="1" applyBorder="1">
      <alignment vertical="center"/>
    </xf>
    <xf numFmtId="0" fontId="85" fillId="5" borderId="7" xfId="14" applyFont="1" applyFill="1" applyBorder="1" applyAlignment="1">
      <alignment vertical="center" wrapText="1"/>
    </xf>
    <xf numFmtId="0" fontId="84" fillId="5" borderId="7" xfId="14" applyFont="1" applyFill="1" applyBorder="1" applyAlignment="1">
      <alignment vertical="center" wrapText="1"/>
    </xf>
    <xf numFmtId="0" fontId="58" fillId="0" borderId="0" xfId="9" applyFont="1" applyAlignment="1">
      <alignment horizontal="center" vertical="center"/>
    </xf>
    <xf numFmtId="0" fontId="78" fillId="0" borderId="0" xfId="9" applyFont="1" applyAlignment="1">
      <alignment horizontal="left" vertical="center" wrapText="1"/>
    </xf>
    <xf numFmtId="0" fontId="57" fillId="13" borderId="7" xfId="9" applyFont="1" applyFill="1" applyBorder="1" applyAlignment="1">
      <alignment horizontal="left" vertical="center" wrapText="1"/>
    </xf>
    <xf numFmtId="0" fontId="55" fillId="0" borderId="23" xfId="9" applyFont="1" applyBorder="1" applyAlignment="1">
      <alignment horizontal="center" vertical="center" wrapText="1"/>
    </xf>
    <xf numFmtId="0" fontId="55" fillId="0" borderId="25" xfId="9" applyFont="1" applyBorder="1" applyAlignment="1">
      <alignment horizontal="center" vertical="center" wrapText="1"/>
    </xf>
    <xf numFmtId="49" fontId="30" fillId="0" borderId="37" xfId="0" applyNumberFormat="1" applyFont="1" applyBorder="1" applyAlignment="1">
      <alignment horizontal="center" vertical="center"/>
    </xf>
    <xf numFmtId="49" fontId="30" fillId="0" borderId="38" xfId="0" applyNumberFormat="1" applyFont="1" applyBorder="1" applyAlignment="1">
      <alignment horizontal="center" vertical="center"/>
    </xf>
    <xf numFmtId="49" fontId="30" fillId="0" borderId="39" xfId="0" applyNumberFormat="1" applyFont="1" applyBorder="1" applyAlignment="1">
      <alignment horizontal="center" vertical="center"/>
    </xf>
    <xf numFmtId="49" fontId="30" fillId="0" borderId="40" xfId="0" applyNumberFormat="1" applyFont="1" applyBorder="1" applyAlignment="1">
      <alignment horizontal="center" vertical="center"/>
    </xf>
    <xf numFmtId="49" fontId="30" fillId="0" borderId="0" xfId="0" applyNumberFormat="1" applyFont="1" applyAlignment="1">
      <alignment horizontal="center" vertical="center"/>
    </xf>
    <xf numFmtId="49" fontId="30" fillId="0" borderId="41" xfId="0" applyNumberFormat="1" applyFont="1" applyBorder="1" applyAlignment="1">
      <alignment horizontal="center" vertical="center"/>
    </xf>
    <xf numFmtId="0" fontId="24" fillId="14" borderId="23"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77" fillId="5" borderId="0" xfId="10" applyFont="1" applyFill="1" applyAlignment="1">
      <alignment horizontal="left" vertical="center" wrapText="1"/>
    </xf>
    <xf numFmtId="0" fontId="28" fillId="7" borderId="7" xfId="0" applyFont="1" applyFill="1" applyBorder="1" applyAlignment="1">
      <alignment horizontal="center" vertical="center" wrapText="1"/>
    </xf>
    <xf numFmtId="0" fontId="28" fillId="7" borderId="7" xfId="19" applyFont="1" applyFill="1" applyBorder="1" applyAlignment="1">
      <alignment horizontal="center" vertical="center"/>
    </xf>
    <xf numFmtId="179" fontId="28" fillId="7" borderId="7" xfId="15" applyNumberFormat="1" applyFont="1" applyFill="1" applyBorder="1" applyAlignment="1">
      <alignment horizontal="center" vertical="center" wrapText="1"/>
    </xf>
    <xf numFmtId="0" fontId="24" fillId="5" borderId="0" xfId="11" applyFont="1" applyFill="1" applyAlignment="1">
      <alignment horizontal="left" vertical="center" wrapText="1"/>
    </xf>
    <xf numFmtId="179" fontId="24" fillId="5" borderId="0" xfId="11" applyNumberFormat="1" applyFont="1" applyFill="1" applyAlignment="1">
      <alignment horizontal="left" vertical="center" wrapText="1"/>
    </xf>
    <xf numFmtId="179" fontId="28" fillId="7" borderId="7" xfId="15" applyNumberFormat="1" applyFont="1" applyFill="1" applyBorder="1" applyAlignment="1">
      <alignment horizontal="center" vertical="center"/>
    </xf>
    <xf numFmtId="0" fontId="28" fillId="7" borderId="7" xfId="15" applyFont="1" applyFill="1" applyBorder="1" applyAlignment="1">
      <alignment horizontal="center" vertical="center" wrapText="1"/>
    </xf>
    <xf numFmtId="0" fontId="80" fillId="7" borderId="7" xfId="12" applyFont="1" applyFill="1" applyBorder="1" applyAlignment="1">
      <alignment horizontal="center" vertical="center"/>
    </xf>
    <xf numFmtId="0" fontId="25" fillId="15" borderId="25" xfId="13" applyFont="1" applyFill="1" applyBorder="1" applyAlignment="1">
      <alignment horizontal="left" vertical="center" wrapText="1"/>
    </xf>
    <xf numFmtId="0" fontId="25" fillId="15" borderId="30" xfId="13" applyFont="1" applyFill="1" applyBorder="1" applyAlignment="1">
      <alignment horizontal="left" vertical="center" wrapText="1"/>
    </xf>
    <xf numFmtId="0" fontId="25" fillId="15" borderId="13" xfId="13" applyFont="1" applyFill="1" applyBorder="1" applyAlignment="1">
      <alignment horizontal="left" vertical="center" wrapText="1"/>
    </xf>
    <xf numFmtId="0" fontId="24" fillId="5" borderId="10" xfId="13" applyFont="1" applyFill="1" applyBorder="1" applyAlignment="1">
      <alignment horizontal="center" vertical="center" wrapText="1"/>
    </xf>
    <xf numFmtId="0" fontId="24" fillId="5" borderId="12" xfId="13" applyFont="1" applyFill="1" applyBorder="1" applyAlignment="1">
      <alignment horizontal="center" vertical="center" wrapText="1"/>
    </xf>
    <xf numFmtId="0" fontId="24" fillId="5" borderId="13" xfId="13" applyFont="1" applyFill="1" applyBorder="1" applyAlignment="1">
      <alignment horizontal="center" vertical="center" wrapText="1"/>
    </xf>
    <xf numFmtId="49" fontId="24" fillId="5" borderId="0" xfId="13" applyNumberFormat="1" applyFont="1" applyFill="1" applyAlignment="1">
      <alignment horizontal="left" vertical="center" wrapText="1"/>
    </xf>
    <xf numFmtId="0" fontId="28" fillId="7" borderId="7" xfId="13" applyFont="1" applyFill="1" applyBorder="1" applyAlignment="1">
      <alignment horizontal="center" vertical="center" wrapText="1"/>
    </xf>
    <xf numFmtId="0" fontId="80" fillId="7" borderId="7" xfId="13" applyFont="1" applyFill="1" applyBorder="1" applyAlignment="1">
      <alignment horizontal="center" vertical="center"/>
    </xf>
    <xf numFmtId="0" fontId="80" fillId="7" borderId="7" xfId="13" applyFont="1" applyFill="1" applyBorder="1">
      <alignment vertical="center"/>
    </xf>
    <xf numFmtId="0" fontId="80" fillId="7" borderId="7" xfId="13" applyFont="1" applyFill="1" applyBorder="1" applyAlignment="1">
      <alignment vertical="center" wrapText="1"/>
    </xf>
    <xf numFmtId="0" fontId="7" fillId="5" borderId="10" xfId="13" applyFont="1" applyFill="1" applyBorder="1" applyAlignment="1">
      <alignment horizontal="center" vertical="center" wrapText="1"/>
    </xf>
    <xf numFmtId="0" fontId="7" fillId="5" borderId="12" xfId="13" applyFont="1" applyFill="1" applyBorder="1" applyAlignment="1">
      <alignment horizontal="center" vertical="center" wrapText="1"/>
    </xf>
    <xf numFmtId="0" fontId="7" fillId="5" borderId="13" xfId="13" applyFont="1" applyFill="1" applyBorder="1" applyAlignment="1">
      <alignment horizontal="center" vertical="center" wrapText="1"/>
    </xf>
    <xf numFmtId="0" fontId="43" fillId="7" borderId="6" xfId="14" applyFont="1" applyFill="1" applyBorder="1" applyAlignment="1">
      <alignment horizontal="center" vertical="center" wrapText="1"/>
    </xf>
    <xf numFmtId="0" fontId="44" fillId="7" borderId="6" xfId="14" applyFont="1" applyFill="1" applyBorder="1" applyAlignment="1">
      <alignment horizontal="center" vertical="center"/>
    </xf>
    <xf numFmtId="0" fontId="43" fillId="7" borderId="7" xfId="14" applyFont="1" applyFill="1" applyBorder="1" applyAlignment="1">
      <alignment horizontal="center" vertical="center" wrapText="1"/>
    </xf>
    <xf numFmtId="0" fontId="44" fillId="7" borderId="7" xfId="14" applyFont="1" applyFill="1" applyBorder="1">
      <alignment vertical="center"/>
    </xf>
    <xf numFmtId="49" fontId="42" fillId="5" borderId="0" xfId="14" applyNumberFormat="1" applyFont="1" applyFill="1" applyAlignment="1">
      <alignment horizontal="left" vertical="center" wrapText="1"/>
    </xf>
    <xf numFmtId="0" fontId="9" fillId="11" borderId="7" xfId="14" applyFont="1" applyFill="1" applyBorder="1" applyAlignment="1">
      <alignment horizontal="left" vertical="center" wrapText="1"/>
    </xf>
    <xf numFmtId="0" fontId="9" fillId="11" borderId="11" xfId="14" applyFont="1" applyFill="1" applyBorder="1" applyAlignment="1">
      <alignment horizontal="left" vertical="center" wrapText="1"/>
    </xf>
    <xf numFmtId="0" fontId="9" fillId="11" borderId="26" xfId="14" applyFont="1" applyFill="1" applyBorder="1" applyAlignment="1">
      <alignment horizontal="left" vertical="center" wrapText="1"/>
    </xf>
    <xf numFmtId="0" fontId="9" fillId="11" borderId="25" xfId="14" applyFont="1" applyFill="1" applyBorder="1" applyAlignment="1">
      <alignment horizontal="left" vertical="center" wrapText="1"/>
    </xf>
    <xf numFmtId="0" fontId="9" fillId="11" borderId="30" xfId="14" applyFont="1" applyFill="1" applyBorder="1" applyAlignment="1">
      <alignment horizontal="left" vertical="center" wrapText="1"/>
    </xf>
    <xf numFmtId="0" fontId="9" fillId="11" borderId="13" xfId="14" applyFont="1" applyFill="1" applyBorder="1" applyAlignment="1">
      <alignment horizontal="left" vertical="center" wrapText="1"/>
    </xf>
    <xf numFmtId="0" fontId="43" fillId="7" borderId="26" xfId="13" applyFont="1" applyFill="1" applyBorder="1" applyAlignment="1">
      <alignment horizontal="center" vertical="center" wrapText="1"/>
    </xf>
    <xf numFmtId="0" fontId="44" fillId="7" borderId="26" xfId="13" applyFont="1" applyFill="1" applyBorder="1" applyAlignment="1">
      <alignment horizontal="center" vertical="center"/>
    </xf>
    <xf numFmtId="0" fontId="43" fillId="7" borderId="23" xfId="14" applyFont="1" applyFill="1" applyBorder="1" applyAlignment="1">
      <alignment horizontal="center" vertical="center" wrapText="1"/>
    </xf>
    <xf numFmtId="0" fontId="44" fillId="7" borderId="25" xfId="14" applyFont="1" applyFill="1" applyBorder="1" applyAlignment="1">
      <alignment vertical="center" wrapText="1"/>
    </xf>
    <xf numFmtId="0" fontId="28" fillId="4" borderId="7" xfId="19" applyFont="1" applyFill="1" applyBorder="1" applyAlignment="1" applyProtection="1">
      <alignment horizontal="center" vertical="center" wrapText="1"/>
      <protection locked="0"/>
    </xf>
    <xf numFmtId="0" fontId="30" fillId="9" borderId="26" xfId="19" applyFont="1" applyFill="1" applyBorder="1" applyAlignment="1" applyProtection="1">
      <alignment horizontal="center" vertical="center" wrapText="1"/>
      <protection locked="0"/>
    </xf>
    <xf numFmtId="0" fontId="30" fillId="9" borderId="27" xfId="19" applyFont="1" applyFill="1" applyBorder="1" applyAlignment="1" applyProtection="1">
      <alignment horizontal="center" vertical="center" wrapText="1"/>
      <protection locked="0"/>
    </xf>
    <xf numFmtId="0" fontId="30" fillId="9" borderId="11" xfId="19" applyFont="1" applyFill="1" applyBorder="1" applyAlignment="1" applyProtection="1">
      <alignment horizontal="center" vertical="center" wrapText="1"/>
      <protection locked="0"/>
    </xf>
    <xf numFmtId="0" fontId="33" fillId="9" borderId="7" xfId="19" applyFont="1" applyFill="1" applyBorder="1" applyAlignment="1" applyProtection="1">
      <alignment horizontal="center" vertical="center" wrapText="1"/>
      <protection locked="0"/>
    </xf>
    <xf numFmtId="0" fontId="28" fillId="4" borderId="7" xfId="19" applyFont="1" applyFill="1" applyBorder="1" applyAlignment="1" applyProtection="1">
      <alignment horizontal="center" vertical="center"/>
      <protection locked="0"/>
    </xf>
    <xf numFmtId="0" fontId="30" fillId="0" borderId="23" xfId="19" applyFont="1" applyBorder="1" applyAlignment="1" applyProtection="1">
      <alignment horizontal="center" vertical="center" wrapText="1"/>
      <protection locked="0"/>
    </xf>
    <xf numFmtId="0" fontId="30" fillId="0" borderId="24" xfId="19" applyFont="1" applyBorder="1" applyAlignment="1" applyProtection="1">
      <alignment horizontal="center" vertical="center" wrapText="1"/>
      <protection locked="0"/>
    </xf>
    <xf numFmtId="0" fontId="24" fillId="5" borderId="0" xfId="11" applyFont="1" applyFill="1" applyAlignment="1">
      <alignment horizontal="left" vertical="center"/>
    </xf>
    <xf numFmtId="0" fontId="30" fillId="9" borderId="7" xfId="19" applyFont="1" applyFill="1" applyBorder="1" applyAlignment="1" applyProtection="1">
      <alignment horizontal="center" vertical="center" wrapText="1"/>
      <protection locked="0"/>
    </xf>
    <xf numFmtId="0" fontId="2" fillId="4" borderId="20" xfId="5" applyFont="1" applyFill="1" applyBorder="1" applyAlignment="1">
      <alignment horizontal="center" vertical="center" wrapText="1"/>
    </xf>
    <xf numFmtId="0" fontId="2" fillId="4" borderId="21" xfId="5" applyFont="1" applyFill="1" applyBorder="1" applyAlignment="1">
      <alignment horizontal="center" vertical="center" wrapText="1"/>
    </xf>
    <xf numFmtId="0" fontId="2" fillId="2" borderId="3" xfId="5" applyFont="1" applyFill="1" applyBorder="1" applyAlignment="1">
      <alignment horizontal="center" vertical="center" wrapText="1"/>
    </xf>
    <xf numFmtId="0" fontId="2" fillId="2" borderId="4" xfId="5" applyFont="1" applyFill="1" applyBorder="1" applyAlignment="1">
      <alignment horizontal="center" vertical="center" wrapText="1"/>
    </xf>
    <xf numFmtId="0" fontId="2" fillId="2" borderId="5" xfId="5" applyFont="1" applyFill="1" applyBorder="1" applyAlignment="1">
      <alignment horizontal="center" vertical="center" wrapText="1"/>
    </xf>
    <xf numFmtId="0" fontId="2" fillId="3" borderId="3" xfId="5" applyFont="1" applyFill="1" applyBorder="1" applyAlignment="1">
      <alignment horizontal="center" vertical="center" wrapText="1"/>
    </xf>
    <xf numFmtId="0" fontId="2" fillId="3" borderId="4" xfId="5" applyFont="1" applyFill="1" applyBorder="1" applyAlignment="1">
      <alignment horizontal="center" vertical="center" wrapText="1"/>
    </xf>
    <xf numFmtId="0" fontId="2" fillId="3" borderId="5" xfId="5" applyFont="1" applyFill="1" applyBorder="1" applyAlignment="1">
      <alignment horizontal="center" vertical="center" wrapText="1"/>
    </xf>
    <xf numFmtId="0" fontId="10" fillId="7" borderId="7" xfId="0" applyFont="1" applyFill="1" applyBorder="1" applyAlignment="1">
      <alignment horizontal="center" vertical="center" wrapText="1"/>
    </xf>
    <xf numFmtId="0" fontId="18" fillId="0" borderId="7" xfId="0" applyFont="1" applyBorder="1" applyAlignment="1">
      <alignment horizontal="justify" vertical="center" wrapText="1"/>
    </xf>
    <xf numFmtId="0" fontId="18" fillId="0" borderId="7" xfId="0" applyFont="1" applyBorder="1" applyAlignment="1">
      <alignment vertical="center" wrapText="1"/>
    </xf>
    <xf numFmtId="0" fontId="2" fillId="2" borderId="1" xfId="5" applyFont="1" applyFill="1" applyBorder="1" applyAlignment="1">
      <alignment horizontal="center" vertical="center" wrapText="1"/>
    </xf>
    <xf numFmtId="0" fontId="2" fillId="2" borderId="6" xfId="5" applyFont="1" applyFill="1" applyBorder="1" applyAlignment="1">
      <alignment horizontal="center" vertical="center" wrapText="1"/>
    </xf>
    <xf numFmtId="0" fontId="10" fillId="7" borderId="14" xfId="0" applyFont="1" applyFill="1" applyBorder="1" applyAlignment="1">
      <alignment horizontal="center" vertical="center" wrapText="1"/>
    </xf>
    <xf numFmtId="0" fontId="2" fillId="2" borderId="2" xfId="5" applyFont="1" applyFill="1" applyBorder="1" applyAlignment="1">
      <alignment horizontal="center" vertical="center" wrapText="1"/>
    </xf>
    <xf numFmtId="0" fontId="2" fillId="2" borderId="7" xfId="5" applyFont="1" applyFill="1" applyBorder="1" applyAlignment="1">
      <alignment horizontal="center" vertical="center" wrapText="1"/>
    </xf>
    <xf numFmtId="0" fontId="86" fillId="0" borderId="6" xfId="5" applyFont="1" applyBorder="1" applyAlignment="1">
      <alignment horizontal="left" vertical="center" wrapText="1" indent="2"/>
    </xf>
    <xf numFmtId="0" fontId="90" fillId="0" borderId="7" xfId="0" applyFont="1" applyBorder="1" applyAlignment="1">
      <alignment horizontal="center" vertical="center" wrapText="1"/>
    </xf>
    <xf numFmtId="0" fontId="91" fillId="0" borderId="7" xfId="0" applyFont="1" applyBorder="1" applyAlignment="1">
      <alignment horizontal="center" vertical="center" wrapText="1"/>
    </xf>
    <xf numFmtId="0" fontId="92" fillId="0" borderId="7" xfId="0" applyFont="1" applyBorder="1" applyAlignment="1">
      <alignment horizontal="center" vertical="center" wrapText="1"/>
    </xf>
    <xf numFmtId="0" fontId="93" fillId="0" borderId="7" xfId="0" applyFont="1" applyBorder="1" applyAlignment="1">
      <alignment horizontal="center" vertical="center" wrapText="1"/>
    </xf>
    <xf numFmtId="0" fontId="87" fillId="16" borderId="7" xfId="0" applyFont="1" applyFill="1" applyBorder="1" applyAlignment="1">
      <alignment horizontal="center" vertical="center" wrapText="1"/>
    </xf>
    <xf numFmtId="0" fontId="88" fillId="16" borderId="7" xfId="0" applyFont="1" applyFill="1" applyBorder="1" applyAlignment="1">
      <alignment horizontal="center" vertical="center" wrapText="1"/>
    </xf>
    <xf numFmtId="0" fontId="88" fillId="17" borderId="7" xfId="0" applyFont="1" applyFill="1" applyBorder="1" applyAlignment="1">
      <alignment horizontal="center" vertical="center" wrapText="1"/>
    </xf>
    <xf numFmtId="184" fontId="96" fillId="0" borderId="0" xfId="23" applyFont="1" applyAlignment="1">
      <alignment horizontal="center" vertical="center"/>
    </xf>
    <xf numFmtId="184" fontId="95" fillId="0" borderId="0" xfId="23" applyFont="1">
      <alignment vertical="center"/>
    </xf>
    <xf numFmtId="4" fontId="90" fillId="0" borderId="7" xfId="0" applyNumberFormat="1" applyFont="1" applyBorder="1" applyAlignment="1">
      <alignment horizontal="right" vertical="center" wrapText="1"/>
    </xf>
    <xf numFmtId="9" fontId="97" fillId="0" borderId="0" xfId="2" applyFont="1" applyFill="1" applyBorder="1">
      <alignment vertical="center"/>
    </xf>
    <xf numFmtId="184" fontId="97" fillId="0" borderId="0" xfId="23" applyFont="1">
      <alignment vertical="center"/>
    </xf>
    <xf numFmtId="43" fontId="90" fillId="0" borderId="7" xfId="23" applyNumberFormat="1" applyFont="1" applyBorder="1">
      <alignment vertical="center"/>
    </xf>
    <xf numFmtId="0" fontId="98" fillId="0" borderId="7" xfId="0" applyFont="1" applyBorder="1" applyAlignment="1">
      <alignment horizontal="center" vertical="center" wrapText="1"/>
    </xf>
    <xf numFmtId="4" fontId="99" fillId="0" borderId="7" xfId="0" applyNumberFormat="1" applyFont="1" applyBorder="1" applyAlignment="1">
      <alignment horizontal="right" vertical="center" wrapText="1"/>
    </xf>
    <xf numFmtId="9" fontId="100" fillId="0" borderId="0" xfId="2" applyFont="1" applyFill="1" applyBorder="1">
      <alignment vertical="center"/>
    </xf>
    <xf numFmtId="43" fontId="90" fillId="0" borderId="7" xfId="0" applyNumberFormat="1" applyFont="1" applyBorder="1" applyAlignment="1">
      <alignment horizontal="right" vertical="center" wrapText="1"/>
    </xf>
    <xf numFmtId="0" fontId="101" fillId="0" borderId="7" xfId="0" applyFont="1" applyBorder="1" applyAlignment="1">
      <alignment horizontal="center" vertical="center" wrapText="1"/>
    </xf>
    <xf numFmtId="10" fontId="101" fillId="0" borderId="7" xfId="2" applyNumberFormat="1" applyFont="1" applyFill="1" applyBorder="1">
      <alignment vertical="center"/>
    </xf>
    <xf numFmtId="43" fontId="90" fillId="0" borderId="7" xfId="1" applyNumberFormat="1" applyFont="1" applyFill="1" applyBorder="1" applyAlignment="1">
      <alignment vertical="center"/>
    </xf>
    <xf numFmtId="43" fontId="101" fillId="0" borderId="7" xfId="1" applyNumberFormat="1" applyFont="1" applyFill="1" applyBorder="1" applyAlignment="1">
      <alignment vertical="center"/>
    </xf>
    <xf numFmtId="10" fontId="97" fillId="0" borderId="0" xfId="24" applyNumberFormat="1" applyFont="1" applyFill="1" applyBorder="1">
      <alignment vertical="center"/>
    </xf>
    <xf numFmtId="185" fontId="95" fillId="0" borderId="0" xfId="23" applyNumberFormat="1" applyFont="1">
      <alignment vertical="center"/>
    </xf>
    <xf numFmtId="10" fontId="97" fillId="0" borderId="0" xfId="24" applyNumberFormat="1" applyFont="1" applyFill="1" applyBorder="1" applyAlignment="1">
      <alignment horizontal="center" vertical="center"/>
    </xf>
  </cellXfs>
  <cellStyles count="25">
    <cellStyle name="Comma 5" xfId="3" xr:uid="{00000000-0005-0000-0000-000031000000}"/>
    <cellStyle name="Comma_Appendix 4 - Segmented Financials" xfId="4" xr:uid="{00000000-0005-0000-0000-000032000000}"/>
    <cellStyle name="Normal 2" xfId="5" xr:uid="{00000000-0005-0000-0000-000033000000}"/>
    <cellStyle name="Normal 2 2" xfId="6" xr:uid="{00000000-0005-0000-0000-000034000000}"/>
    <cellStyle name="Normal 2 3" xfId="7" xr:uid="{00000000-0005-0000-0000-000035000000}"/>
    <cellStyle name="Normal 3" xfId="8" xr:uid="{00000000-0005-0000-0000-000036000000}"/>
    <cellStyle name="Normal 4" xfId="9" xr:uid="{00000000-0005-0000-0000-000037000000}"/>
    <cellStyle name="Normal_Appendix 3 - Related Party and Controlled Transaction List" xfId="10" xr:uid="{00000000-0005-0000-0000-000038000000}"/>
    <cellStyle name="Normal_Appendix 4 - Segmented Financials" xfId="11" xr:uid="{00000000-0005-0000-0000-000039000000}"/>
    <cellStyle name="Normal_Appendix 6 - Segmented Breakdown of SG&amp;A Expenses" xfId="12" xr:uid="{00000000-0005-0000-0000-00003A000000}"/>
    <cellStyle name="Normal_Appendix 7 - Supplier List" xfId="13" xr:uid="{00000000-0005-0000-0000-00003B000000}"/>
    <cellStyle name="Normal_Appendix 8 - Client List" xfId="14" xr:uid="{00000000-0005-0000-0000-00003C000000}"/>
    <cellStyle name="Normal_FinData" xfId="15" xr:uid="{00000000-0005-0000-0000-00003D000000}"/>
    <cellStyle name="Percent 2" xfId="16" xr:uid="{00000000-0005-0000-0000-00003E000000}"/>
    <cellStyle name="Percent 3" xfId="17" xr:uid="{00000000-0005-0000-0000-00003F000000}"/>
    <cellStyle name="百分比" xfId="2" builtinId="5"/>
    <cellStyle name="百分比 5" xfId="24" xr:uid="{B17AEE28-15E3-4C65-A1AA-A304C26F19D4}"/>
    <cellStyle name="常规" xfId="0" builtinId="0"/>
    <cellStyle name="常规 2" xfId="18" xr:uid="{00000000-0005-0000-0000-000040000000}"/>
    <cellStyle name="常规 3" xfId="19" xr:uid="{00000000-0005-0000-0000-000041000000}"/>
    <cellStyle name="常规 4" xfId="20" xr:uid="{00000000-0005-0000-0000-000042000000}"/>
    <cellStyle name="常规 6" xfId="23" xr:uid="{F1F61688-BF19-4BF7-9EF2-FF0ED598C423}"/>
    <cellStyle name="千位分隔" xfId="1" builtinId="3"/>
    <cellStyle name="千位分隔 2" xfId="21" xr:uid="{00000000-0005-0000-0000-000043000000}"/>
    <cellStyle name="千位分隔 3" xfId="22" xr:uid="{00000000-0005-0000-0000-000044000000}"/>
  </cellStyles>
  <dxfs count="0"/>
  <tableStyles count="0" defaultTableStyle="TableStyleMedium9" defaultPivotStyle="PivotStyleLight16"/>
  <colors>
    <mruColors>
      <color rgb="FF00A7E1"/>
      <color rgb="FF50B848"/>
      <color rgb="FFCCFFFF"/>
      <color rgb="FF7F7F7F"/>
      <color rgb="FF046A38"/>
      <color rgb="FF86BC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50" Type="http://schemas.openxmlformats.org/officeDocument/2006/relationships/externalLink" Target="externalLinks/externalLink28.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www.wps.cn/officeDocument/2023/relationships/customStorage" Target="customStorage/customStorage.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30</xdr:row>
      <xdr:rowOff>12065</xdr:rowOff>
    </xdr:from>
    <xdr:to>
      <xdr:col>4</xdr:col>
      <xdr:colOff>1123315</xdr:colOff>
      <xdr:row>56</xdr:row>
      <xdr:rowOff>40640</xdr:rowOff>
    </xdr:to>
    <xdr:pic>
      <xdr:nvPicPr>
        <xdr:cNvPr id="4" name="图片 3">
          <a:extLst>
            <a:ext uri="{FF2B5EF4-FFF2-40B4-BE49-F238E27FC236}">
              <a16:creationId xmlns:a16="http://schemas.microsoft.com/office/drawing/2014/main" id="{A9E1F7B5-7954-4D3F-ACF5-D8022BDA122D}"/>
            </a:ext>
          </a:extLst>
        </xdr:cNvPr>
        <xdr:cNvPicPr>
          <a:picLocks noChangeAspect="1"/>
        </xdr:cNvPicPr>
      </xdr:nvPicPr>
      <xdr:blipFill>
        <a:blip xmlns:r="http://schemas.openxmlformats.org/officeDocument/2006/relationships" r:embed="rId1"/>
        <a:stretch>
          <a:fillRect/>
        </a:stretch>
      </xdr:blipFill>
      <xdr:spPr>
        <a:xfrm>
          <a:off x="9525" y="47027465"/>
          <a:ext cx="10819765" cy="4981575"/>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657225</xdr:colOff>
      <xdr:row>25</xdr:row>
      <xdr:rowOff>0</xdr:rowOff>
    </xdr:from>
    <xdr:to>
      <xdr:col>0</xdr:col>
      <xdr:colOff>657225</xdr:colOff>
      <xdr:row>25</xdr:row>
      <xdr:rowOff>0</xdr:rowOff>
    </xdr:to>
    <xdr:sp macro="" textlink="">
      <xdr:nvSpPr>
        <xdr:cNvPr id="3" name="Line 1">
          <a:extLst>
            <a:ext uri="{FF2B5EF4-FFF2-40B4-BE49-F238E27FC236}">
              <a16:creationId xmlns:a16="http://schemas.microsoft.com/office/drawing/2014/main" id="{6659008A-2DE3-4E73-AC70-52ECA37FBCBB}"/>
            </a:ext>
          </a:extLst>
        </xdr:cNvPr>
        <xdr:cNvSpPr>
          <a:spLocks noChangeShapeType="1"/>
        </xdr:cNvSpPr>
      </xdr:nvSpPr>
      <xdr:spPr>
        <a:xfrm>
          <a:off x="657225" y="552450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nshgsrv001\data_shanghai\Audit\Client99\Wuerth\Hgb%20and%20Ias\e1999hgb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CQQ4MW7G\&#25105;&#25509;&#25910;&#21040;&#30340;&#25991;&#20214;\Stocktaking\Jan-08\cell\&#21103;&#26412;2%202%2008%20NLOKE_CELL_OH_QTY_W_LOCATO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nshafsbc\Department\Documents%20and%20Settings\shirley.zhang\Local%20Settings\Temp\Cost%20and%20exp%20breakdown-2005%20xls.zip%20&#30340;&#20020;&#26102;&#30446;&#24405;%201\Final\Final%20working%20paper-Hanglas\U%20expense-clear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G&amp;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SC/SSC%20Operation/11%20APV%20New%20Zealand/March%202009/account%20reconciliation/2416/bank%20reconciliation/bank%20reconcil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Q:\SSC\SSC%20Operation\05%20APV%20Manufactory\2012.02\RTR\monthly%20closing\2012\2012.01\HFM\SPX%20Journal%20Adjustments.Jan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ffu/AppData/Local/Deloitte.DA4/Docs/Temp/5000029148/1680902662200000084/24100.01%20Accounts%20Payabl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shafsr03\AUDIT29\My%20Documents\Astra\Astra%2003\Final\LZ\031231.AZ%20Final\My%20Documents\Jobs\2001\BP%20Panyu\MB739502\MB7395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PRFS4002\TAX\LOCALOFF\CLACTNG\WORKING\RAUTE\BREC9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Q:\Documents%20and%20Settings\fsu01\Local%20Settings\Temporary%20Internet%20Files\Content.Outlook\UN3ELM24\Mthly%20BPR\FT%20APAC%20MTD%20Analytic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GAABS1532\aws\My%20Documents\WORK\Hanshin\FY02\Adj%20shee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Users\pzhang10\AppData\Local\Microsoft\Windows\Temporary%20Internet%20Files\Content.Outlook\M0T5MBV8\Monthly%20Close%20Checklist_SPXFLOW_Full%20Entitie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ZQN90B0I\A123(China)%20Payroll%202011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Documents%20and%20Settings\pcorreia\Local%20Settings\Temporary%20Internet%20Files\OLK30\MS-Inventory%20Valuation%20Report%203_13_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tocktaking\Jan-08\cell\&#21103;&#26412;2%202%2008%20NLOKE_CELL_OH_QTY_W_LOCATO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SSC\SSC%20Operation\05%20APV%20Manufactory\RTR%20related\reporting%20package\2011\2011.04\BS%20recon\BS%20recon%20Apr11v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Q:\Users\fsu01\Desktop\TL\Check%20tools\Entity_HFM_Retreive%20(APV_Shanghai)%202013.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040408.sumiko%20cd.spreadshe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Cost%20Report\Mar-2011\Inventory%20value%20report_Ma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SSC\SSC%20Operation\06%20APV%20SH%20Commercial\Reporting%20Package\0908\BS%20Recon\2185_BS%20Reconciliation_09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Worksheet%20in%206110%20AP"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mikshen/Desktop/SPX%20Final/SPX%20Flow%20Final%20PBC.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erikzhang/AppData/Local/Temp/Deloitte.DA3/Docs/45876/2114257856400000001/23300.02%20Other%20Receivable%202015.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Worksheet%20in%206140-1%20AP-&#26242;&#20272;&#26126;&#32454;"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pzhang10/Desktop/SPX%20Flow%20Final%20PBC.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alledeng/Desktop/Valmont/2018/2018wkp/27100%20Related-Party%20Transactions%20and%20Balances%202018(26-03-2019%202.49.54%20PM).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joyao/Desktop/SPX%20CN%20confirmation/For%20pivot.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NSHAFSBC02\Department\Documents%20and%20Settings\ONG%20SENG%20KIAT\Desktop\Documents%20and%20Settings\khoowm\Local%20Settings\Temporary%20Internet%20Files\Content.IE5\ODYBCTIB\CS%20FS%200405%20-%20Fina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NSHAFSBC02\Department\&#26472;&#26376;&#33805;\&#36134;&#40836;\&#21103;&#26412;2004&#24448;&#264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ROEDL-CN\R&amp;P%20Document\CPAs%20Document\Audit%20template\working%20paper\CPA\Z-&#32508;&#21512;&#31867;&#24037;&#20316;&#24213;&#31295;\Z01\Foreign%20invested\PRC%20repor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nifss\vol1\Sales\2007sales\Mar\VHSO\Finance\REPORT\2004%20report\income%20statement-VHSO-Oct-20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y Data"/>
      <sheetName val="031 Comp. list"/>
      <sheetName val="033 Recon. R&amp;L"/>
      <sheetName val="034 Recon. E&amp;I"/>
      <sheetName val="036 Spec. items"/>
      <sheetName val="038 Accruals"/>
      <sheetName val="040 A Bilanz"/>
      <sheetName val="040 B P&amp;L"/>
      <sheetName val="043 Adj. Receiv."/>
      <sheetName val="044 Adj. Inv."/>
      <sheetName val="046 Fixed Ass. mov."/>
      <sheetName val="047 Capital m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
      <sheetName val="U10"/>
      <sheetName val="U20"/>
      <sheetName val="U30"/>
      <sheetName val="U40"/>
      <sheetName val="U50"/>
      <sheetName val="U60"/>
      <sheetName val="U70"/>
      <sheetName val="U80"/>
      <sheetName val="U90"/>
      <sheetName val="U100"/>
      <sheetName val="U110"/>
      <sheetName val="U200-OH"/>
      <sheetName val="U300-G &amp; A"/>
      <sheetName val="U400-Operating Exp"/>
      <sheetName val="U600-profit from other operatio"/>
      <sheetName val="U700-non-operating income"/>
      <sheetName val="U800-non-operating expenses"/>
      <sheetName val="U500-Financial Exp "/>
      <sheetName val="CRA-Detail"/>
      <sheetName val="Control Risk Aspects"/>
      <sheetName val="Customize Work Program"/>
      <sheetName val="Master"/>
      <sheetName val="Sheet5"/>
      <sheetName val="费用明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WIP"/>
      <sheetName val="SFG_ND"/>
      <sheetName val="PPSG09"/>
      <sheetName val="PPSG31"/>
      <sheetName val="PPSG32"/>
      <sheetName val="PPSG33"/>
      <sheetName val="PPSG34"/>
      <sheetName val="PPSG35"/>
      <sheetName val="PPSG41"/>
      <sheetName val="PPSG51"/>
      <sheetName val="PPSG61"/>
      <sheetName val="PPSG71"/>
      <sheetName val="PPSG72"/>
      <sheetName val="PPSG81"/>
      <sheetName val="Adjust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O"/>
      <sheetName val="Bank"/>
      <sheetName val="hk0403"/>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dit Lookup"/>
      <sheetName val="JV"/>
      <sheetName val="Accounts"/>
      <sheetName val="Entities"/>
      <sheetName val="Pd"/>
      <sheetName val="Period"/>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PT for FAR"/>
      <sheetName val="Sheet3"/>
      <sheetName val="Sheet2"/>
      <sheetName val="BKD"/>
      <sheetName val="Check"/>
      <sheetName val="RPT Combine"/>
      <sheetName val="3rd Combine"/>
      <sheetName val="invoiced-3rd"/>
      <sheetName val="invoiced-rpt"/>
      <sheetName val="GIT"/>
      <sheetName val="GRIR-3rd"/>
      <sheetName val="GRIR-rpt"/>
      <sheetName val="PRC to US"/>
      <sheetName val="AP Subsequent Testing"/>
      <sheetName val="GRIR correction 抽样"/>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upporting"/>
      <sheetName val="Abnormal"/>
      <sheetName val="Capex"/>
      <sheetName val="10 Largest Customers"/>
      <sheetName val="InterBP Sales,Purchases&amp;Stocks"/>
      <sheetName val="Qty Sold in kg"/>
      <sheetName val="Sales in Local $"/>
      <sheetName val="Selling Price in kg"/>
      <sheetName val="COGS in Local $"/>
      <sheetName val="COGS per kg"/>
      <sheetName val="GP%"/>
      <sheetName val="dso"/>
      <sheetName val="MthVar_Sales&amp;COS"/>
      <sheetName val="YTDVar_Sales&amp;COS"/>
      <sheetName val="Actual_Budget Analysis - Month"/>
      <sheetName val="Var to Budget_YTD&amp;FYF"/>
      <sheetName val="Budget"/>
      <sheetName val="Qty Sold in kg - Budget"/>
      <sheetName val="Sales in Local $ - Budget"/>
      <sheetName val="COGS in Local $ - Budget"/>
      <sheetName val="Detail_Budget"/>
      <sheetName val="CSV"/>
      <sheetName val="Validation"/>
      <sheetName val="XREF"/>
      <sheetName val="Disposal List-WX"/>
      <sheetName val="parameters"/>
      <sheetName val="checklist"/>
      <sheetName val="平衡"/>
      <sheetName val="其他应付款"/>
      <sheetName val="其它应收款"/>
      <sheetName val="应付账款"/>
      <sheetName val="预付货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n94"/>
      <sheetName val="A6.302"/>
      <sheetName val="A6.303"/>
      <sheetName val="A8.100"/>
      <sheetName val="A2.100"/>
      <sheetName val="AJE-not used"/>
      <sheetName val=" RJE-not used"/>
      <sheetName val="CF2005"/>
      <sheetName val="CF-not used"/>
      <sheetName val="BS restate-not used 05"/>
      <sheetName val="BS 2005"/>
      <sheetName val="PL restate-not used 05"/>
      <sheetName val="PL 2005"/>
      <sheetName val="C101"/>
      <sheetName val="G101"/>
      <sheetName val="G202"/>
      <sheetName val="I101"/>
      <sheetName val="K100"/>
      <sheetName val="K201"/>
      <sheetName val="N101"/>
      <sheetName val="N202"/>
      <sheetName val="N401"/>
      <sheetName val="N501"/>
      <sheetName val="O101"/>
      <sheetName val="O102"/>
      <sheetName val="O103"/>
      <sheetName val="O201"/>
      <sheetName val="O301"/>
      <sheetName val="S101"/>
      <sheetName val="S201"/>
      <sheetName val="T101"/>
      <sheetName val="U101"/>
      <sheetName val="U102"/>
      <sheetName val="U201"/>
      <sheetName val="U301"/>
      <sheetName val="U401"/>
      <sheetName val="U601"/>
      <sheetName val="U701"/>
      <sheetName val="TREASURY "/>
      <sheetName val="a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Income Statement Analytic"/>
      <sheetName val="Balance Sheet Analytic"/>
      <sheetName val="Drill-Down Lists"/>
      <sheetName val="Account Num Descript - Bal Sht "/>
      <sheetName val="Account Num Descript - Inc Stmt"/>
      <sheetName val="Month and Yea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bDetails"/>
      <sheetName val="Cover"/>
      <sheetName val="CFStmt"/>
      <sheetName val="A3-1&amp;2"/>
      <sheetName val="A3-3"/>
      <sheetName val="C"/>
      <sheetName val="G"/>
      <sheetName val="H"/>
      <sheetName val="P"/>
      <sheetName val="T"/>
      <sheetName val="U1"/>
      <sheetName val="AA20"/>
      <sheetName val="U3"/>
      <sheetName val="A3-4"/>
      <sheetName val="A3-5"/>
      <sheetName val="Blank"/>
      <sheetName val="COA"/>
      <sheetName val="TB_05"/>
      <sheetName val="jun94"/>
      <sheetName val="Guide"/>
      <sheetName val="WC"/>
      <sheetName val="Bank (Final)"/>
      <sheetName val="Profit and Loss"/>
      <sheetName val="A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 Analytic"/>
      <sheetName val="Income Statement Analytic"/>
      <sheetName val="Input Period Here"/>
      <sheetName val="Monthly-OOB Summary"/>
      <sheetName val="Actual"/>
      <sheetName val="Month and Year"/>
      <sheetName val="BS&amp;IS"/>
      <sheetName val="pca sets"/>
      <sheetName val="FDM Mapping-BS-ECC5"/>
      <sheetName val="FDM Mapping-IS"/>
      <sheetName val="FDM Mapping-ECC6"/>
      <sheetName val="JE Checking Log"/>
      <sheetName val="Monthly-Direct CF Errors"/>
      <sheetName val="Monthly-Backlog &amp; Orders LC"/>
      <sheetName val="ME Checklist"/>
      <sheetName val="QTR-OOB Summary"/>
      <sheetName val="QTR-Reserve OOB"/>
      <sheetName val="QTR-Supplemental OOB"/>
      <sheetName val="Tax JE-Check"/>
      <sheetName val="Tax BS Roll Review"/>
      <sheetName val="YE OOB"/>
      <sheetName val="Multiple PeriodEntity-Francis"/>
      <sheetName val="All Entities Yearly Comparison"/>
      <sheetName val="Actual Year End"/>
      <sheetName val="Dropdown List"/>
      <sheetName val="Monthly-CF Err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roll"/>
      <sheetName val="Paylist&amp;JE"/>
      <sheetName val="HR Data"/>
      <sheetName val="Attendance"/>
      <sheetName val="Allowance"/>
      <sheetName val="Property"/>
    </sheetNames>
    <sheetDataSet>
      <sheetData sheetId="0"/>
      <sheetData sheetId="1"/>
      <sheetData sheetId="2"/>
      <sheetData sheetId="3"/>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RP16"/>
      <sheetName val="Macro1"/>
    </sheetNames>
    <sheetDataSet>
      <sheetData sheetId="0"/>
      <sheetData sheetId="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Data"/>
      <sheetName val="Cover"/>
      <sheetName val="BSTemplate"/>
      <sheetName val="TB"/>
      <sheetName val="FDM"/>
      <sheetName val="JE"/>
      <sheetName val="HFM"/>
      <sheetName val="BS11100"/>
      <sheetName val="502047"/>
      <sheetName val="502658"/>
      <sheetName val="BOA-USD  (2)"/>
      <sheetName val="BOA-EUR (2)"/>
      <sheetName val="502690"/>
      <sheetName val="bank draft (2)"/>
      <sheetName val="BOC-CNY (2)"/>
      <sheetName val="ICBC-CNY  (2)"/>
      <sheetName val="BS15100"/>
      <sheetName val="AR ageing report"/>
      <sheetName val="BS15200"/>
      <sheetName val="ssc charge"/>
      <sheetName val="deposit"/>
      <sheetName val="bidding deposit"/>
      <sheetName val="BS15300"/>
      <sheetName val="unbilled sales"/>
      <sheetName val="Mengniu adj"/>
      <sheetName val="BS15400"/>
      <sheetName val="accrual sales"/>
      <sheetName val="ICO AR ageing"/>
      <sheetName val="BS15430"/>
      <sheetName val="BOA"/>
      <sheetName val="BS15600"/>
      <sheetName val="bad debt"/>
      <sheetName val="BS15650"/>
      <sheetName val="credit memo resere"/>
      <sheetName val="BS15440"/>
      <sheetName val="BS21100"/>
      <sheetName val="GIT ageing"/>
      <sheetName val="551000 RM"/>
      <sheetName val="BS21200"/>
      <sheetName val="561000"/>
      <sheetName val="Sheet1"/>
      <sheetName val="561010"/>
      <sheetName val="571020"/>
      <sheetName val="BS21300"/>
      <sheetName val="adjust cost"/>
      <sheetName val="552100 "/>
      <sheetName val="552500"/>
      <sheetName val="FG"/>
      <sheetName val="BS23200"/>
      <sheetName val="shrinkage reseve"/>
      <sheetName val="BS21400"/>
      <sheetName val="BS21400-1"/>
      <sheetName val="BS21400-2"/>
      <sheetName val="BS23300"/>
      <sheetName val="585100E&amp;O"/>
      <sheetName val="BS26100"/>
      <sheetName val="BS26200"/>
      <sheetName val="DEFER TAX"/>
      <sheetName val="BS27010"/>
      <sheetName val="Sheet3"/>
      <sheetName val="BS27010-1"/>
      <sheetName val="530301"/>
      <sheetName val="BS27045"/>
      <sheetName val="BS27050"/>
      <sheetName val="540100"/>
      <sheetName val="BS27060"/>
      <sheetName val="540401"/>
      <sheetName val="BS33120"/>
      <sheetName val="BS33130"/>
      <sheetName val="BS33150"/>
      <sheetName val="CIP detail"/>
      <sheetName val="CIP"/>
      <sheetName val="BS33600"/>
      <sheetName val="depre adj"/>
      <sheetName val="FA Intag. GAAP JE"/>
      <sheetName val="FA &amp; Intag full llist"/>
      <sheetName val="BS52100"/>
      <sheetName val="Employee exp"/>
      <sheetName val="AP ageing"/>
      <sheetName val="BS52150"/>
      <sheetName val="detail"/>
      <sheetName val="3rd GRIR"/>
      <sheetName val="731600"/>
      <sheetName val="IC GRIR"/>
      <sheetName val="Sheet2"/>
      <sheetName val="BS52200"/>
      <sheetName val="AP interco"/>
      <sheetName val="BS53670"/>
      <sheetName val="prof fee"/>
      <sheetName val="BS53710"/>
      <sheetName val="VAT Recon"/>
      <sheetName val="output VAT 1507"/>
      <sheetName val="input VAT 1507"/>
      <sheetName val="BS53770"/>
      <sheetName val="COMMISSION"/>
      <sheetName val="BS53810"/>
      <sheetName val="customer adv524710"/>
      <sheetName val="524735&amp;524750"/>
      <sheetName val="731102"/>
      <sheetName val="BS61300"/>
      <sheetName val="BS42100"/>
      <sheetName val="BS53630"/>
      <sheetName val="740040"/>
      <sheetName val="BS27100"/>
      <sheetName val="BS41100"/>
      <sheetName val="651590"/>
      <sheetName val="651595"/>
      <sheetName val="BS42600"/>
      <sheetName val="BS42350"/>
      <sheetName val="BS43600"/>
      <sheetName val="BS43350"/>
      <sheetName val="BS52230"/>
      <sheetName val="BS53100"/>
      <sheetName val="715105"/>
      <sheetName val="BS53200"/>
      <sheetName val="BS53500"/>
      <sheetName val="bonus "/>
      <sheetName val="BS53512"/>
      <sheetName val="BS53510"/>
      <sheetName val="BS53505"/>
      <sheetName val="740070&amp;80&amp;90"/>
      <sheetName val="BS53300"/>
      <sheetName val="Sheet6"/>
      <sheetName val="740010"/>
      <sheetName val="BS53520"/>
      <sheetName val="SIP"/>
      <sheetName val="BS53540"/>
      <sheetName val="736100&amp;736020"/>
      <sheetName val="BS53550"/>
      <sheetName val="735003"/>
      <sheetName val="BS53560"/>
      <sheetName val="711000"/>
      <sheetName val="BS53580"/>
      <sheetName val="vacation pay"/>
      <sheetName val="BS53820"/>
      <sheetName val="specific warrenty1"/>
      <sheetName val="warranty"/>
      <sheetName val="BS53900"/>
      <sheetName val="738001&amp;738002"/>
      <sheetName val="BS62200"/>
      <sheetName val="BS62100"/>
      <sheetName val="BS64900"/>
      <sheetName val="704000"/>
      <sheetName val="BS65900"/>
      <sheetName val="NPV"/>
      <sheetName val="Accretion_Depreciation"/>
      <sheetName val="BS80100"/>
      <sheetName val="BS81100"/>
      <sheetName val="BS85100"/>
      <sheetName val="Journals"/>
      <sheetName val="Depn"/>
      <sheetName val="Details"/>
      <sheetName val="BSTemplate (4)"/>
      <sheetName val="BSTemplate (3)"/>
      <sheetName val="input vat"/>
      <sheetName val="Journals Goodwill adj"/>
      <sheetName val="VAT before bil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Var Summary"/>
      <sheetName val="FT_China_ops"/>
      <sheetName val=" FT_Australia"/>
      <sheetName val="FT_Japan"/>
      <sheetName val=" FT_Singapore"/>
      <sheetName val=" FT_India"/>
      <sheetName val="FT_Korea"/>
      <sheetName val="Balance Sheet Analytic"/>
      <sheetName val="Income Statement Analytic"/>
      <sheetName val="Month and Year"/>
      <sheetName val="Masterdata"/>
      <sheetName val="Entity"/>
      <sheetName val="Check list"/>
      <sheetName val="cou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 310304"/>
      <sheetName val="PRC IAS JA"/>
      <sheetName val="IAS R JA"/>
      <sheetName val="SUAD"/>
      <sheetName val="FS"/>
      <sheetName val="cash flow2004"/>
      <sheetName val="cash flow2003"/>
      <sheetName val="highlight"/>
      <sheetName val="highlight NB"/>
      <sheetName val="IAS highl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ory Value report"/>
      <sheetName val="Macro1"/>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FMBSDB"/>
      <sheetName val="BSTemplate"/>
      <sheetName val="Calcu_BaseUSD"/>
      <sheetName val="Cover"/>
      <sheetName val="Sheet1"/>
      <sheetName val="SPX Account Rec Guidance"/>
      <sheetName val="SAPTB"/>
      <sheetName val="JE Summary"/>
      <sheetName val="HFM BS"/>
      <sheetName val="BS11100"/>
      <sheetName val="501010+502809"/>
      <sheetName val="502809"/>
      <sheetName val="501110+502801"/>
      <sheetName val="502801"/>
      <sheetName val="501000+502808"/>
      <sheetName val="502770"/>
      <sheetName val="502820"/>
      <sheetName val="502830"/>
      <sheetName val="502840"/>
      <sheetName val="BS15100"/>
      <sheetName val="AR3rd"/>
      <sheetName val="BS15200"/>
      <sheetName val="52X000"/>
      <sheetName val="BS15200_bd"/>
      <sheetName val="BS15300"/>
      <sheetName val="571002"/>
      <sheetName val="POC suppotting"/>
      <sheetName val="BS34100"/>
      <sheetName val="cash pool BOA"/>
      <sheetName val="BS15400"/>
      <sheetName val="57X000"/>
      <sheetName val="BS15430"/>
      <sheetName val="BS15440"/>
      <sheetName val="541001"/>
      <sheetName val="541002"/>
      <sheetName val="BS15600"/>
      <sheetName val="BS21100"/>
      <sheetName val="GIT aging"/>
      <sheetName val="BS21200"/>
      <sheetName val="561000"/>
      <sheetName val="561010"/>
      <sheetName val="BS15650"/>
      <sheetName val="Credit Memo"/>
      <sheetName val="credit memo calculate"/>
      <sheetName val="BS21300"/>
      <sheetName val="552X00"/>
      <sheetName val="BS23300"/>
      <sheetName val="wip E&amp;O"/>
      <sheetName val="BS26100"/>
      <sheetName val="BS26200"/>
      <sheetName val="Push down"/>
      <sheetName val="BS27010"/>
      <sheetName val="530302"/>
      <sheetName val="530300"/>
      <sheetName val="BS27050"/>
      <sheetName val="BS27050_BD"/>
      <sheetName val="Amortization template"/>
      <sheetName val="BS27060"/>
      <sheetName val="540400"/>
      <sheetName val="BS27075"/>
      <sheetName val="Deposit"/>
      <sheetName val="BS27100"/>
      <sheetName val="540320"/>
      <sheetName val="540300"/>
      <sheetName val="BS33130"/>
      <sheetName val="BS33600"/>
      <sheetName val="GAAP"/>
      <sheetName val="Status Summary (PA)"/>
      <sheetName val="2185 - China Ltd"/>
      <sheetName val="BS41100"/>
      <sheetName val="651590"/>
      <sheetName val="BS42100"/>
      <sheetName val="BS48205"/>
      <sheetName val="BS48205 supportting "/>
      <sheetName val="BS52100"/>
      <sheetName val="721002"/>
      <sheetName val="72X000"/>
      <sheetName val="BS52150"/>
      <sheetName val="731600"/>
      <sheetName val="721409"/>
      <sheetName val="738400"/>
      <sheetName val="738401"/>
      <sheetName val="738404"/>
      <sheetName val="BS52200"/>
      <sheetName val="77X000"/>
      <sheetName val="ICGIT"/>
      <sheetName val="BS52230"/>
      <sheetName val="Cash Pool"/>
      <sheetName val="BS53200"/>
      <sheetName val="BS53512"/>
      <sheetName val="740090"/>
      <sheetName val="BS53515"/>
      <sheetName val="738600"/>
      <sheetName val="BS53550"/>
      <sheetName val="731801"/>
      <sheetName val="BS53540"/>
      <sheetName val="736000"/>
      <sheetName val="BS53580"/>
      <sheetName val="736210"/>
      <sheetName val="BS53670"/>
      <sheetName val="738100"/>
      <sheetName val="BS53630"/>
      <sheetName val="740040"/>
      <sheetName val="BS53710"/>
      <sheetName val="734001"/>
      <sheetName val="VAT recon"/>
      <sheetName val="not issue invoice"/>
      <sheetName val="VAT input"/>
      <sheetName val="734400"/>
      <sheetName val="BS53770"/>
      <sheetName val="733010"/>
      <sheetName val="BS53810"/>
      <sheetName val="5247XX+731XXX"/>
      <sheetName val="BS53820"/>
      <sheetName val="712000"/>
      <sheetName val="BS53650"/>
      <sheetName val="BS53900"/>
      <sheetName val="738000"/>
      <sheetName val="738018&amp;738001"/>
      <sheetName val="BS61300"/>
      <sheetName val="BS62200"/>
      <sheetName val="BS64900"/>
      <sheetName val="BS80100"/>
      <sheetName val="BS81100"/>
      <sheetName val="BS83100"/>
      <sheetName val="BS851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CJE Details"/>
      <sheetName val="ex.rate 07"/>
      <sheetName val="XREF"/>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oitte Team"/>
      <sheetName val="PBC"/>
      <sheetName val="FA List"/>
      <sheetName val="FA MVT"/>
      <sheetName val="Accrued Liability"/>
      <sheetName val="Sales-Product"/>
      <sheetName val="Sales-Customer"/>
      <sheetName val="GP by Month"/>
      <sheetName val="Manu"/>
      <sheetName val="Non Operating"/>
      <sheetName val="GA"/>
      <sheetName val="Selling"/>
      <sheetName val="Financial"/>
      <sheetName val="Related Party"/>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
      <sheetName val="Staff adv."/>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建信置业"/>
      <sheetName val="杭州华健"/>
      <sheetName val="绍兴信达"/>
      <sheetName val="恒兴房产"/>
      <sheetName val="01-中建置业"/>
      <sheetName val="Tickmarks"/>
      <sheetName val="Interco Balance"/>
      <sheetName val=" BKD "/>
      <sheetName val="Sheet1"/>
      <sheetName val="母公司"/>
      <sheetName val="Leadsheet"/>
      <sheetName val="Dropdown List"/>
      <sheetName val="无形资产汇总表"/>
      <sheetName val="试算平衡表"/>
      <sheetName val="For report-2017"/>
      <sheetName val="5. Resource and Costs Review"/>
      <sheetName val="Sample Design"/>
      <sheetName val="BS"/>
      <sheetName val="PL"/>
      <sheetName val="盘点表"/>
      <sheetName val="A430"/>
      <sheetName val="货币资金-刘超"/>
      <sheetName val="PER SALES ORG"/>
      <sheetName val="银行存款"/>
      <sheetName val="关联方往来余额"/>
      <sheetName val="DANH SÁCH KH -GIÁ"/>
      <sheetName val="B"/>
      <sheetName val="movement"/>
      <sheetName val="其他货币资金.dbf"/>
      <sheetName val="银行存款.dbf"/>
      <sheetName val="递延所得税变动"/>
      <sheetName val="预计负债"/>
      <sheetName val="迈科 - AR"/>
      <sheetName val="Tổng hợp công nợ"/>
      <sheetName val="TGNH-VND"/>
      <sheetName val="CDPS"/>
      <sheetName val="Nhập liệu"/>
      <sheetName val="Danh muc"/>
      <sheetName val="Giá thành"/>
      <sheetName val="Tổng hợp Z"/>
      <sheetName val="Tàikhoản"/>
      <sheetName val="Data"/>
      <sheetName val="NXT"/>
      <sheetName val="Sổ CPKD"/>
      <sheetName val="Lead"/>
      <sheetName val="Links"/>
      <sheetName val="Summary"/>
      <sheetName val="2004"/>
      <sheetName val="关联方往来余额-刘凯、白"/>
      <sheetName val="Plan Control Testing"/>
      <sheetName val="CIP"/>
      <sheetName val="总合并"/>
      <sheetName val="调整明细"/>
      <sheetName val="存货Dy"/>
      <sheetName val="5.基础档案"/>
      <sheetName val="1.合同台账"/>
      <sheetName val="玛钢"/>
      <sheetName val="迈科调整"/>
      <sheetName val="loan database"/>
      <sheetName val="迈科"/>
      <sheetName val="合并层面调整"/>
      <sheetName val="玛钢调整"/>
      <sheetName val="坏账-迈科"/>
      <sheetName val="ECL计算"/>
      <sheetName val="质保金2017"/>
      <sheetName val="YS02-02"/>
      <sheetName val="U1 P&amp;L"/>
      <sheetName val="报表-汇总表核对"/>
      <sheetName val="Worksheet in 6140-1 AP-暂估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oitte Team"/>
      <sheetName val="PBC"/>
      <sheetName val="FA List"/>
      <sheetName val="FA MVT"/>
      <sheetName val="CIT MVT"/>
      <sheetName val="Accrued Liability"/>
      <sheetName val="Sales-Product"/>
      <sheetName val="Sales-Customer"/>
      <sheetName val="GP by Month"/>
      <sheetName val="Manu"/>
      <sheetName val="Non Operating"/>
      <sheetName val="GA"/>
      <sheetName val="Selling"/>
      <sheetName val="Financial"/>
      <sheetName val="Related Party"/>
      <sheetName val="Related Party 2017"/>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
      <sheetName val="1-RPT List"/>
      <sheetName val="2-RPT Transactions and Balances"/>
      <sheetName val="2-1 Confirmation Control"/>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 Breakdown"/>
      <sheetName val="Sheet1"/>
      <sheetName val="mail merge"/>
      <sheetName val="contact"/>
      <sheetName val="Sheet4"/>
      <sheetName val="mail merge (2)"/>
      <sheetName val="Overseas"/>
      <sheetName val="Domest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horisation"/>
      <sheetName val="Summary - P&amp;L (S$)"/>
      <sheetName val="Operational P&amp;L"/>
      <sheetName val="P&amp;L (S$) - Actual Ratio"/>
      <sheetName val="PL(S$)-Actual"/>
      <sheetName val="PL(RMB)-Actual"/>
      <sheetName val="BS (S$) - Actual Ratio"/>
      <sheetName val="BS (S$) - Actual"/>
      <sheetName val="BS (RMB) - Actual"/>
      <sheetName val="AP List - Feb 05"/>
      <sheetName val="Prepayment"/>
      <sheetName val="Inventory Summary"/>
      <sheetName val="Bank"/>
      <sheetName val="ar"/>
      <sheetName val="Other AR"/>
      <sheetName val="FA"/>
      <sheetName val="科目余额表"/>
      <sheetName val="明细分类帐"/>
      <sheetName val="明细分类帐 (2)"/>
      <sheetName val="明细分类帐 (3)"/>
      <sheetName val="明细分类帐 (4)"/>
      <sheetName val="明细分类帐 (5)"/>
      <sheetName val="明细分类帐 (6)"/>
      <sheetName val="2005 YTD Actual"/>
      <sheetName val="jun9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应收"/>
      <sheetName val="应付"/>
      <sheetName val="6-1133"/>
      <sheetName val="其他应付"/>
      <sheetName val="7-1131"/>
      <sheetName val="7-2121"/>
      <sheetName val="7-1133"/>
      <sheetName val="8-1131"/>
      <sheetName val="8-2121"/>
      <sheetName val="9-1131"/>
      <sheetName val="9-2121"/>
      <sheetName val="10-1131"/>
      <sheetName val="10-1133"/>
      <sheetName val="10-2121"/>
      <sheetName val="11-1131"/>
      <sheetName val="11-2121"/>
      <sheetName val="12-1131"/>
      <sheetName val="12-2121-1"/>
      <sheetName val="12-2121"/>
      <sheetName val="Sheet2"/>
      <sheetName val="Sheet1"/>
      <sheetName val="ar"/>
      <sheetName val="JobDetails"/>
      <sheetName val="U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dt"/>
      <sheetName val="客户基本资料"/>
      <sheetName val="资产负债表"/>
      <sheetName val="利润表及分配表"/>
      <sheetName val="现金流量表"/>
      <sheetName val="财务指标统计表"/>
      <sheetName val="外汇情况表"/>
      <sheetName val="经费支出额明细表"/>
      <sheetName val="应纳税调整表(CN)"/>
      <sheetName val="应纳税调整表(EN)"/>
      <sheetName val="负债表CN"/>
      <sheetName val="负债表EN"/>
      <sheetName val="利润表"/>
      <sheetName val="利润表EN"/>
      <sheetName val="流量表CN"/>
      <sheetName val="流量表EN"/>
      <sheetName val="应纳税调整表CN"/>
      <sheetName val="应纳税调整表EN"/>
      <sheetName val="TBHB1-Assets"/>
      <sheetName val="TBHB1-L&amp;E"/>
      <sheetName val="TBHB1-PL"/>
      <sheetName val="税务利润"/>
      <sheetName val="HB1adjustment"/>
      <sheetName val="利润表CN"/>
      <sheetName val="CN-Assets"/>
      <sheetName val="CN-L&amp;E"/>
      <sheetName val="CN-PL"/>
      <sheetName val="reclassify"/>
      <sheetName val="调整"/>
      <sheetName val="toptrial"/>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heetName val="cogs"/>
      <sheetName val="Sales"/>
      <sheetName val="Stock"/>
      <sheetName val="labor"/>
      <sheetName val="overheads"/>
      <sheetName val="GA"/>
      <sheetName val="FE"/>
      <sheetName val="Exchange rate"/>
      <sheetName val="10-2121"/>
      <sheetName val="南海联邦"/>
      <sheetName val="ar"/>
      <sheetName val="级差图"/>
      <sheetName val="增减指示图"/>
      <sheetName val="2列 一个多层(3)"/>
      <sheetName val="AP List "/>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Deloitte new">
      <a:dk1>
        <a:srgbClr val="000000"/>
      </a:dk1>
      <a:lt1>
        <a:srgbClr val="FFFFFF"/>
      </a:lt1>
      <a:dk2>
        <a:srgbClr val="002776"/>
      </a:dk2>
      <a:lt2>
        <a:srgbClr val="FFFFFF"/>
      </a:lt2>
      <a:accent1>
        <a:srgbClr val="00A1DE"/>
      </a:accent1>
      <a:accent2>
        <a:srgbClr val="92D400"/>
      </a:accent2>
      <a:accent3>
        <a:srgbClr val="72C7E7"/>
      </a:accent3>
      <a:accent4>
        <a:srgbClr val="3C8A2E"/>
      </a:accent4>
      <a:accent5>
        <a:srgbClr val="002776"/>
      </a:accent5>
      <a:accent6>
        <a:srgbClr val="C9DD03"/>
      </a:accent6>
      <a:hlink>
        <a:srgbClr val="00A1DE"/>
      </a:hlink>
      <a:folHlink>
        <a:srgbClr val="72C7E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election activeCell="D32" sqref="D32"/>
    </sheetView>
  </sheetViews>
  <sheetFormatPr defaultColWidth="9" defaultRowHeight="14.25"/>
  <cols>
    <col min="1" max="1" width="17.375" customWidth="1"/>
    <col min="2" max="2" width="44.875" customWidth="1"/>
  </cols>
  <sheetData>
    <row r="1" spans="1:2">
      <c r="A1" s="156" t="s">
        <v>0</v>
      </c>
      <c r="B1" t="str">
        <f>'1 组织结构及管理架构'!A1</f>
        <v>上海派智能源股份有限公司</v>
      </c>
    </row>
    <row r="2" spans="1:2">
      <c r="A2" s="156" t="s">
        <v>1</v>
      </c>
      <c r="B2" t="str">
        <f>RIGHT(LEFT('3 分部财务数据'!A5,12),2)</f>
        <v>23</v>
      </c>
    </row>
    <row r="3" spans="1:2">
      <c r="A3" s="156" t="s">
        <v>2</v>
      </c>
      <c r="B3" t="str">
        <f>资料清单!A5</f>
        <v>立信税务师事务所有限公司</v>
      </c>
    </row>
    <row r="4" spans="1:2">
      <c r="A4" s="156" t="s">
        <v>3</v>
      </c>
      <c r="B4" t="str">
        <f>资料清单!A6</f>
        <v>立信税务</v>
      </c>
    </row>
    <row r="5" spans="1:2">
      <c r="A5" s="156" t="s">
        <v>4</v>
      </c>
      <c r="B5" t="str">
        <f>资料清单!A7</f>
        <v>派智能源</v>
      </c>
    </row>
    <row r="6" spans="1:2">
      <c r="A6" s="156" t="s">
        <v>5</v>
      </c>
      <c r="B6">
        <f>资料清单!A8</f>
        <v>0</v>
      </c>
    </row>
    <row r="7" spans="1:2">
      <c r="A7" s="156" t="s">
        <v>6</v>
      </c>
      <c r="B7" t="str">
        <f>集团背景情况!A1</f>
        <v>派智能源是以锂电池制造为基础的高科技企业，公司始创于2004年，经过19年的行业积淀。公司已经发展布局了：总部上海派智，山东派智电子，越南派智以及山东派智新能源4个主要工厂。在境外成立了美国和荷兰子公司，同时2022年在匈牙利新设立了锂电池生产线。公司目前全球员工约1000名，年产能1.82Gwh。
业务涵盖3C、智能吸尘器、电动自行车、电动摩托车、储能等多个领域，致力于为全球客户带来先进的能源解决方案。</v>
      </c>
    </row>
    <row r="8" spans="1:2">
      <c r="A8" s="156" t="s">
        <v>7</v>
      </c>
      <c r="B8" t="str">
        <f>公司经营背景资料!A1</f>
        <v>上海派智成立于2015年02月09日，经营期限为无固定期限。公司主要从事锂电池相关的研发及制造。截至2023年12月31日，公司注册资本为人民币9,415万元。经营地址上海市奉贤区青村镇光明金钱公路3492号第9幢，经营期限无固定期限。注册资本
（截至2023年12月31日）为人民币9,415万元。主要经营活动包括许可项目：货物进出口；技术进出口。（依法须经批准的项目，经相关部门批准后方可开展经营活动，具体经营项目以相关部门批准文件或许可证件为准）一般项目：一般项目：新兴能源技术研发；新能源汽车电附件销售；新能源原动设备销售；技术服务、技术开发、技术咨询、技术交流、技术转让、技术推广（人体干细胞、基因诊断与治疗技术开发和应用除外）；电池销售；电池制造；电池研发；电动自行车销售；助动车研发；助动车制造；电机及其控制系统研发；光伏设备及元器件制造；光伏设备及元器件销售；光伏设备及元器件研发；集成电路制造；集成电路销售；集成电路研发；互联网销售（除销售需要许可的商品）；电子元器件批发；电子元器件零售。（除依法须经批准的项目外，凭营业执照依法自主开展经营活动）总经办7人，负责全公司的常规运维工作，部门负责人对总经办汇报，汇报对象主要办公地上海。事业部148人，负责事业部经营运维工作，部门负责人对总经办汇报，汇报对象主要办公地上海。财务中心17人，负责公司财务核算分析工作，部门负责人对总经办汇报，汇报对象主要办公地上海。营销中心44人，负责公司产品的销售工作，部门负责人对总经办汇报，汇报对象主要办公地上海。
研发中心2人，负责公司产品的研究开发工作，部门负责人对总经办汇报，汇报对象主要办公地上海。运营中心122人，负责公司产品的生产工作，新供应商 、新物料的采购开发，信息化建设或优化，人员管理及后勤工作，部门负责人对总经办汇报，汇报对象主要办公地上海。总计340人。	
评估期间，上海派智从事锂电池制造业务，主营业务收入948,194,916.22元，主营业务成本804,743,968.37元，营业税金及附加3,270,449.93元，销售费用55,298,620.54元，管理费用85,657,237.96元，资产减值损失-1,388,027.19元，总成本947,582,249.61元，息税前利润612,666.61元，完全成本加成率0.06%主营业务收入948,194,916.22元，主营业务成本804,743,968.37元，营业税金及附加3,270,449.93元，销售费用55,298,620.54元，管理费用85,657,237.96元，资产减值损失-1,388,027.19元，总成本947,582,249.61元，息税前利润612,666.61元，完全成本加成率0.06%主营业务收入948,194,916.22元，主营业务成本804,743,968.37元，营业税金及附加3,270,449.93元，销售费用55,298,620.54元，管理费用85,657,237.96元，资产减值损失-1,388,027.19元，总成本947,582,249.61元，息税前利润612,666.61元，完全成本加成率0.06%。上海派智在2023年度不仅进行生产与销售业务，同时还向第三方客户销售其从第三方采购的原材料（“第三方原料分销”），金额为267,037,913.78元。由于上述第三方原料分销业务与关联交易无关，而其与关联方的业务往来均与其的生产销售业务活动密切相关且不可分割。因此，我们主要对其生产销售业务相关（即受测关联交易）的财务数据进行分析和验证，具体参见章节7.4.2的确定与受测关联交易相关的财务数据。</v>
      </c>
    </row>
    <row r="9" spans="1:2">
      <c r="A9" s="156"/>
    </row>
  </sheetData>
  <phoneticPr fontId="7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A19" sqref="A19"/>
    </sheetView>
  </sheetViews>
  <sheetFormatPr defaultColWidth="9" defaultRowHeight="14.25"/>
  <cols>
    <col min="1" max="1" width="61.875" customWidth="1"/>
  </cols>
  <sheetData>
    <row r="1" spans="1:1" ht="99.75">
      <c r="A1" s="181" t="s">
        <v>234</v>
      </c>
    </row>
    <row r="2" spans="1:1">
      <c r="A2" s="156"/>
    </row>
  </sheetData>
  <phoneticPr fontId="7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A11" sqref="A11:A13"/>
    </sheetView>
  </sheetViews>
  <sheetFormatPr defaultColWidth="9" defaultRowHeight="14.25"/>
  <cols>
    <col min="1" max="1" width="128.875" customWidth="1"/>
  </cols>
  <sheetData>
    <row r="1" spans="1:1" ht="355.5" customHeight="1">
      <c r="A1" s="181" t="s">
        <v>235</v>
      </c>
    </row>
  </sheetData>
  <phoneticPr fontId="7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7"/>
  <sheetViews>
    <sheetView workbookViewId="0">
      <selection activeCell="C6" sqref="C6"/>
    </sheetView>
  </sheetViews>
  <sheetFormatPr defaultColWidth="9" defaultRowHeight="14.25"/>
  <cols>
    <col min="1" max="1" width="30" customWidth="1"/>
    <col min="2" max="2" width="176.75" customWidth="1"/>
  </cols>
  <sheetData>
    <row r="1" spans="1:2" ht="142.5">
      <c r="A1" s="156" t="s">
        <v>222</v>
      </c>
      <c r="B1" s="181" t="s">
        <v>223</v>
      </c>
    </row>
    <row r="2" spans="1:2" ht="228">
      <c r="A2" s="156" t="s">
        <v>224</v>
      </c>
      <c r="B2" s="181" t="s">
        <v>225</v>
      </c>
    </row>
    <row r="3" spans="1:2" ht="313.5">
      <c r="A3" s="156" t="s">
        <v>226</v>
      </c>
      <c r="B3" s="181" t="s">
        <v>227</v>
      </c>
    </row>
    <row r="4" spans="1:2" ht="99.75">
      <c r="A4" s="156" t="s">
        <v>228</v>
      </c>
      <c r="B4" s="181" t="s">
        <v>229</v>
      </c>
    </row>
    <row r="5" spans="1:2" ht="187.5">
      <c r="A5" s="156" t="s">
        <v>230</v>
      </c>
      <c r="B5" s="181" t="s">
        <v>231</v>
      </c>
    </row>
    <row r="6" spans="1:2" ht="128.25">
      <c r="A6" s="156" t="s">
        <v>232</v>
      </c>
      <c r="B6" s="181" t="s">
        <v>233</v>
      </c>
    </row>
    <row r="7" spans="1:2">
      <c r="B7" s="182"/>
    </row>
    <row r="8" spans="1:2">
      <c r="B8" s="182"/>
    </row>
    <row r="9" spans="1:2">
      <c r="B9" s="183"/>
    </row>
    <row r="10" spans="1:2">
      <c r="B10" s="182"/>
    </row>
    <row r="11" spans="1:2">
      <c r="B11" s="183"/>
    </row>
    <row r="12" spans="1:2">
      <c r="B12" s="182"/>
    </row>
    <row r="13" spans="1:2">
      <c r="B13" s="183"/>
    </row>
    <row r="14" spans="1:2">
      <c r="B14" s="182"/>
    </row>
    <row r="15" spans="1:2">
      <c r="B15" s="183"/>
    </row>
    <row r="16" spans="1:2">
      <c r="B16" s="182"/>
    </row>
    <row r="17" spans="2:2">
      <c r="B17" s="184"/>
    </row>
  </sheetData>
  <phoneticPr fontId="7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election activeCell="B2" sqref="B2"/>
    </sheetView>
  </sheetViews>
  <sheetFormatPr defaultColWidth="9" defaultRowHeight="14.25"/>
  <cols>
    <col min="1" max="1" width="21.625" customWidth="1"/>
  </cols>
  <sheetData>
    <row r="1" spans="1:2">
      <c r="A1" s="156" t="s">
        <v>9</v>
      </c>
      <c r="B1" s="180">
        <v>3.73E-2</v>
      </c>
    </row>
    <row r="2" spans="1:2">
      <c r="B2" s="157" t="s">
        <v>10</v>
      </c>
    </row>
  </sheetData>
  <phoneticPr fontId="7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rgb="FF002060"/>
    <pageSetUpPr fitToPage="1"/>
  </sheetPr>
  <dimension ref="A1:C22"/>
  <sheetViews>
    <sheetView showGridLines="0" view="pageBreakPreview" zoomScaleNormal="100" workbookViewId="0">
      <selection activeCell="A14" sqref="A14"/>
    </sheetView>
  </sheetViews>
  <sheetFormatPr defaultColWidth="9" defaultRowHeight="15"/>
  <cols>
    <col min="1" max="1" width="109.625" style="163" customWidth="1"/>
    <col min="2" max="2" width="26.625" style="163" customWidth="1"/>
    <col min="3" max="254" width="9" style="163"/>
    <col min="255" max="255" width="67.625" style="163" customWidth="1"/>
    <col min="256" max="256" width="17.125" style="163" customWidth="1"/>
    <col min="257" max="257" width="31.125" style="163" customWidth="1"/>
    <col min="258" max="510" width="9" style="163"/>
    <col min="511" max="511" width="67.625" style="163" customWidth="1"/>
    <col min="512" max="512" width="17.125" style="163" customWidth="1"/>
    <col min="513" max="513" width="31.125" style="163" customWidth="1"/>
    <col min="514" max="766" width="9" style="163"/>
    <col min="767" max="767" width="67.625" style="163" customWidth="1"/>
    <col min="768" max="768" width="17.125" style="163" customWidth="1"/>
    <col min="769" max="769" width="31.125" style="163" customWidth="1"/>
    <col min="770" max="1022" width="9" style="163"/>
    <col min="1023" max="1023" width="67.625" style="163" customWidth="1"/>
    <col min="1024" max="1024" width="17.125" style="163" customWidth="1"/>
    <col min="1025" max="1025" width="31.125" style="163" customWidth="1"/>
    <col min="1026" max="1278" width="9" style="163"/>
    <col min="1279" max="1279" width="67.625" style="163" customWidth="1"/>
    <col min="1280" max="1280" width="17.125" style="163" customWidth="1"/>
    <col min="1281" max="1281" width="31.125" style="163" customWidth="1"/>
    <col min="1282" max="1534" width="9" style="163"/>
    <col min="1535" max="1535" width="67.625" style="163" customWidth="1"/>
    <col min="1536" max="1536" width="17.125" style="163" customWidth="1"/>
    <col min="1537" max="1537" width="31.125" style="163" customWidth="1"/>
    <col min="1538" max="1790" width="9" style="163"/>
    <col min="1791" max="1791" width="67.625" style="163" customWidth="1"/>
    <col min="1792" max="1792" width="17.125" style="163" customWidth="1"/>
    <col min="1793" max="1793" width="31.125" style="163" customWidth="1"/>
    <col min="1794" max="2046" width="9" style="163"/>
    <col min="2047" max="2047" width="67.625" style="163" customWidth="1"/>
    <col min="2048" max="2048" width="17.125" style="163" customWidth="1"/>
    <col min="2049" max="2049" width="31.125" style="163" customWidth="1"/>
    <col min="2050" max="2302" width="9" style="163"/>
    <col min="2303" max="2303" width="67.625" style="163" customWidth="1"/>
    <col min="2304" max="2304" width="17.125" style="163" customWidth="1"/>
    <col min="2305" max="2305" width="31.125" style="163" customWidth="1"/>
    <col min="2306" max="2558" width="9" style="163"/>
    <col min="2559" max="2559" width="67.625" style="163" customWidth="1"/>
    <col min="2560" max="2560" width="17.125" style="163" customWidth="1"/>
    <col min="2561" max="2561" width="31.125" style="163" customWidth="1"/>
    <col min="2562" max="2814" width="9" style="163"/>
    <col min="2815" max="2815" width="67.625" style="163" customWidth="1"/>
    <col min="2816" max="2816" width="17.125" style="163" customWidth="1"/>
    <col min="2817" max="2817" width="31.125" style="163" customWidth="1"/>
    <col min="2818" max="3070" width="9" style="163"/>
    <col min="3071" max="3071" width="67.625" style="163" customWidth="1"/>
    <col min="3072" max="3072" width="17.125" style="163" customWidth="1"/>
    <col min="3073" max="3073" width="31.125" style="163" customWidth="1"/>
    <col min="3074" max="3326" width="9" style="163"/>
    <col min="3327" max="3327" width="67.625" style="163" customWidth="1"/>
    <col min="3328" max="3328" width="17.125" style="163" customWidth="1"/>
    <col min="3329" max="3329" width="31.125" style="163" customWidth="1"/>
    <col min="3330" max="3582" width="9" style="163"/>
    <col min="3583" max="3583" width="67.625" style="163" customWidth="1"/>
    <col min="3584" max="3584" width="17.125" style="163" customWidth="1"/>
    <col min="3585" max="3585" width="31.125" style="163" customWidth="1"/>
    <col min="3586" max="3838" width="9" style="163"/>
    <col min="3839" max="3839" width="67.625" style="163" customWidth="1"/>
    <col min="3840" max="3840" width="17.125" style="163" customWidth="1"/>
    <col min="3841" max="3841" width="31.125" style="163" customWidth="1"/>
    <col min="3842" max="4094" width="9" style="163"/>
    <col min="4095" max="4095" width="67.625" style="163" customWidth="1"/>
    <col min="4096" max="4096" width="17.125" style="163" customWidth="1"/>
    <col min="4097" max="4097" width="31.125" style="163" customWidth="1"/>
    <col min="4098" max="4350" width="9" style="163"/>
    <col min="4351" max="4351" width="67.625" style="163" customWidth="1"/>
    <col min="4352" max="4352" width="17.125" style="163" customWidth="1"/>
    <col min="4353" max="4353" width="31.125" style="163" customWidth="1"/>
    <col min="4354" max="4606" width="9" style="163"/>
    <col min="4607" max="4607" width="67.625" style="163" customWidth="1"/>
    <col min="4608" max="4608" width="17.125" style="163" customWidth="1"/>
    <col min="4609" max="4609" width="31.125" style="163" customWidth="1"/>
    <col min="4610" max="4862" width="9" style="163"/>
    <col min="4863" max="4863" width="67.625" style="163" customWidth="1"/>
    <col min="4864" max="4864" width="17.125" style="163" customWidth="1"/>
    <col min="4865" max="4865" width="31.125" style="163" customWidth="1"/>
    <col min="4866" max="5118" width="9" style="163"/>
    <col min="5119" max="5119" width="67.625" style="163" customWidth="1"/>
    <col min="5120" max="5120" width="17.125" style="163" customWidth="1"/>
    <col min="5121" max="5121" width="31.125" style="163" customWidth="1"/>
    <col min="5122" max="5374" width="9" style="163"/>
    <col min="5375" max="5375" width="67.625" style="163" customWidth="1"/>
    <col min="5376" max="5376" width="17.125" style="163" customWidth="1"/>
    <col min="5377" max="5377" width="31.125" style="163" customWidth="1"/>
    <col min="5378" max="5630" width="9" style="163"/>
    <col min="5631" max="5631" width="67.625" style="163" customWidth="1"/>
    <col min="5632" max="5632" width="17.125" style="163" customWidth="1"/>
    <col min="5633" max="5633" width="31.125" style="163" customWidth="1"/>
    <col min="5634" max="5886" width="9" style="163"/>
    <col min="5887" max="5887" width="67.625" style="163" customWidth="1"/>
    <col min="5888" max="5888" width="17.125" style="163" customWidth="1"/>
    <col min="5889" max="5889" width="31.125" style="163" customWidth="1"/>
    <col min="5890" max="6142" width="9" style="163"/>
    <col min="6143" max="6143" width="67.625" style="163" customWidth="1"/>
    <col min="6144" max="6144" width="17.125" style="163" customWidth="1"/>
    <col min="6145" max="6145" width="31.125" style="163" customWidth="1"/>
    <col min="6146" max="6398" width="9" style="163"/>
    <col min="6399" max="6399" width="67.625" style="163" customWidth="1"/>
    <col min="6400" max="6400" width="17.125" style="163" customWidth="1"/>
    <col min="6401" max="6401" width="31.125" style="163" customWidth="1"/>
    <col min="6402" max="6654" width="9" style="163"/>
    <col min="6655" max="6655" width="67.625" style="163" customWidth="1"/>
    <col min="6656" max="6656" width="17.125" style="163" customWidth="1"/>
    <col min="6657" max="6657" width="31.125" style="163" customWidth="1"/>
    <col min="6658" max="6910" width="9" style="163"/>
    <col min="6911" max="6911" width="67.625" style="163" customWidth="1"/>
    <col min="6912" max="6912" width="17.125" style="163" customWidth="1"/>
    <col min="6913" max="6913" width="31.125" style="163" customWidth="1"/>
    <col min="6914" max="7166" width="9" style="163"/>
    <col min="7167" max="7167" width="67.625" style="163" customWidth="1"/>
    <col min="7168" max="7168" width="17.125" style="163" customWidth="1"/>
    <col min="7169" max="7169" width="31.125" style="163" customWidth="1"/>
    <col min="7170" max="7422" width="9" style="163"/>
    <col min="7423" max="7423" width="67.625" style="163" customWidth="1"/>
    <col min="7424" max="7424" width="17.125" style="163" customWidth="1"/>
    <col min="7425" max="7425" width="31.125" style="163" customWidth="1"/>
    <col min="7426" max="7678" width="9" style="163"/>
    <col min="7679" max="7679" width="67.625" style="163" customWidth="1"/>
    <col min="7680" max="7680" width="17.125" style="163" customWidth="1"/>
    <col min="7681" max="7681" width="31.125" style="163" customWidth="1"/>
    <col min="7682" max="7934" width="9" style="163"/>
    <col min="7935" max="7935" width="67.625" style="163" customWidth="1"/>
    <col min="7936" max="7936" width="17.125" style="163" customWidth="1"/>
    <col min="7937" max="7937" width="31.125" style="163" customWidth="1"/>
    <col min="7938" max="8190" width="9" style="163"/>
    <col min="8191" max="8191" width="67.625" style="163" customWidth="1"/>
    <col min="8192" max="8192" width="17.125" style="163" customWidth="1"/>
    <col min="8193" max="8193" width="31.125" style="163" customWidth="1"/>
    <col min="8194" max="8446" width="9" style="163"/>
    <col min="8447" max="8447" width="67.625" style="163" customWidth="1"/>
    <col min="8448" max="8448" width="17.125" style="163" customWidth="1"/>
    <col min="8449" max="8449" width="31.125" style="163" customWidth="1"/>
    <col min="8450" max="8702" width="9" style="163"/>
    <col min="8703" max="8703" width="67.625" style="163" customWidth="1"/>
    <col min="8704" max="8704" width="17.125" style="163" customWidth="1"/>
    <col min="8705" max="8705" width="31.125" style="163" customWidth="1"/>
    <col min="8706" max="8958" width="9" style="163"/>
    <col min="8959" max="8959" width="67.625" style="163" customWidth="1"/>
    <col min="8960" max="8960" width="17.125" style="163" customWidth="1"/>
    <col min="8961" max="8961" width="31.125" style="163" customWidth="1"/>
    <col min="8962" max="9214" width="9" style="163"/>
    <col min="9215" max="9215" width="67.625" style="163" customWidth="1"/>
    <col min="9216" max="9216" width="17.125" style="163" customWidth="1"/>
    <col min="9217" max="9217" width="31.125" style="163" customWidth="1"/>
    <col min="9218" max="9470" width="9" style="163"/>
    <col min="9471" max="9471" width="67.625" style="163" customWidth="1"/>
    <col min="9472" max="9472" width="17.125" style="163" customWidth="1"/>
    <col min="9473" max="9473" width="31.125" style="163" customWidth="1"/>
    <col min="9474" max="9726" width="9" style="163"/>
    <col min="9727" max="9727" width="67.625" style="163" customWidth="1"/>
    <col min="9728" max="9728" width="17.125" style="163" customWidth="1"/>
    <col min="9729" max="9729" width="31.125" style="163" customWidth="1"/>
    <col min="9730" max="9982" width="9" style="163"/>
    <col min="9983" max="9983" width="67.625" style="163" customWidth="1"/>
    <col min="9984" max="9984" width="17.125" style="163" customWidth="1"/>
    <col min="9985" max="9985" width="31.125" style="163" customWidth="1"/>
    <col min="9986" max="10238" width="9" style="163"/>
    <col min="10239" max="10239" width="67.625" style="163" customWidth="1"/>
    <col min="10240" max="10240" width="17.125" style="163" customWidth="1"/>
    <col min="10241" max="10241" width="31.125" style="163" customWidth="1"/>
    <col min="10242" max="10494" width="9" style="163"/>
    <col min="10495" max="10495" width="67.625" style="163" customWidth="1"/>
    <col min="10496" max="10496" width="17.125" style="163" customWidth="1"/>
    <col min="10497" max="10497" width="31.125" style="163" customWidth="1"/>
    <col min="10498" max="10750" width="9" style="163"/>
    <col min="10751" max="10751" width="67.625" style="163" customWidth="1"/>
    <col min="10752" max="10752" width="17.125" style="163" customWidth="1"/>
    <col min="10753" max="10753" width="31.125" style="163" customWidth="1"/>
    <col min="10754" max="11006" width="9" style="163"/>
    <col min="11007" max="11007" width="67.625" style="163" customWidth="1"/>
    <col min="11008" max="11008" width="17.125" style="163" customWidth="1"/>
    <col min="11009" max="11009" width="31.125" style="163" customWidth="1"/>
    <col min="11010" max="11262" width="9" style="163"/>
    <col min="11263" max="11263" width="67.625" style="163" customWidth="1"/>
    <col min="11264" max="11264" width="17.125" style="163" customWidth="1"/>
    <col min="11265" max="11265" width="31.125" style="163" customWidth="1"/>
    <col min="11266" max="11518" width="9" style="163"/>
    <col min="11519" max="11519" width="67.625" style="163" customWidth="1"/>
    <col min="11520" max="11520" width="17.125" style="163" customWidth="1"/>
    <col min="11521" max="11521" width="31.125" style="163" customWidth="1"/>
    <col min="11522" max="11774" width="9" style="163"/>
    <col min="11775" max="11775" width="67.625" style="163" customWidth="1"/>
    <col min="11776" max="11776" width="17.125" style="163" customWidth="1"/>
    <col min="11777" max="11777" width="31.125" style="163" customWidth="1"/>
    <col min="11778" max="12030" width="9" style="163"/>
    <col min="12031" max="12031" width="67.625" style="163" customWidth="1"/>
    <col min="12032" max="12032" width="17.125" style="163" customWidth="1"/>
    <col min="12033" max="12033" width="31.125" style="163" customWidth="1"/>
    <col min="12034" max="12286" width="9" style="163"/>
    <col min="12287" max="12287" width="67.625" style="163" customWidth="1"/>
    <col min="12288" max="12288" width="17.125" style="163" customWidth="1"/>
    <col min="12289" max="12289" width="31.125" style="163" customWidth="1"/>
    <col min="12290" max="12542" width="9" style="163"/>
    <col min="12543" max="12543" width="67.625" style="163" customWidth="1"/>
    <col min="12544" max="12544" width="17.125" style="163" customWidth="1"/>
    <col min="12545" max="12545" width="31.125" style="163" customWidth="1"/>
    <col min="12546" max="12798" width="9" style="163"/>
    <col min="12799" max="12799" width="67.625" style="163" customWidth="1"/>
    <col min="12800" max="12800" width="17.125" style="163" customWidth="1"/>
    <col min="12801" max="12801" width="31.125" style="163" customWidth="1"/>
    <col min="12802" max="13054" width="9" style="163"/>
    <col min="13055" max="13055" width="67.625" style="163" customWidth="1"/>
    <col min="13056" max="13056" width="17.125" style="163" customWidth="1"/>
    <col min="13057" max="13057" width="31.125" style="163" customWidth="1"/>
    <col min="13058" max="13310" width="9" style="163"/>
    <col min="13311" max="13311" width="67.625" style="163" customWidth="1"/>
    <col min="13312" max="13312" width="17.125" style="163" customWidth="1"/>
    <col min="13313" max="13313" width="31.125" style="163" customWidth="1"/>
    <col min="13314" max="13566" width="9" style="163"/>
    <col min="13567" max="13567" width="67.625" style="163" customWidth="1"/>
    <col min="13568" max="13568" width="17.125" style="163" customWidth="1"/>
    <col min="13569" max="13569" width="31.125" style="163" customWidth="1"/>
    <col min="13570" max="13822" width="9" style="163"/>
    <col min="13823" max="13823" width="67.625" style="163" customWidth="1"/>
    <col min="13824" max="13824" width="17.125" style="163" customWidth="1"/>
    <col min="13825" max="13825" width="31.125" style="163" customWidth="1"/>
    <col min="13826" max="14078" width="9" style="163"/>
    <col min="14079" max="14079" width="67.625" style="163" customWidth="1"/>
    <col min="14080" max="14080" width="17.125" style="163" customWidth="1"/>
    <col min="14081" max="14081" width="31.125" style="163" customWidth="1"/>
    <col min="14082" max="14334" width="9" style="163"/>
    <col min="14335" max="14335" width="67.625" style="163" customWidth="1"/>
    <col min="14336" max="14336" width="17.125" style="163" customWidth="1"/>
    <col min="14337" max="14337" width="31.125" style="163" customWidth="1"/>
    <col min="14338" max="14590" width="9" style="163"/>
    <col min="14591" max="14591" width="67.625" style="163" customWidth="1"/>
    <col min="14592" max="14592" width="17.125" style="163" customWidth="1"/>
    <col min="14593" max="14593" width="31.125" style="163" customWidth="1"/>
    <col min="14594" max="14846" width="9" style="163"/>
    <col min="14847" max="14847" width="67.625" style="163" customWidth="1"/>
    <col min="14848" max="14848" width="17.125" style="163" customWidth="1"/>
    <col min="14849" max="14849" width="31.125" style="163" customWidth="1"/>
    <col min="14850" max="15102" width="9" style="163"/>
    <col min="15103" max="15103" width="67.625" style="163" customWidth="1"/>
    <col min="15104" max="15104" width="17.125" style="163" customWidth="1"/>
    <col min="15105" max="15105" width="31.125" style="163" customWidth="1"/>
    <col min="15106" max="15358" width="9" style="163"/>
    <col min="15359" max="15359" width="67.625" style="163" customWidth="1"/>
    <col min="15360" max="15360" width="17.125" style="163" customWidth="1"/>
    <col min="15361" max="15361" width="31.125" style="163" customWidth="1"/>
    <col min="15362" max="15614" width="9" style="163"/>
    <col min="15615" max="15615" width="67.625" style="163" customWidth="1"/>
    <col min="15616" max="15616" width="17.125" style="163" customWidth="1"/>
    <col min="15617" max="15617" width="31.125" style="163" customWidth="1"/>
    <col min="15618" max="15870" width="9" style="163"/>
    <col min="15871" max="15871" width="67.625" style="163" customWidth="1"/>
    <col min="15872" max="15872" width="17.125" style="163" customWidth="1"/>
    <col min="15873" max="15873" width="31.125" style="163" customWidth="1"/>
    <col min="15874" max="16126" width="9" style="163"/>
    <col min="16127" max="16127" width="67.625" style="163" customWidth="1"/>
    <col min="16128" max="16128" width="17.125" style="163" customWidth="1"/>
    <col min="16129" max="16129" width="31.125" style="163" customWidth="1"/>
    <col min="16130" max="16384" width="9" style="163"/>
  </cols>
  <sheetData>
    <row r="1" spans="1:3" ht="15.75">
      <c r="A1" s="289" t="s">
        <v>11</v>
      </c>
      <c r="B1" s="289"/>
      <c r="C1" s="164"/>
    </row>
    <row r="2" spans="1:3">
      <c r="A2" s="165"/>
      <c r="B2" s="165"/>
      <c r="C2" s="164"/>
    </row>
    <row r="3" spans="1:3" ht="13.5" customHeight="1">
      <c r="A3" s="166"/>
      <c r="B3" s="167"/>
      <c r="C3" s="164"/>
    </row>
    <row r="4" spans="1:3" ht="155.25" customHeight="1">
      <c r="A4" s="290" t="s">
        <v>221</v>
      </c>
      <c r="B4" s="290"/>
    </row>
    <row r="5" spans="1:3" ht="57.6" customHeight="1">
      <c r="A5" s="169" t="s">
        <v>12</v>
      </c>
      <c r="B5" s="168"/>
    </row>
    <row r="6" spans="1:3" ht="57.6" customHeight="1">
      <c r="A6" s="170" t="s">
        <v>13</v>
      </c>
      <c r="B6" s="168"/>
    </row>
    <row r="7" spans="1:3" ht="57.6" customHeight="1">
      <c r="A7" s="170" t="s">
        <v>220</v>
      </c>
      <c r="B7" s="168"/>
    </row>
    <row r="8" spans="1:3" ht="57.6" customHeight="1">
      <c r="A8" s="171"/>
      <c r="B8" s="168"/>
    </row>
    <row r="9" spans="1:3" ht="24.75" customHeight="1">
      <c r="A9" s="172" t="s">
        <v>14</v>
      </c>
      <c r="B9" s="172" t="s">
        <v>15</v>
      </c>
    </row>
    <row r="10" spans="1:3" ht="20.25" customHeight="1">
      <c r="A10" s="291" t="s">
        <v>16</v>
      </c>
      <c r="B10" s="291"/>
    </row>
    <row r="11" spans="1:3" ht="24" customHeight="1">
      <c r="A11" s="173" t="s">
        <v>17</v>
      </c>
      <c r="B11" s="174" t="s">
        <v>18</v>
      </c>
    </row>
    <row r="12" spans="1:3" ht="24" customHeight="1">
      <c r="A12" s="173" t="s">
        <v>19</v>
      </c>
      <c r="B12" s="292" t="s">
        <v>20</v>
      </c>
    </row>
    <row r="13" spans="1:3" ht="24" customHeight="1">
      <c r="A13" s="173" t="s">
        <v>21</v>
      </c>
      <c r="B13" s="293"/>
    </row>
    <row r="14" spans="1:3" ht="23.1" customHeight="1">
      <c r="A14" s="173" t="s">
        <v>22</v>
      </c>
      <c r="B14" s="174" t="s">
        <v>23</v>
      </c>
    </row>
    <row r="15" spans="1:3" ht="22.5" customHeight="1">
      <c r="A15" s="291" t="s">
        <v>24</v>
      </c>
      <c r="B15" s="291"/>
    </row>
    <row r="16" spans="1:3" ht="24" customHeight="1">
      <c r="A16" s="173" t="s">
        <v>25</v>
      </c>
      <c r="B16" s="174" t="s">
        <v>26</v>
      </c>
    </row>
    <row r="17" spans="1:2" ht="24" customHeight="1">
      <c r="A17" s="173" t="s">
        <v>27</v>
      </c>
      <c r="B17" s="175" t="s">
        <v>28</v>
      </c>
    </row>
    <row r="18" spans="1:2" ht="24" customHeight="1">
      <c r="A18" s="173" t="s">
        <v>29</v>
      </c>
      <c r="B18" s="176" t="s">
        <v>30</v>
      </c>
    </row>
    <row r="19" spans="1:2" ht="24" customHeight="1">
      <c r="A19" s="173" t="s">
        <v>31</v>
      </c>
      <c r="B19" s="175" t="s">
        <v>32</v>
      </c>
    </row>
    <row r="20" spans="1:2" ht="24" customHeight="1">
      <c r="A20" s="173" t="s">
        <v>33</v>
      </c>
      <c r="B20" s="177" t="s">
        <v>34</v>
      </c>
    </row>
    <row r="21" spans="1:2" ht="24" customHeight="1">
      <c r="A21" s="178" t="s">
        <v>35</v>
      </c>
      <c r="B21" s="179" t="s">
        <v>36</v>
      </c>
    </row>
    <row r="22" spans="1:2" ht="43.5" customHeight="1"/>
  </sheetData>
  <mergeCells count="5">
    <mergeCell ref="A1:B1"/>
    <mergeCell ref="A4:B4"/>
    <mergeCell ref="A10:B10"/>
    <mergeCell ref="A15:B15"/>
    <mergeCell ref="B12:B13"/>
  </mergeCells>
  <phoneticPr fontId="75" type="noConversion"/>
  <printOptions horizontalCentered="1"/>
  <pageMargins left="0.70866141732283505" right="0.70866141732283505" top="0.74803149606299202" bottom="0.74803149606299202" header="0.31496062992126" footer="0.31496062992126"/>
  <pageSetup paperSize="9" scale="90" fitToHeight="0" orientation="landscape" r:id="rId1"/>
  <headerFooter>
    <oddFooter>&amp;C&amp;"Times New Roman,Bold"&amp;10&lt;DRAFT - FOR DISCUSSION PURPOSES ONLY&gt;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rgb="FFFFFF00"/>
  </sheetPr>
  <dimension ref="A1:F62"/>
  <sheetViews>
    <sheetView showGridLines="0" zoomScaleSheetLayoutView="80" workbookViewId="0">
      <selection activeCell="D9" sqref="D9"/>
    </sheetView>
  </sheetViews>
  <sheetFormatPr defaultColWidth="9" defaultRowHeight="15"/>
  <cols>
    <col min="1" max="1" width="11.125" style="161" customWidth="1"/>
    <col min="2" max="2" width="26.125" style="161" customWidth="1"/>
    <col min="3" max="3" width="24.125" style="161" customWidth="1"/>
    <col min="4" max="4" width="66" style="161" customWidth="1"/>
    <col min="5" max="5" width="16.875" style="161" customWidth="1"/>
    <col min="6" max="6" width="16.875" style="162" customWidth="1"/>
    <col min="7" max="16384" width="9" style="161"/>
  </cols>
  <sheetData>
    <row r="1" spans="1:6" ht="16.5">
      <c r="A1" s="63" t="s">
        <v>166</v>
      </c>
      <c r="B1" s="185"/>
      <c r="C1" s="186"/>
      <c r="D1" s="186"/>
      <c r="E1" s="186"/>
      <c r="F1" s="186"/>
    </row>
    <row r="2" spans="1:6" ht="16.5">
      <c r="A2" s="187"/>
      <c r="B2" s="185"/>
      <c r="C2" s="186"/>
      <c r="D2" s="186"/>
      <c r="E2" s="186"/>
      <c r="F2" s="186"/>
    </row>
    <row r="3" spans="1:6" ht="16.5">
      <c r="A3" s="188" t="s">
        <v>167</v>
      </c>
      <c r="B3" s="186"/>
      <c r="C3" s="186"/>
      <c r="D3" s="186"/>
      <c r="E3" s="186"/>
      <c r="F3" s="186"/>
    </row>
    <row r="4" spans="1:6" ht="16.5" customHeight="1">
      <c r="A4" s="303" t="s">
        <v>168</v>
      </c>
      <c r="B4" s="303"/>
      <c r="C4" s="303"/>
      <c r="D4" s="303"/>
      <c r="E4" s="303"/>
      <c r="F4" s="303"/>
    </row>
    <row r="5" spans="1:6" ht="16.5">
      <c r="A5" s="189" t="s">
        <v>169</v>
      </c>
      <c r="B5" s="186"/>
      <c r="C5" s="186"/>
      <c r="D5" s="186"/>
      <c r="E5" s="186"/>
      <c r="F5" s="186"/>
    </row>
    <row r="6" spans="1:6" ht="33">
      <c r="A6" s="304" t="s">
        <v>170</v>
      </c>
      <c r="B6" s="304"/>
      <c r="C6" s="190" t="s">
        <v>171</v>
      </c>
      <c r="D6" s="190" t="s">
        <v>172</v>
      </c>
      <c r="E6" s="190" t="s">
        <v>173</v>
      </c>
      <c r="F6" s="190" t="s">
        <v>174</v>
      </c>
    </row>
    <row r="7" spans="1:6" ht="192">
      <c r="A7" s="294" t="s">
        <v>175</v>
      </c>
      <c r="B7" s="295"/>
      <c r="C7" s="191">
        <v>72</v>
      </c>
      <c r="D7" s="192" t="s">
        <v>176</v>
      </c>
      <c r="E7" s="193" t="s">
        <v>177</v>
      </c>
      <c r="F7" s="193" t="s">
        <v>178</v>
      </c>
    </row>
    <row r="8" spans="1:6" ht="192">
      <c r="A8" s="294" t="s">
        <v>179</v>
      </c>
      <c r="B8" s="295"/>
      <c r="C8" s="191">
        <v>53</v>
      </c>
      <c r="D8" s="192" t="s">
        <v>176</v>
      </c>
      <c r="E8" s="193" t="s">
        <v>177</v>
      </c>
      <c r="F8" s="193" t="s">
        <v>178</v>
      </c>
    </row>
    <row r="9" spans="1:6" ht="132">
      <c r="A9" s="294" t="s">
        <v>180</v>
      </c>
      <c r="B9" s="295"/>
      <c r="C9" s="191">
        <v>23</v>
      </c>
      <c r="D9" s="192" t="s">
        <v>181</v>
      </c>
      <c r="E9" s="193" t="s">
        <v>177</v>
      </c>
      <c r="F9" s="193" t="s">
        <v>178</v>
      </c>
    </row>
    <row r="10" spans="1:6" ht="192">
      <c r="A10" s="294" t="s">
        <v>182</v>
      </c>
      <c r="B10" s="295"/>
      <c r="C10" s="191">
        <v>19</v>
      </c>
      <c r="D10" s="192" t="s">
        <v>183</v>
      </c>
      <c r="E10" s="193" t="s">
        <v>177</v>
      </c>
      <c r="F10" s="193" t="s">
        <v>178</v>
      </c>
    </row>
    <row r="11" spans="1:6" ht="144">
      <c r="A11" s="294" t="s">
        <v>184</v>
      </c>
      <c r="B11" s="295"/>
      <c r="C11" s="191">
        <v>18</v>
      </c>
      <c r="D11" s="192" t="s">
        <v>185</v>
      </c>
      <c r="E11" s="193" t="s">
        <v>177</v>
      </c>
      <c r="F11" s="193" t="s">
        <v>178</v>
      </c>
    </row>
    <row r="12" spans="1:6" ht="168">
      <c r="A12" s="294" t="s">
        <v>186</v>
      </c>
      <c r="B12" s="295"/>
      <c r="C12" s="191">
        <v>4</v>
      </c>
      <c r="D12" s="192" t="s">
        <v>187</v>
      </c>
      <c r="E12" s="193" t="s">
        <v>177</v>
      </c>
      <c r="F12" s="193" t="s">
        <v>178</v>
      </c>
    </row>
    <row r="13" spans="1:6" ht="168">
      <c r="A13" s="294" t="s">
        <v>188</v>
      </c>
      <c r="B13" s="295"/>
      <c r="C13" s="191">
        <v>3</v>
      </c>
      <c r="D13" s="192" t="s">
        <v>189</v>
      </c>
      <c r="E13" s="193" t="s">
        <v>177</v>
      </c>
      <c r="F13" s="193" t="s">
        <v>178</v>
      </c>
    </row>
    <row r="14" spans="1:6" ht="264">
      <c r="A14" s="294" t="s">
        <v>190</v>
      </c>
      <c r="B14" s="295"/>
      <c r="C14" s="191">
        <v>7</v>
      </c>
      <c r="D14" s="192" t="s">
        <v>191</v>
      </c>
      <c r="E14" s="193" t="s">
        <v>177</v>
      </c>
      <c r="F14" s="193" t="s">
        <v>178</v>
      </c>
    </row>
    <row r="15" spans="1:6" ht="36">
      <c r="A15" s="294" t="s">
        <v>192</v>
      </c>
      <c r="B15" s="296"/>
      <c r="C15" s="191">
        <v>17</v>
      </c>
      <c r="D15" s="192" t="s">
        <v>193</v>
      </c>
      <c r="E15" s="193" t="s">
        <v>177</v>
      </c>
      <c r="F15" s="193" t="s">
        <v>178</v>
      </c>
    </row>
    <row r="16" spans="1:6" ht="108">
      <c r="A16" s="297" t="s">
        <v>194</v>
      </c>
      <c r="B16" s="194" t="s">
        <v>37</v>
      </c>
      <c r="C16" s="191">
        <v>1</v>
      </c>
      <c r="D16" s="192" t="s">
        <v>195</v>
      </c>
      <c r="E16" s="193" t="s">
        <v>177</v>
      </c>
      <c r="F16" s="193" t="s">
        <v>178</v>
      </c>
    </row>
    <row r="17" spans="1:6" ht="240">
      <c r="A17" s="298"/>
      <c r="B17" s="195" t="s">
        <v>196</v>
      </c>
      <c r="C17" s="191">
        <v>6</v>
      </c>
      <c r="D17" s="192" t="s">
        <v>197</v>
      </c>
      <c r="E17" s="300" t="s">
        <v>198</v>
      </c>
      <c r="F17" s="300" t="s">
        <v>178</v>
      </c>
    </row>
    <row r="18" spans="1:6" ht="276">
      <c r="A18" s="298"/>
      <c r="B18" s="196" t="s">
        <v>199</v>
      </c>
      <c r="C18" s="191">
        <v>6</v>
      </c>
      <c r="D18" s="192" t="s">
        <v>200</v>
      </c>
      <c r="E18" s="301"/>
      <c r="F18" s="301"/>
    </row>
    <row r="19" spans="1:6" ht="120">
      <c r="A19" s="298"/>
      <c r="B19" s="196" t="s">
        <v>201</v>
      </c>
      <c r="C19" s="191">
        <v>10</v>
      </c>
      <c r="D19" s="192" t="s">
        <v>202</v>
      </c>
      <c r="E19" s="301"/>
      <c r="F19" s="301"/>
    </row>
    <row r="20" spans="1:6" ht="120">
      <c r="A20" s="298"/>
      <c r="B20" s="196" t="s">
        <v>203</v>
      </c>
      <c r="C20" s="191">
        <v>68</v>
      </c>
      <c r="D20" s="192" t="s">
        <v>204</v>
      </c>
      <c r="E20" s="301"/>
      <c r="F20" s="301"/>
    </row>
    <row r="21" spans="1:6" ht="120">
      <c r="A21" s="298"/>
      <c r="B21" s="196" t="s">
        <v>205</v>
      </c>
      <c r="C21" s="191">
        <v>10</v>
      </c>
      <c r="D21" s="192" t="s">
        <v>206</v>
      </c>
      <c r="E21" s="301"/>
      <c r="F21" s="301"/>
    </row>
    <row r="22" spans="1:6" ht="240">
      <c r="A22" s="298"/>
      <c r="B22" s="196" t="s">
        <v>207</v>
      </c>
      <c r="C22" s="191">
        <v>5</v>
      </c>
      <c r="D22" s="192" t="s">
        <v>208</v>
      </c>
      <c r="E22" s="301"/>
      <c r="F22" s="301"/>
    </row>
    <row r="23" spans="1:6" ht="192">
      <c r="A23" s="298"/>
      <c r="B23" s="196" t="s">
        <v>209</v>
      </c>
      <c r="C23" s="191">
        <v>4</v>
      </c>
      <c r="D23" s="192" t="s">
        <v>210</v>
      </c>
      <c r="E23" s="301"/>
      <c r="F23" s="301"/>
    </row>
    <row r="24" spans="1:6" ht="132">
      <c r="A24" s="298"/>
      <c r="B24" s="196" t="s">
        <v>211</v>
      </c>
      <c r="C24" s="191">
        <v>2</v>
      </c>
      <c r="D24" s="192" t="s">
        <v>212</v>
      </c>
      <c r="E24" s="301"/>
      <c r="F24" s="301"/>
    </row>
    <row r="25" spans="1:6" ht="108">
      <c r="A25" s="299"/>
      <c r="B25" s="196" t="s">
        <v>213</v>
      </c>
      <c r="C25" s="191">
        <v>10</v>
      </c>
      <c r="D25" s="192" t="s">
        <v>214</v>
      </c>
      <c r="E25" s="302"/>
      <c r="F25" s="302"/>
    </row>
    <row r="26" spans="1:6" ht="132">
      <c r="A26" s="294" t="s">
        <v>215</v>
      </c>
      <c r="B26" s="295"/>
      <c r="C26" s="191">
        <v>2</v>
      </c>
      <c r="D26" s="192" t="s">
        <v>216</v>
      </c>
      <c r="E26" s="193" t="s">
        <v>177</v>
      </c>
      <c r="F26" s="193" t="s">
        <v>178</v>
      </c>
    </row>
    <row r="27" spans="1:6" ht="264">
      <c r="A27" s="294" t="s">
        <v>217</v>
      </c>
      <c r="B27" s="295"/>
      <c r="C27" s="191">
        <v>0</v>
      </c>
      <c r="D27" s="192" t="s">
        <v>218</v>
      </c>
      <c r="E27" s="193" t="s">
        <v>177</v>
      </c>
      <c r="F27" s="193" t="s">
        <v>178</v>
      </c>
    </row>
    <row r="28" spans="1:6">
      <c r="A28" s="185"/>
      <c r="B28" s="185"/>
      <c r="C28" s="185"/>
      <c r="D28" s="185"/>
      <c r="E28" s="185"/>
      <c r="F28" s="185"/>
    </row>
    <row r="29" spans="1:6">
      <c r="A29" s="185" t="s">
        <v>219</v>
      </c>
      <c r="B29" s="185"/>
      <c r="C29" s="185"/>
      <c r="D29" s="185"/>
      <c r="E29" s="185"/>
      <c r="F29" s="185"/>
    </row>
    <row r="30" spans="1:6">
      <c r="A30" s="185"/>
      <c r="B30" s="185"/>
      <c r="C30" s="185"/>
      <c r="D30" s="185"/>
      <c r="E30" s="185"/>
      <c r="F30" s="185"/>
    </row>
    <row r="31" spans="1:6">
      <c r="A31" s="185"/>
      <c r="B31" s="185"/>
      <c r="C31" s="185"/>
      <c r="D31" s="185"/>
      <c r="E31" s="185"/>
      <c r="F31" s="185"/>
    </row>
    <row r="32" spans="1:6">
      <c r="A32" s="185"/>
      <c r="B32" s="185"/>
      <c r="C32" s="185"/>
      <c r="D32" s="185"/>
      <c r="E32" s="185"/>
      <c r="F32" s="185"/>
    </row>
    <row r="33" spans="1:6">
      <c r="A33" s="185"/>
      <c r="B33" s="185"/>
      <c r="C33" s="185"/>
      <c r="D33" s="185"/>
      <c r="E33" s="185"/>
      <c r="F33" s="185"/>
    </row>
    <row r="34" spans="1:6">
      <c r="A34" s="185"/>
      <c r="B34" s="185"/>
      <c r="C34" s="185"/>
      <c r="D34" s="185"/>
      <c r="E34" s="185"/>
      <c r="F34" s="185"/>
    </row>
    <row r="35" spans="1:6">
      <c r="A35" s="185"/>
      <c r="B35" s="185"/>
      <c r="C35" s="185"/>
      <c r="D35" s="185"/>
      <c r="E35" s="185"/>
      <c r="F35" s="185"/>
    </row>
    <row r="36" spans="1:6">
      <c r="A36" s="185"/>
      <c r="B36" s="185"/>
      <c r="C36" s="185"/>
      <c r="D36" s="185"/>
      <c r="E36" s="185"/>
      <c r="F36" s="185"/>
    </row>
    <row r="37" spans="1:6">
      <c r="A37" s="185"/>
      <c r="B37" s="185"/>
      <c r="C37" s="185"/>
      <c r="D37" s="185"/>
      <c r="E37" s="185"/>
      <c r="F37" s="185"/>
    </row>
    <row r="38" spans="1:6">
      <c r="A38" s="185"/>
      <c r="B38" s="185"/>
      <c r="C38" s="185"/>
      <c r="D38" s="185"/>
      <c r="E38" s="185"/>
      <c r="F38" s="185"/>
    </row>
    <row r="39" spans="1:6">
      <c r="A39" s="185"/>
      <c r="B39" s="185"/>
      <c r="C39" s="185"/>
      <c r="D39" s="185"/>
      <c r="E39" s="185"/>
      <c r="F39" s="185"/>
    </row>
    <row r="40" spans="1:6">
      <c r="A40" s="185"/>
      <c r="B40" s="185"/>
      <c r="C40" s="185"/>
      <c r="D40" s="185"/>
      <c r="E40" s="185"/>
      <c r="F40" s="185"/>
    </row>
    <row r="41" spans="1:6">
      <c r="A41" s="185"/>
      <c r="B41" s="185"/>
      <c r="C41" s="185"/>
      <c r="D41" s="185"/>
      <c r="E41" s="185"/>
      <c r="F41" s="185"/>
    </row>
    <row r="42" spans="1:6">
      <c r="A42" s="185"/>
      <c r="B42" s="185"/>
      <c r="C42" s="185"/>
      <c r="D42" s="185"/>
      <c r="E42" s="185"/>
      <c r="F42" s="185"/>
    </row>
    <row r="43" spans="1:6">
      <c r="A43" s="185"/>
      <c r="B43" s="185"/>
      <c r="C43" s="185"/>
      <c r="D43" s="185"/>
      <c r="E43" s="185"/>
      <c r="F43" s="185"/>
    </row>
    <row r="44" spans="1:6">
      <c r="A44" s="185"/>
      <c r="B44" s="185"/>
      <c r="C44" s="185"/>
      <c r="D44" s="185"/>
      <c r="E44" s="185"/>
      <c r="F44" s="185"/>
    </row>
    <row r="45" spans="1:6">
      <c r="A45" s="185"/>
      <c r="B45" s="185"/>
      <c r="C45" s="185"/>
      <c r="D45" s="185"/>
      <c r="E45" s="185"/>
      <c r="F45" s="185"/>
    </row>
    <row r="46" spans="1:6">
      <c r="A46" s="185"/>
      <c r="B46" s="185"/>
      <c r="C46" s="185"/>
      <c r="D46" s="185"/>
      <c r="E46" s="185"/>
      <c r="F46" s="185"/>
    </row>
    <row r="47" spans="1:6">
      <c r="A47" s="185"/>
      <c r="B47" s="185"/>
      <c r="C47" s="185"/>
      <c r="D47" s="185"/>
      <c r="E47" s="185"/>
      <c r="F47" s="185"/>
    </row>
    <row r="48" spans="1:6">
      <c r="A48" s="185"/>
      <c r="B48" s="185"/>
      <c r="C48" s="185"/>
      <c r="D48" s="185"/>
      <c r="E48" s="185"/>
      <c r="F48" s="185"/>
    </row>
    <row r="49" spans="1:6">
      <c r="A49" s="185"/>
      <c r="B49" s="185"/>
      <c r="C49" s="185"/>
      <c r="D49" s="185"/>
      <c r="E49" s="185"/>
      <c r="F49" s="185"/>
    </row>
    <row r="50" spans="1:6">
      <c r="A50" s="185"/>
      <c r="B50" s="185"/>
      <c r="C50" s="185"/>
      <c r="D50" s="185"/>
      <c r="E50" s="185"/>
      <c r="F50" s="185"/>
    </row>
    <row r="51" spans="1:6">
      <c r="A51" s="185"/>
      <c r="B51" s="185"/>
      <c r="C51" s="185"/>
      <c r="D51" s="185"/>
      <c r="E51" s="185"/>
      <c r="F51" s="185"/>
    </row>
    <row r="52" spans="1:6">
      <c r="A52" s="185"/>
      <c r="B52" s="185"/>
      <c r="C52" s="185"/>
      <c r="D52" s="185"/>
      <c r="E52" s="185"/>
      <c r="F52" s="185"/>
    </row>
    <row r="53" spans="1:6">
      <c r="A53" s="185"/>
      <c r="B53" s="185"/>
      <c r="C53" s="185"/>
      <c r="D53" s="185"/>
      <c r="E53" s="185"/>
      <c r="F53" s="185"/>
    </row>
    <row r="54" spans="1:6">
      <c r="A54" s="185"/>
      <c r="B54" s="185"/>
      <c r="C54" s="185"/>
      <c r="D54" s="185"/>
      <c r="E54" s="185"/>
      <c r="F54" s="185"/>
    </row>
    <row r="55" spans="1:6">
      <c r="A55" s="185"/>
      <c r="B55" s="185"/>
      <c r="C55" s="185"/>
      <c r="D55" s="185"/>
      <c r="E55" s="185"/>
      <c r="F55" s="185"/>
    </row>
    <row r="56" spans="1:6">
      <c r="A56" s="185"/>
      <c r="B56" s="185"/>
      <c r="C56" s="185"/>
      <c r="D56" s="185"/>
      <c r="E56" s="185"/>
      <c r="F56" s="185"/>
    </row>
    <row r="57" spans="1:6">
      <c r="A57" s="185"/>
      <c r="B57" s="185"/>
      <c r="C57" s="185"/>
      <c r="D57" s="185"/>
      <c r="E57" s="185"/>
      <c r="F57" s="185"/>
    </row>
    <row r="58" spans="1:6">
      <c r="A58" s="185"/>
      <c r="B58" s="185"/>
      <c r="C58" s="185"/>
      <c r="D58" s="185"/>
      <c r="E58" s="185"/>
      <c r="F58" s="185"/>
    </row>
    <row r="59" spans="1:6">
      <c r="A59" s="185"/>
      <c r="B59" s="185"/>
      <c r="C59" s="185"/>
      <c r="D59" s="185"/>
      <c r="E59" s="185"/>
      <c r="F59" s="185"/>
    </row>
    <row r="60" spans="1:6">
      <c r="A60" s="185"/>
      <c r="B60" s="185"/>
      <c r="C60" s="185"/>
      <c r="D60" s="185"/>
      <c r="E60" s="185"/>
      <c r="F60" s="185"/>
    </row>
    <row r="61" spans="1:6">
      <c r="A61" s="185"/>
      <c r="B61" s="185"/>
      <c r="C61" s="185"/>
      <c r="D61" s="185"/>
      <c r="E61" s="185"/>
      <c r="F61" s="185"/>
    </row>
    <row r="62" spans="1:6">
      <c r="A62" s="185"/>
      <c r="B62" s="185"/>
      <c r="C62" s="185"/>
      <c r="D62" s="185"/>
      <c r="E62" s="185"/>
      <c r="F62" s="185"/>
    </row>
  </sheetData>
  <mergeCells count="16">
    <mergeCell ref="A4:F4"/>
    <mergeCell ref="A6:B6"/>
    <mergeCell ref="A7:B7"/>
    <mergeCell ref="A8:B8"/>
    <mergeCell ref="A9:B9"/>
    <mergeCell ref="A10:B10"/>
    <mergeCell ref="A11:B11"/>
    <mergeCell ref="A12:B12"/>
    <mergeCell ref="A13:B13"/>
    <mergeCell ref="A14:B14"/>
    <mergeCell ref="A27:B27"/>
    <mergeCell ref="A15:B15"/>
    <mergeCell ref="A16:A25"/>
    <mergeCell ref="E17:E25"/>
    <mergeCell ref="F17:F25"/>
    <mergeCell ref="A26:B26"/>
  </mergeCells>
  <phoneticPr fontId="75" type="noConversion"/>
  <pageMargins left="0.74803149606299202" right="0.74803149606299202" top="0.98425196850393704" bottom="0.98425196850393704" header="0.511811023622047" footer="0.511811023622047"/>
  <pageSetup paperSize="9" scale="80" orientation="landscape"/>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F18"/>
  <sheetViews>
    <sheetView zoomScaleSheetLayoutView="80" workbookViewId="0">
      <selection activeCell="E11" sqref="E11"/>
    </sheetView>
  </sheetViews>
  <sheetFormatPr defaultColWidth="7" defaultRowHeight="12.75"/>
  <cols>
    <col min="1" max="1" width="4.125" style="158" customWidth="1"/>
    <col min="2" max="2" width="53.625" style="159" customWidth="1"/>
    <col min="3" max="3" width="15.5" style="159" customWidth="1"/>
    <col min="4" max="4" width="13.75" style="159" customWidth="1"/>
    <col min="5" max="5" width="31.75" style="159" customWidth="1"/>
    <col min="6" max="6" width="25.625" style="159" customWidth="1"/>
    <col min="7" max="7" width="26.375" style="159" customWidth="1"/>
    <col min="8" max="8" width="12" style="159" customWidth="1"/>
    <col min="9" max="9" width="15.5" style="159" customWidth="1"/>
    <col min="10" max="10" width="11.5" style="159" customWidth="1"/>
    <col min="11" max="11" width="15.375" style="159" customWidth="1"/>
    <col min="12" max="16384" width="7" style="159"/>
  </cols>
  <sheetData>
    <row r="1" spans="1:6" ht="19.350000000000001" customHeight="1">
      <c r="A1" s="160" t="str">
        <f>'1 组织结构及管理架构'!A1</f>
        <v>上海派智能源股份有限公司</v>
      </c>
    </row>
    <row r="2" spans="1:6" ht="16.5">
      <c r="A2" s="187"/>
      <c r="B2" s="197"/>
      <c r="C2" s="197"/>
      <c r="D2" s="197"/>
      <c r="E2" s="197"/>
      <c r="F2" s="197"/>
    </row>
    <row r="3" spans="1:6" ht="16.5">
      <c r="A3" s="198" t="s">
        <v>236</v>
      </c>
      <c r="B3" s="199"/>
      <c r="C3" s="199"/>
      <c r="D3" s="199"/>
      <c r="E3" s="199"/>
      <c r="F3" s="199"/>
    </row>
    <row r="4" spans="1:6" ht="16.5" customHeight="1">
      <c r="A4" s="303" t="s">
        <v>168</v>
      </c>
      <c r="B4" s="303"/>
      <c r="C4" s="303"/>
      <c r="D4" s="303"/>
      <c r="E4" s="303"/>
      <c r="F4" s="303"/>
    </row>
    <row r="5" spans="1:6" ht="16.5">
      <c r="A5" s="200" t="s">
        <v>237</v>
      </c>
      <c r="B5" s="201"/>
      <c r="C5" s="201"/>
      <c r="D5" s="201"/>
      <c r="E5" s="201"/>
      <c r="F5" s="201"/>
    </row>
    <row r="6" spans="1:6" ht="16.5">
      <c r="A6" s="305" t="s">
        <v>86</v>
      </c>
      <c r="B6" s="202" t="s">
        <v>43</v>
      </c>
      <c r="C6" s="203" t="s">
        <v>238</v>
      </c>
      <c r="D6" s="203" t="s">
        <v>239</v>
      </c>
      <c r="E6" s="203" t="s">
        <v>240</v>
      </c>
      <c r="F6" s="203" t="s">
        <v>241</v>
      </c>
    </row>
    <row r="7" spans="1:6" ht="16.5">
      <c r="A7" s="305"/>
      <c r="B7" s="202">
        <v>1</v>
      </c>
      <c r="C7" s="202">
        <v>2</v>
      </c>
      <c r="D7" s="202">
        <v>3</v>
      </c>
      <c r="E7" s="202">
        <v>4</v>
      </c>
      <c r="F7" s="202">
        <v>5</v>
      </c>
    </row>
    <row r="8" spans="1:6" ht="33">
      <c r="A8" s="204">
        <v>1</v>
      </c>
      <c r="B8" s="205" t="s">
        <v>242</v>
      </c>
      <c r="C8" s="204" t="s">
        <v>243</v>
      </c>
      <c r="D8" s="204" t="s">
        <v>244</v>
      </c>
      <c r="E8" s="206" t="s">
        <v>245</v>
      </c>
      <c r="F8" s="206" t="s">
        <v>245</v>
      </c>
    </row>
    <row r="9" spans="1:6" ht="33">
      <c r="A9" s="207">
        <v>2</v>
      </c>
      <c r="B9" s="208" t="s">
        <v>246</v>
      </c>
      <c r="C9" s="204" t="s">
        <v>247</v>
      </c>
      <c r="D9" s="204" t="s">
        <v>244</v>
      </c>
      <c r="E9" s="206" t="s">
        <v>248</v>
      </c>
      <c r="F9" s="206" t="s">
        <v>248</v>
      </c>
    </row>
    <row r="10" spans="1:6" ht="16.5">
      <c r="A10" s="209">
        <v>3</v>
      </c>
      <c r="B10" s="210" t="s">
        <v>249</v>
      </c>
      <c r="C10" s="204" t="s">
        <v>250</v>
      </c>
      <c r="D10" s="204" t="s">
        <v>244</v>
      </c>
      <c r="E10" s="206" t="s">
        <v>251</v>
      </c>
      <c r="F10" s="206" t="s">
        <v>251</v>
      </c>
    </row>
    <row r="11" spans="1:6" ht="66">
      <c r="A11" s="209">
        <v>4</v>
      </c>
      <c r="B11" s="210" t="s">
        <v>252</v>
      </c>
      <c r="C11" s="211" t="s">
        <v>253</v>
      </c>
      <c r="D11" s="204" t="s">
        <v>244</v>
      </c>
      <c r="E11" s="206" t="s">
        <v>254</v>
      </c>
      <c r="F11" s="206" t="s">
        <v>254</v>
      </c>
    </row>
    <row r="12" spans="1:6" ht="33">
      <c r="A12" s="209">
        <v>5</v>
      </c>
      <c r="B12" s="210" t="s">
        <v>255</v>
      </c>
      <c r="C12" s="211" t="s">
        <v>256</v>
      </c>
      <c r="D12" s="204" t="s">
        <v>244</v>
      </c>
      <c r="E12" s="206" t="s">
        <v>257</v>
      </c>
      <c r="F12" s="206" t="s">
        <v>257</v>
      </c>
    </row>
    <row r="13" spans="1:6" ht="33">
      <c r="A13" s="209">
        <v>6</v>
      </c>
      <c r="B13" s="210" t="s">
        <v>258</v>
      </c>
      <c r="C13" s="204" t="s">
        <v>253</v>
      </c>
      <c r="D13" s="204" t="s">
        <v>244</v>
      </c>
      <c r="E13" s="206" t="s">
        <v>259</v>
      </c>
      <c r="F13" s="206" t="s">
        <v>259</v>
      </c>
    </row>
    <row r="14" spans="1:6" ht="49.5">
      <c r="A14" s="209">
        <v>7</v>
      </c>
      <c r="B14" s="210" t="s">
        <v>260</v>
      </c>
      <c r="C14" s="204" t="s">
        <v>253</v>
      </c>
      <c r="D14" s="204" t="s">
        <v>244</v>
      </c>
      <c r="E14" s="206" t="s">
        <v>261</v>
      </c>
      <c r="F14" s="206" t="s">
        <v>261</v>
      </c>
    </row>
    <row r="15" spans="1:6" ht="33">
      <c r="A15" s="209">
        <v>8</v>
      </c>
      <c r="B15" s="210" t="s">
        <v>262</v>
      </c>
      <c r="C15" s="211" t="s">
        <v>263</v>
      </c>
      <c r="D15" s="204" t="s">
        <v>244</v>
      </c>
      <c r="E15" s="206" t="s">
        <v>264</v>
      </c>
      <c r="F15" s="206" t="s">
        <v>264</v>
      </c>
    </row>
    <row r="16" spans="1:6" ht="33">
      <c r="A16" s="209">
        <v>9</v>
      </c>
      <c r="B16" s="210" t="s">
        <v>265</v>
      </c>
      <c r="C16" s="204" t="s">
        <v>266</v>
      </c>
      <c r="D16" s="204" t="s">
        <v>244</v>
      </c>
      <c r="E16" s="206" t="s">
        <v>267</v>
      </c>
      <c r="F16" s="206" t="s">
        <v>267</v>
      </c>
    </row>
    <row r="17" spans="1:6" ht="49.5">
      <c r="A17" s="209">
        <v>10</v>
      </c>
      <c r="B17" s="210" t="s">
        <v>268</v>
      </c>
      <c r="C17" s="204" t="s">
        <v>266</v>
      </c>
      <c r="D17" s="204" t="s">
        <v>244</v>
      </c>
      <c r="E17" s="206" t="s">
        <v>269</v>
      </c>
      <c r="F17" s="206" t="s">
        <v>269</v>
      </c>
    </row>
    <row r="18" spans="1:6" ht="33">
      <c r="A18" s="209">
        <v>11</v>
      </c>
      <c r="B18" s="210" t="s">
        <v>270</v>
      </c>
      <c r="C18" s="204" t="s">
        <v>271</v>
      </c>
      <c r="D18" s="204" t="s">
        <v>244</v>
      </c>
      <c r="E18" s="206" t="s">
        <v>272</v>
      </c>
      <c r="F18" s="206" t="s">
        <v>272</v>
      </c>
    </row>
  </sheetData>
  <mergeCells count="2">
    <mergeCell ref="A4:F4"/>
    <mergeCell ref="A6:A7"/>
  </mergeCells>
  <phoneticPr fontId="75" type="noConversion"/>
  <pageMargins left="0.55118110236220497" right="0.55118110236220497" top="0.59055118110236204" bottom="0.59055118110236204" header="0.35433070866141703" footer="0.118110236220472"/>
  <pageSetup paperSize="9" scale="80" orientation="landscape"/>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
  <sheetViews>
    <sheetView workbookViewId="0">
      <selection activeCell="A2" sqref="A2"/>
    </sheetView>
  </sheetViews>
  <sheetFormatPr defaultColWidth="9" defaultRowHeight="14.25"/>
  <cols>
    <col min="1" max="1" width="11.125" customWidth="1"/>
    <col min="3" max="3" width="13.125" customWidth="1"/>
    <col min="4" max="4" width="25.875" customWidth="1"/>
  </cols>
  <sheetData>
    <row r="1" spans="1:4">
      <c r="A1" t="s">
        <v>38</v>
      </c>
      <c r="B1" t="s">
        <v>39</v>
      </c>
      <c r="C1" t="s">
        <v>40</v>
      </c>
      <c r="D1" t="s">
        <v>41</v>
      </c>
    </row>
    <row r="2" spans="1:4">
      <c r="A2" s="60" t="s">
        <v>42</v>
      </c>
      <c r="B2" s="157"/>
      <c r="C2" s="157"/>
      <c r="D2" s="157"/>
    </row>
  </sheetData>
  <phoneticPr fontId="7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2"/>
  <sheetViews>
    <sheetView workbookViewId="0">
      <selection activeCell="A2" sqref="A2"/>
    </sheetView>
  </sheetViews>
  <sheetFormatPr defaultColWidth="9" defaultRowHeight="14.25"/>
  <cols>
    <col min="1" max="1" width="46.375" customWidth="1"/>
    <col min="2" max="2" width="28.75" customWidth="1"/>
    <col min="3" max="3" width="18.125" customWidth="1"/>
    <col min="4" max="4" width="33.125" customWidth="1"/>
  </cols>
  <sheetData>
    <row r="1" spans="1:5">
      <c r="A1" s="156" t="s">
        <v>283</v>
      </c>
      <c r="B1" t="s">
        <v>44</v>
      </c>
      <c r="C1" t="s">
        <v>40</v>
      </c>
      <c r="D1" t="s">
        <v>45</v>
      </c>
      <c r="E1" t="s">
        <v>46</v>
      </c>
    </row>
    <row r="2" spans="1:5" ht="16.5">
      <c r="A2" s="205" t="s">
        <v>242</v>
      </c>
      <c r="B2" t="s">
        <v>273</v>
      </c>
      <c r="C2" s="156" t="s">
        <v>274</v>
      </c>
      <c r="D2" s="212" t="s">
        <v>275</v>
      </c>
      <c r="E2" s="156"/>
    </row>
    <row r="3" spans="1:5" ht="16.5">
      <c r="A3" s="208" t="s">
        <v>246</v>
      </c>
      <c r="B3" t="s">
        <v>273</v>
      </c>
      <c r="C3" s="156" t="s">
        <v>274</v>
      </c>
      <c r="D3" s="212" t="s">
        <v>275</v>
      </c>
      <c r="E3" s="156"/>
    </row>
    <row r="4" spans="1:5" ht="16.5">
      <c r="A4" s="210" t="s">
        <v>249</v>
      </c>
      <c r="B4" t="s">
        <v>273</v>
      </c>
      <c r="C4" s="156" t="s">
        <v>274</v>
      </c>
      <c r="D4" s="212" t="s">
        <v>275</v>
      </c>
      <c r="E4" s="156"/>
    </row>
    <row r="5" spans="1:5" ht="16.5">
      <c r="A5" s="210" t="s">
        <v>252</v>
      </c>
      <c r="B5" s="156" t="s">
        <v>280</v>
      </c>
      <c r="C5" s="156" t="s">
        <v>274</v>
      </c>
      <c r="D5" s="212" t="s">
        <v>275</v>
      </c>
      <c r="E5" s="156"/>
    </row>
    <row r="6" spans="1:5" ht="16.5">
      <c r="A6" s="210" t="s">
        <v>255</v>
      </c>
      <c r="B6" s="156" t="s">
        <v>279</v>
      </c>
      <c r="C6" s="156" t="s">
        <v>274</v>
      </c>
      <c r="D6" s="212" t="s">
        <v>275</v>
      </c>
      <c r="E6" s="156"/>
    </row>
    <row r="7" spans="1:5" ht="16.5">
      <c r="A7" s="210" t="s">
        <v>258</v>
      </c>
      <c r="B7" s="156" t="s">
        <v>281</v>
      </c>
      <c r="C7" s="156" t="s">
        <v>274</v>
      </c>
      <c r="D7" s="212" t="s">
        <v>275</v>
      </c>
      <c r="E7" s="156"/>
    </row>
    <row r="8" spans="1:5" ht="16.5">
      <c r="A8" s="210" t="s">
        <v>260</v>
      </c>
      <c r="B8" s="156" t="s">
        <v>276</v>
      </c>
      <c r="C8" s="156" t="s">
        <v>274</v>
      </c>
      <c r="D8" s="212" t="s">
        <v>275</v>
      </c>
      <c r="E8" s="156"/>
    </row>
    <row r="9" spans="1:5" ht="16.5">
      <c r="A9" s="210" t="s">
        <v>262</v>
      </c>
      <c r="B9" s="156" t="s">
        <v>282</v>
      </c>
      <c r="C9" s="156" t="s">
        <v>274</v>
      </c>
      <c r="D9" s="212" t="s">
        <v>275</v>
      </c>
      <c r="E9" s="156"/>
    </row>
    <row r="10" spans="1:5" ht="16.5">
      <c r="A10" s="210" t="s">
        <v>265</v>
      </c>
      <c r="B10" t="s">
        <v>277</v>
      </c>
      <c r="C10" s="156" t="s">
        <v>274</v>
      </c>
      <c r="D10" s="212" t="s">
        <v>275</v>
      </c>
      <c r="E10" s="156"/>
    </row>
    <row r="11" spans="1:5" ht="16.5">
      <c r="A11" s="210" t="s">
        <v>268</v>
      </c>
      <c r="B11" s="156" t="s">
        <v>278</v>
      </c>
      <c r="C11" s="156" t="s">
        <v>274</v>
      </c>
      <c r="D11" s="212" t="s">
        <v>275</v>
      </c>
      <c r="E11" s="156"/>
    </row>
    <row r="12" spans="1:5" ht="16.5">
      <c r="A12" s="210" t="s">
        <v>270</v>
      </c>
      <c r="B12" s="156" t="s">
        <v>276</v>
      </c>
      <c r="C12" s="156" t="s">
        <v>274</v>
      </c>
      <c r="D12" s="212" t="s">
        <v>275</v>
      </c>
      <c r="E12" s="156"/>
    </row>
  </sheetData>
  <phoneticPr fontId="7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dimension ref="A1:L28"/>
  <sheetViews>
    <sheetView zoomScale="80" zoomScaleNormal="80" zoomScaleSheetLayoutView="80" workbookViewId="0">
      <selection activeCell="A5" sqref="A5:F5"/>
    </sheetView>
  </sheetViews>
  <sheetFormatPr defaultColWidth="7" defaultRowHeight="15"/>
  <cols>
    <col min="1" max="1" width="63.875" style="151" customWidth="1"/>
    <col min="2" max="2" width="5.25" style="151" bestFit="1" customWidth="1"/>
    <col min="3" max="6" width="13.75" style="152" bestFit="1" customWidth="1"/>
    <col min="7" max="7" width="7" style="152" bestFit="1" customWidth="1"/>
    <col min="8" max="8" width="8.75" style="152" bestFit="1" customWidth="1"/>
    <col min="9" max="9" width="7" style="152" bestFit="1" customWidth="1"/>
    <col min="10" max="11" width="13.75" style="152" bestFit="1" customWidth="1"/>
    <col min="12" max="12" width="12.25" style="153" bestFit="1" customWidth="1"/>
    <col min="13" max="16384" width="7" style="152"/>
  </cols>
  <sheetData>
    <row r="1" spans="1:12" s="150" customFormat="1" ht="17.25">
      <c r="A1" s="103" t="str">
        <f>'1 组织结构及管理架构'!A1</f>
        <v>上海派智能源股份有限公司</v>
      </c>
      <c r="B1" s="154"/>
      <c r="L1" s="155"/>
    </row>
    <row r="2" spans="1:12" s="65" customFormat="1" ht="16.5">
      <c r="A2" s="187"/>
      <c r="B2" s="187"/>
      <c r="C2" s="213"/>
      <c r="D2" s="213"/>
      <c r="E2" s="213"/>
      <c r="F2" s="213"/>
      <c r="G2" s="213"/>
      <c r="H2" s="213"/>
      <c r="I2" s="213"/>
      <c r="J2" s="213"/>
      <c r="K2" s="213"/>
    </row>
    <row r="3" spans="1:12" s="65" customFormat="1" ht="16.5">
      <c r="A3" s="68" t="s">
        <v>284</v>
      </c>
      <c r="B3" s="70"/>
      <c r="C3" s="213"/>
      <c r="D3" s="213"/>
      <c r="E3" s="213"/>
      <c r="F3" s="213"/>
      <c r="G3" s="213"/>
      <c r="H3" s="213"/>
      <c r="I3" s="213"/>
      <c r="J3" s="213"/>
      <c r="K3" s="213"/>
    </row>
    <row r="4" spans="1:12" s="65" customFormat="1" ht="16.5">
      <c r="A4" s="70"/>
      <c r="B4" s="70"/>
      <c r="C4" s="213"/>
      <c r="D4" s="213"/>
      <c r="E4" s="213"/>
      <c r="F4" s="213"/>
      <c r="G4" s="213"/>
      <c r="H4" s="213"/>
      <c r="I4" s="213"/>
      <c r="J4" s="213"/>
      <c r="K4" s="213"/>
    </row>
    <row r="5" spans="1:12" s="65" customFormat="1" ht="16.5">
      <c r="A5" s="307" t="s">
        <v>285</v>
      </c>
      <c r="B5" s="307"/>
      <c r="C5" s="308"/>
      <c r="D5" s="308"/>
      <c r="E5" s="308"/>
      <c r="F5" s="308"/>
      <c r="G5" s="213"/>
      <c r="H5" s="213"/>
      <c r="I5" s="213"/>
      <c r="J5" s="213"/>
      <c r="K5" s="213"/>
    </row>
    <row r="6" spans="1:12" s="65" customFormat="1" ht="24" customHeight="1">
      <c r="A6" s="310" t="s">
        <v>286</v>
      </c>
      <c r="B6" s="310" t="s">
        <v>287</v>
      </c>
      <c r="C6" s="306" t="s">
        <v>288</v>
      </c>
      <c r="D6" s="309"/>
      <c r="E6" s="309"/>
      <c r="F6" s="309"/>
      <c r="G6" s="306" t="s">
        <v>289</v>
      </c>
      <c r="H6" s="309"/>
      <c r="I6" s="309"/>
      <c r="J6" s="309"/>
      <c r="K6" s="306" t="s">
        <v>56</v>
      </c>
    </row>
    <row r="7" spans="1:12" s="65" customFormat="1" ht="24" customHeight="1">
      <c r="A7" s="311"/>
      <c r="B7" s="310"/>
      <c r="C7" s="306" t="s">
        <v>290</v>
      </c>
      <c r="D7" s="306"/>
      <c r="E7" s="306" t="s">
        <v>291</v>
      </c>
      <c r="F7" s="306"/>
      <c r="G7" s="306" t="s">
        <v>290</v>
      </c>
      <c r="H7" s="306"/>
      <c r="I7" s="306" t="s">
        <v>291</v>
      </c>
      <c r="J7" s="306"/>
      <c r="K7" s="306"/>
    </row>
    <row r="8" spans="1:12" s="65" customFormat="1" ht="24" customHeight="1">
      <c r="A8" s="311"/>
      <c r="B8" s="310"/>
      <c r="C8" s="214" t="s">
        <v>115</v>
      </c>
      <c r="D8" s="214" t="s">
        <v>292</v>
      </c>
      <c r="E8" s="214" t="s">
        <v>115</v>
      </c>
      <c r="F8" s="214" t="s">
        <v>292</v>
      </c>
      <c r="G8" s="214" t="s">
        <v>115</v>
      </c>
      <c r="H8" s="214" t="s">
        <v>292</v>
      </c>
      <c r="I8" s="214" t="s">
        <v>115</v>
      </c>
      <c r="J8" s="214" t="s">
        <v>292</v>
      </c>
      <c r="K8" s="306"/>
    </row>
    <row r="9" spans="1:12" s="65" customFormat="1" ht="16.5">
      <c r="A9" s="215"/>
      <c r="B9" s="215"/>
      <c r="C9" s="216"/>
      <c r="D9" s="217"/>
      <c r="E9" s="217"/>
      <c r="F9" s="217"/>
      <c r="G9" s="216"/>
      <c r="H9" s="217"/>
      <c r="I9" s="217"/>
      <c r="J9" s="217"/>
      <c r="K9" s="218"/>
    </row>
    <row r="10" spans="1:12" s="65" customFormat="1" ht="16.5">
      <c r="A10" s="219" t="s">
        <v>293</v>
      </c>
      <c r="B10" s="220"/>
      <c r="C10" s="216">
        <v>174120123.705405</v>
      </c>
      <c r="D10" s="216">
        <v>182411526.52000001</v>
      </c>
      <c r="E10" s="216">
        <v>154377228.43000001</v>
      </c>
      <c r="F10" s="216">
        <v>170248123.78</v>
      </c>
      <c r="G10" s="221"/>
      <c r="H10" s="222"/>
      <c r="I10" s="223"/>
      <c r="J10" s="223">
        <v>267037913.78999999</v>
      </c>
      <c r="K10" s="216">
        <f>C10+D10+E10+F10+J10</f>
        <v>948194916.22540498</v>
      </c>
    </row>
    <row r="11" spans="1:12" s="65" customFormat="1" ht="16.5">
      <c r="A11" s="219" t="s">
        <v>294</v>
      </c>
      <c r="B11" s="220"/>
      <c r="C11" s="221">
        <v>174120123.705405</v>
      </c>
      <c r="D11" s="222">
        <v>182411526.52000001</v>
      </c>
      <c r="E11" s="223">
        <v>154377228.43000001</v>
      </c>
      <c r="F11" s="222">
        <v>170248123.78</v>
      </c>
      <c r="G11" s="221"/>
      <c r="H11" s="222"/>
      <c r="I11" s="223"/>
      <c r="J11" s="223">
        <v>267037913.78999999</v>
      </c>
      <c r="K11" s="216">
        <f t="shared" ref="K11:K14" si="0">C11+D11+E11+F11+J11</f>
        <v>948194916.22540498</v>
      </c>
    </row>
    <row r="12" spans="1:12" s="65" customFormat="1" ht="16.5">
      <c r="A12" s="219" t="s">
        <v>295</v>
      </c>
      <c r="B12" s="220"/>
      <c r="C12" s="216">
        <v>115803858.40000001</v>
      </c>
      <c r="D12" s="216">
        <v>139009786.21000001</v>
      </c>
      <c r="E12" s="216">
        <v>149745911.58000001</v>
      </c>
      <c r="F12" s="216">
        <v>137379368.86000001</v>
      </c>
      <c r="G12" s="216"/>
      <c r="H12" s="217"/>
      <c r="I12" s="217"/>
      <c r="J12" s="224">
        <v>262805043.31999999</v>
      </c>
      <c r="K12" s="216">
        <f t="shared" si="0"/>
        <v>804743968.37000012</v>
      </c>
    </row>
    <row r="13" spans="1:12" s="65" customFormat="1" ht="16.5">
      <c r="A13" s="219" t="s">
        <v>296</v>
      </c>
      <c r="B13" s="220"/>
      <c r="C13" s="216">
        <v>115803858.40000001</v>
      </c>
      <c r="D13" s="217">
        <v>139009786.21000001</v>
      </c>
      <c r="E13" s="217">
        <v>149745911.58000001</v>
      </c>
      <c r="F13" s="217">
        <v>137379368.86000001</v>
      </c>
      <c r="G13" s="216"/>
      <c r="H13" s="217"/>
      <c r="I13" s="217"/>
      <c r="J13" s="224">
        <v>262805043.31999999</v>
      </c>
      <c r="K13" s="216">
        <f t="shared" si="0"/>
        <v>804743968.37000012</v>
      </c>
    </row>
    <row r="14" spans="1:12" s="65" customFormat="1" ht="16.5">
      <c r="A14" s="219" t="s">
        <v>297</v>
      </c>
      <c r="B14" s="220"/>
      <c r="C14" s="216">
        <v>470622.63</v>
      </c>
      <c r="D14" s="217">
        <v>564930.67000000004</v>
      </c>
      <c r="E14" s="217">
        <v>608561.88</v>
      </c>
      <c r="F14" s="217">
        <v>558304.71</v>
      </c>
      <c r="G14" s="216"/>
      <c r="H14" s="217"/>
      <c r="I14" s="217"/>
      <c r="J14" s="224">
        <v>1068030.04</v>
      </c>
      <c r="K14" s="216">
        <f t="shared" si="0"/>
        <v>3270449.93</v>
      </c>
    </row>
    <row r="15" spans="1:12" s="65" customFormat="1" ht="16.5">
      <c r="A15" s="219" t="s">
        <v>298</v>
      </c>
      <c r="B15" s="220"/>
      <c r="C15" s="216"/>
      <c r="D15" s="217"/>
      <c r="E15" s="217"/>
      <c r="F15" s="217"/>
      <c r="G15" s="216"/>
      <c r="H15" s="217"/>
      <c r="I15" s="217"/>
      <c r="J15" s="217"/>
      <c r="K15" s="216"/>
    </row>
    <row r="16" spans="1:12" s="65" customFormat="1" ht="16.5">
      <c r="A16" s="219" t="s">
        <v>299</v>
      </c>
      <c r="B16" s="220"/>
      <c r="C16" s="216">
        <v>7957554.0473026996</v>
      </c>
      <c r="D16" s="217">
        <v>9552167.7966430802</v>
      </c>
      <c r="E16" s="217">
        <v>10289909.1725919</v>
      </c>
      <c r="F16" s="217">
        <v>9440132.3699999992</v>
      </c>
      <c r="G16" s="216"/>
      <c r="H16" s="217"/>
      <c r="I16" s="217"/>
      <c r="J16" s="217">
        <v>18058857.149999999</v>
      </c>
      <c r="K16" s="216">
        <f t="shared" ref="K16:K21" si="1">C16+D16+E16+F16+J16</f>
        <v>55298620.536537677</v>
      </c>
    </row>
    <row r="17" spans="1:12" s="65" customFormat="1" ht="16.5">
      <c r="A17" s="219" t="s">
        <v>300</v>
      </c>
      <c r="B17" s="220"/>
      <c r="C17" s="216">
        <v>12326204.4143817</v>
      </c>
      <c r="D17" s="217">
        <v>14796251.732881</v>
      </c>
      <c r="E17" s="217">
        <v>15939008.784964699</v>
      </c>
      <c r="F17" s="217">
        <v>14622709.52</v>
      </c>
      <c r="G17" s="216"/>
      <c r="H17" s="217"/>
      <c r="I17" s="217"/>
      <c r="J17" s="217">
        <v>27973063.510000002</v>
      </c>
      <c r="K17" s="216">
        <f t="shared" si="1"/>
        <v>85657237.962227404</v>
      </c>
    </row>
    <row r="18" spans="1:12" s="65" customFormat="1" ht="16.5">
      <c r="A18" s="219" t="s">
        <v>301</v>
      </c>
      <c r="B18" s="220"/>
      <c r="C18" s="216">
        <v>-71102.075850318404</v>
      </c>
      <c r="D18" s="217">
        <v>-85350.216306994596</v>
      </c>
      <c r="E18" s="217">
        <v>-91942.058845394902</v>
      </c>
      <c r="F18" s="217">
        <v>-84349.16</v>
      </c>
      <c r="G18" s="216"/>
      <c r="H18" s="217"/>
      <c r="I18" s="217"/>
      <c r="J18" s="217">
        <v>-161358.91</v>
      </c>
      <c r="K18" s="216">
        <f t="shared" si="1"/>
        <v>-494102.42100270791</v>
      </c>
    </row>
    <row r="19" spans="1:12" s="65" customFormat="1" ht="16.5">
      <c r="A19" s="225" t="s">
        <v>302</v>
      </c>
      <c r="B19" s="220"/>
      <c r="C19" s="216">
        <v>86617.186565942495</v>
      </c>
      <c r="D19" s="217">
        <v>103974.39907196999</v>
      </c>
      <c r="E19" s="217">
        <v>112004.640779173</v>
      </c>
      <c r="F19" s="217">
        <v>102754.9</v>
      </c>
      <c r="G19" s="216"/>
      <c r="H19" s="217"/>
      <c r="I19" s="217"/>
      <c r="J19" s="217">
        <v>196568.87</v>
      </c>
      <c r="K19" s="216">
        <f t="shared" si="1"/>
        <v>601919.99641708552</v>
      </c>
    </row>
    <row r="20" spans="1:12" s="65" customFormat="1" ht="16.5">
      <c r="A20" s="219" t="s">
        <v>303</v>
      </c>
      <c r="B20" s="220"/>
      <c r="C20" s="226"/>
      <c r="D20" s="227"/>
      <c r="E20" s="227"/>
      <c r="F20" s="227"/>
      <c r="G20" s="226"/>
      <c r="H20" s="227"/>
      <c r="I20" s="227"/>
      <c r="J20" s="227"/>
      <c r="K20" s="228"/>
    </row>
    <row r="21" spans="1:12" s="65" customFormat="1" ht="16.5">
      <c r="A21" s="219" t="s">
        <v>304</v>
      </c>
      <c r="B21" s="220"/>
      <c r="C21" s="216">
        <v>119313.02</v>
      </c>
      <c r="D21" s="217">
        <v>143222.15</v>
      </c>
      <c r="E21" s="217">
        <v>154283.60999999999</v>
      </c>
      <c r="F21" s="217">
        <v>141542.32999999999</v>
      </c>
      <c r="G21" s="216"/>
      <c r="H21" s="217"/>
      <c r="I21" s="217"/>
      <c r="J21" s="217">
        <v>270768.73</v>
      </c>
      <c r="K21" s="216">
        <f t="shared" si="1"/>
        <v>829129.84</v>
      </c>
    </row>
    <row r="22" spans="1:12" s="65" customFormat="1" ht="16.5">
      <c r="A22" s="219" t="s">
        <v>305</v>
      </c>
      <c r="B22" s="220"/>
      <c r="C22" s="216"/>
      <c r="D22" s="217"/>
      <c r="E22" s="217"/>
      <c r="F22" s="217"/>
      <c r="G22" s="216"/>
      <c r="H22" s="217"/>
      <c r="I22" s="217"/>
      <c r="J22" s="217"/>
      <c r="K22" s="228"/>
    </row>
    <row r="23" spans="1:12" s="65" customFormat="1" ht="16.5">
      <c r="A23" s="219" t="s">
        <v>306</v>
      </c>
      <c r="B23" s="220"/>
      <c r="C23" s="216">
        <f>C10-C12-C14-C16-C17-C18+C19+C21</f>
        <v>37838916.496136852</v>
      </c>
      <c r="D23" s="216">
        <f>D10-D12-D14-D16-D17-D18+D19+D21</f>
        <v>18820936.875854883</v>
      </c>
      <c r="E23" s="216">
        <f t="shared" ref="E23:J23" si="2">E10-E12-E14-E16-E17-E18+E19+E21</f>
        <v>-21847932.677932039</v>
      </c>
      <c r="F23" s="216">
        <f t="shared" si="2"/>
        <v>8576254.7099999897</v>
      </c>
      <c r="G23" s="216"/>
      <c r="H23" s="217"/>
      <c r="I23" s="217"/>
      <c r="J23" s="216">
        <f t="shared" si="2"/>
        <v>-42238383.720000014</v>
      </c>
      <c r="K23" s="216">
        <f>C23+D23+E23+F23+J23</f>
        <v>1149791.6840596795</v>
      </c>
      <c r="L23" s="229">
        <f>K10-K12-K14-K16-K17</f>
        <v>-775360.5733602345</v>
      </c>
    </row>
    <row r="24" spans="1:12" s="65" customFormat="1" ht="16.5">
      <c r="A24" s="215"/>
      <c r="B24" s="215"/>
      <c r="C24" s="216"/>
      <c r="D24" s="217"/>
      <c r="E24" s="217"/>
      <c r="F24" s="217"/>
      <c r="G24" s="216"/>
      <c r="H24" s="217"/>
      <c r="I24" s="217"/>
      <c r="J24" s="217"/>
      <c r="K24" s="218"/>
    </row>
    <row r="25" spans="1:12" s="65" customFormat="1" ht="17.25" thickBot="1">
      <c r="A25" s="230"/>
      <c r="B25" s="230"/>
      <c r="C25" s="231"/>
      <c r="D25" s="232"/>
      <c r="E25" s="232"/>
      <c r="F25" s="232"/>
      <c r="G25" s="231"/>
      <c r="H25" s="232"/>
      <c r="I25" s="232"/>
      <c r="J25" s="232"/>
      <c r="K25" s="233"/>
    </row>
    <row r="26" spans="1:12" s="65" customFormat="1" ht="16.5">
      <c r="A26" s="234"/>
      <c r="B26" s="234"/>
      <c r="C26" s="213"/>
      <c r="D26" s="213"/>
      <c r="E26" s="213"/>
      <c r="F26" s="213"/>
      <c r="G26" s="213"/>
      <c r="H26" s="213"/>
      <c r="I26" s="213"/>
      <c r="J26" s="213"/>
      <c r="K26" s="213"/>
    </row>
    <row r="27" spans="1:12" s="65" customFormat="1" ht="16.5">
      <c r="A27" s="235" t="s">
        <v>307</v>
      </c>
      <c r="B27" s="234"/>
      <c r="C27" s="213"/>
      <c r="D27" s="213"/>
      <c r="E27" s="213"/>
      <c r="F27" s="213"/>
      <c r="G27" s="213"/>
      <c r="H27" s="213"/>
      <c r="I27" s="213"/>
      <c r="J27" s="213"/>
      <c r="K27" s="213"/>
    </row>
    <row r="28" spans="1:12" s="65" customFormat="1" ht="16.5">
      <c r="A28" s="234"/>
      <c r="B28" s="234"/>
      <c r="C28" s="213"/>
      <c r="D28" s="213"/>
      <c r="E28" s="213"/>
      <c r="F28" s="213"/>
      <c r="G28" s="213"/>
      <c r="H28" s="213"/>
      <c r="I28" s="213"/>
      <c r="J28" s="213"/>
      <c r="K28" s="213"/>
    </row>
  </sheetData>
  <mergeCells count="10">
    <mergeCell ref="K6:K8"/>
    <mergeCell ref="A5:F5"/>
    <mergeCell ref="C6:F6"/>
    <mergeCell ref="G6:J6"/>
    <mergeCell ref="C7:D7"/>
    <mergeCell ref="E7:F7"/>
    <mergeCell ref="G7:H7"/>
    <mergeCell ref="I7:J7"/>
    <mergeCell ref="A6:A8"/>
    <mergeCell ref="B6:B8"/>
  </mergeCells>
  <phoneticPr fontId="75" type="noConversion"/>
  <pageMargins left="0.55118110236220497" right="0.55118110236220497" top="0.59055118110236204" bottom="0.59055118110236204" header="0.35433070866141703" footer="0.118110236220472"/>
  <pageSetup paperSize="9" scale="50" orientation="landscape"/>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1"/>
  <sheetViews>
    <sheetView workbookViewId="0">
      <selection activeCell="F11" sqref="F11:G14"/>
    </sheetView>
  </sheetViews>
  <sheetFormatPr defaultColWidth="9" defaultRowHeight="14.25"/>
  <cols>
    <col min="1" max="1" width="24.875" customWidth="1"/>
    <col min="2" max="2" width="15.875" customWidth="1"/>
    <col min="3" max="3" width="14.875" customWidth="1"/>
    <col min="4" max="4" width="15.875" customWidth="1"/>
  </cols>
  <sheetData>
    <row r="1" spans="1:4">
      <c r="A1" t="s">
        <v>47</v>
      </c>
      <c r="B1" t="s">
        <v>48</v>
      </c>
      <c r="C1" t="s">
        <v>49</v>
      </c>
      <c r="D1" t="s">
        <v>50</v>
      </c>
    </row>
    <row r="2" spans="1:4">
      <c r="B2" t="s">
        <v>51</v>
      </c>
      <c r="C2" t="s">
        <v>52</v>
      </c>
      <c r="D2" t="s">
        <v>53</v>
      </c>
    </row>
    <row r="3" spans="1:4">
      <c r="A3" t="s">
        <v>54</v>
      </c>
      <c r="B3" s="149">
        <v>0</v>
      </c>
      <c r="C3" s="149">
        <v>377840126.19999999</v>
      </c>
      <c r="D3" s="149">
        <f>B3+C3</f>
        <v>377840126.19999999</v>
      </c>
    </row>
    <row r="4" spans="1:4">
      <c r="A4" t="s">
        <v>55</v>
      </c>
      <c r="B4" s="149">
        <v>175321313.31</v>
      </c>
      <c r="C4" s="149">
        <v>158264255.43000001</v>
      </c>
      <c r="D4" s="149">
        <f>B4+C4</f>
        <v>333585568.74000001</v>
      </c>
    </row>
    <row r="5" spans="1:4">
      <c r="A5" t="s">
        <v>56</v>
      </c>
      <c r="B5" s="149">
        <f>SUM(B3:B4)</f>
        <v>175321313.31</v>
      </c>
      <c r="C5" s="149">
        <f>SUM(C3:C4)</f>
        <v>536104381.63</v>
      </c>
      <c r="D5" s="149">
        <f>SUM(D3:D4)</f>
        <v>711425694.94000006</v>
      </c>
    </row>
    <row r="9" spans="1:4">
      <c r="B9" s="149"/>
      <c r="D9" s="149"/>
    </row>
    <row r="10" spans="1:4">
      <c r="B10" s="149"/>
      <c r="C10" s="149"/>
      <c r="D10" s="149"/>
    </row>
    <row r="11" spans="1:4">
      <c r="B11" s="149"/>
      <c r="C11" s="149"/>
      <c r="D11" s="149"/>
    </row>
  </sheetData>
  <phoneticPr fontId="7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tabColor rgb="FFFFFF00"/>
  </sheetPr>
  <dimension ref="A1:J40"/>
  <sheetViews>
    <sheetView zoomScaleSheetLayoutView="80" workbookViewId="0">
      <pane xSplit="4" ySplit="1" topLeftCell="E2" activePane="bottomRight" state="frozen"/>
      <selection pane="topRight"/>
      <selection pane="bottomLeft"/>
      <selection pane="bottomRight" activeCell="F29" sqref="F29"/>
    </sheetView>
  </sheetViews>
  <sheetFormatPr defaultColWidth="7" defaultRowHeight="12.75"/>
  <cols>
    <col min="1" max="1" width="13" style="146" customWidth="1"/>
    <col min="2" max="2" width="6.125" style="146" customWidth="1"/>
    <col min="3" max="3" width="35.125" style="147" customWidth="1"/>
    <col min="4" max="4" width="20.125" style="147" customWidth="1"/>
    <col min="5" max="7" width="19" style="147" customWidth="1"/>
    <col min="8" max="10" width="23.625" style="147" customWidth="1"/>
    <col min="11" max="16384" width="7" style="147"/>
  </cols>
  <sheetData>
    <row r="1" spans="1:10" s="145" customFormat="1" ht="17.25">
      <c r="A1" s="103" t="str">
        <f>'1 组织结构及管理架构'!A1</f>
        <v>上海派智能源股份有限公司</v>
      </c>
      <c r="B1" s="103"/>
      <c r="C1" s="148"/>
    </row>
    <row r="2" spans="1:10" s="237" customFormat="1" ht="16.5">
      <c r="A2" s="187"/>
      <c r="B2" s="187"/>
      <c r="C2" s="236"/>
    </row>
    <row r="3" spans="1:10" s="237" customFormat="1" ht="16.5">
      <c r="A3" s="238" t="s">
        <v>57</v>
      </c>
      <c r="B3" s="239"/>
    </row>
    <row r="4" spans="1:10" s="237" customFormat="1" ht="16.5">
      <c r="A4" s="239"/>
      <c r="B4" s="239"/>
    </row>
    <row r="5" spans="1:10" s="237" customFormat="1" ht="16.5">
      <c r="A5" s="318" t="s">
        <v>308</v>
      </c>
      <c r="B5" s="318"/>
      <c r="C5" s="318"/>
      <c r="D5" s="318"/>
      <c r="E5" s="318"/>
      <c r="F5" s="318"/>
      <c r="G5" s="318"/>
      <c r="H5" s="318"/>
      <c r="I5" s="318"/>
      <c r="J5" s="318"/>
    </row>
    <row r="6" spans="1:10" s="237" customFormat="1" ht="27" customHeight="1">
      <c r="A6" s="319" t="s">
        <v>309</v>
      </c>
      <c r="B6" s="319" t="s">
        <v>310</v>
      </c>
      <c r="C6" s="319" t="s">
        <v>311</v>
      </c>
      <c r="D6" s="319" t="s">
        <v>312</v>
      </c>
      <c r="E6" s="319" t="s">
        <v>313</v>
      </c>
      <c r="F6" s="319"/>
      <c r="G6" s="240"/>
      <c r="H6" s="319" t="s">
        <v>314</v>
      </c>
      <c r="I6" s="319" t="s">
        <v>315</v>
      </c>
      <c r="J6" s="319" t="s">
        <v>316</v>
      </c>
    </row>
    <row r="7" spans="1:10" s="241" customFormat="1" ht="28.5" customHeight="1">
      <c r="A7" s="320"/>
      <c r="B7" s="320"/>
      <c r="C7" s="321"/>
      <c r="D7" s="321"/>
      <c r="E7" s="240" t="s">
        <v>70</v>
      </c>
      <c r="F7" s="240" t="s">
        <v>317</v>
      </c>
      <c r="G7" s="240" t="s">
        <v>318</v>
      </c>
      <c r="H7" s="321"/>
      <c r="I7" s="322"/>
      <c r="J7" s="321"/>
    </row>
    <row r="8" spans="1:10" s="241" customFormat="1" ht="27.75" customHeight="1">
      <c r="A8" s="312" t="s">
        <v>319</v>
      </c>
      <c r="B8" s="313"/>
      <c r="C8" s="312"/>
      <c r="D8" s="312"/>
      <c r="E8" s="312"/>
      <c r="F8" s="312"/>
      <c r="G8" s="312"/>
      <c r="H8" s="312"/>
      <c r="I8" s="314"/>
      <c r="J8" s="312"/>
    </row>
    <row r="9" spans="1:10" s="237" customFormat="1" ht="16.5">
      <c r="A9" s="315" t="s">
        <v>320</v>
      </c>
      <c r="B9" s="242">
        <v>1</v>
      </c>
      <c r="C9" s="243"/>
      <c r="D9" s="244"/>
      <c r="E9" s="244"/>
      <c r="F9" s="245"/>
      <c r="G9" s="245"/>
      <c r="H9" s="246" t="s">
        <v>321</v>
      </c>
      <c r="I9" s="247"/>
      <c r="J9" s="246"/>
    </row>
    <row r="10" spans="1:10" s="237" customFormat="1" ht="16.5">
      <c r="A10" s="316"/>
      <c r="B10" s="242">
        <v>2</v>
      </c>
      <c r="C10" s="243"/>
      <c r="D10" s="244"/>
      <c r="E10" s="246"/>
      <c r="F10" s="245"/>
      <c r="G10" s="245"/>
      <c r="H10" s="246"/>
      <c r="I10" s="247"/>
      <c r="J10" s="246"/>
    </row>
    <row r="11" spans="1:10" s="237" customFormat="1" ht="16.5">
      <c r="A11" s="316"/>
      <c r="B11" s="242">
        <v>3</v>
      </c>
      <c r="C11" s="243"/>
      <c r="D11" s="244"/>
      <c r="E11" s="246"/>
      <c r="F11" s="245"/>
      <c r="G11" s="245"/>
      <c r="H11" s="246"/>
      <c r="I11" s="247"/>
      <c r="J11" s="246"/>
    </row>
    <row r="12" spans="1:10" s="237" customFormat="1" ht="16.5">
      <c r="A12" s="316"/>
      <c r="B12" s="242">
        <v>4</v>
      </c>
      <c r="C12" s="243"/>
      <c r="D12" s="244"/>
      <c r="E12" s="246"/>
      <c r="F12" s="245"/>
      <c r="G12" s="245"/>
      <c r="H12" s="246"/>
      <c r="I12" s="247"/>
      <c r="J12" s="246"/>
    </row>
    <row r="13" spans="1:10" s="237" customFormat="1" ht="16.5">
      <c r="A13" s="316"/>
      <c r="B13" s="242">
        <v>5</v>
      </c>
      <c r="C13" s="243"/>
      <c r="D13" s="244"/>
      <c r="E13" s="246"/>
      <c r="F13" s="245"/>
      <c r="G13" s="245"/>
      <c r="H13" s="246"/>
      <c r="I13" s="247"/>
      <c r="J13" s="246"/>
    </row>
    <row r="14" spans="1:10" s="237" customFormat="1" ht="16.5">
      <c r="A14" s="316"/>
      <c r="B14" s="246" t="s">
        <v>137</v>
      </c>
      <c r="C14" s="243"/>
      <c r="D14" s="244"/>
      <c r="E14" s="246"/>
      <c r="F14" s="245"/>
      <c r="G14" s="245"/>
      <c r="H14" s="246"/>
      <c r="I14" s="247"/>
      <c r="J14" s="246"/>
    </row>
    <row r="15" spans="1:10" s="254" customFormat="1" ht="16.5">
      <c r="A15" s="317"/>
      <c r="B15" s="248" t="s">
        <v>322</v>
      </c>
      <c r="C15" s="249"/>
      <c r="D15" s="250"/>
      <c r="E15" s="251"/>
      <c r="F15" s="252"/>
      <c r="G15" s="252"/>
      <c r="H15" s="248"/>
      <c r="I15" s="253"/>
      <c r="J15" s="248"/>
    </row>
    <row r="16" spans="1:10" s="237" customFormat="1" ht="16.5">
      <c r="A16" s="315" t="s">
        <v>323</v>
      </c>
      <c r="B16" s="242">
        <v>1</v>
      </c>
      <c r="C16" s="243" t="s">
        <v>324</v>
      </c>
      <c r="D16" s="244"/>
      <c r="E16" s="255">
        <v>323171180.68911499</v>
      </c>
      <c r="F16" s="245">
        <f>E16/$E$40</f>
        <v>0.41284863383715265</v>
      </c>
      <c r="G16" s="245">
        <f>E16/E22</f>
        <v>0.85406295459743942</v>
      </c>
      <c r="H16" s="246" t="s">
        <v>321</v>
      </c>
      <c r="I16" s="247"/>
      <c r="J16" s="246">
        <v>90</v>
      </c>
    </row>
    <row r="17" spans="1:10" s="237" customFormat="1" ht="16.5">
      <c r="A17" s="316"/>
      <c r="B17" s="242">
        <v>2</v>
      </c>
      <c r="C17" s="243" t="s">
        <v>325</v>
      </c>
      <c r="D17" s="244"/>
      <c r="E17" s="255">
        <v>55221511.5</v>
      </c>
      <c r="F17" s="245">
        <f>E17/$E$40</f>
        <v>7.0545045299472448E-2</v>
      </c>
      <c r="G17" s="245">
        <f>E17/E22</f>
        <v>0.14593704540256056</v>
      </c>
      <c r="H17" s="246"/>
      <c r="I17" s="247"/>
      <c r="J17" s="246">
        <v>60</v>
      </c>
    </row>
    <row r="18" spans="1:10" s="237" customFormat="1" ht="16.5">
      <c r="A18" s="316"/>
      <c r="B18" s="242">
        <v>3</v>
      </c>
      <c r="C18" s="243"/>
      <c r="D18" s="244"/>
      <c r="E18" s="255"/>
      <c r="F18" s="245"/>
      <c r="G18" s="245"/>
      <c r="H18" s="246"/>
      <c r="I18" s="247"/>
      <c r="J18" s="246"/>
    </row>
    <row r="19" spans="1:10" s="237" customFormat="1" ht="16.5">
      <c r="A19" s="316"/>
      <c r="B19" s="242">
        <v>4</v>
      </c>
      <c r="C19" s="243"/>
      <c r="D19" s="244"/>
      <c r="E19" s="255"/>
      <c r="F19" s="245"/>
      <c r="G19" s="245"/>
      <c r="H19" s="246"/>
      <c r="I19" s="247"/>
      <c r="J19" s="246"/>
    </row>
    <row r="20" spans="1:10" s="237" customFormat="1" ht="16.5">
      <c r="A20" s="316"/>
      <c r="B20" s="242">
        <v>5</v>
      </c>
      <c r="C20" s="243"/>
      <c r="D20" s="244"/>
      <c r="E20" s="255"/>
      <c r="F20" s="245"/>
      <c r="G20" s="245"/>
      <c r="H20" s="246"/>
      <c r="I20" s="247"/>
      <c r="J20" s="246"/>
    </row>
    <row r="21" spans="1:10" s="237" customFormat="1" ht="16.5">
      <c r="A21" s="316"/>
      <c r="B21" s="246" t="s">
        <v>137</v>
      </c>
      <c r="C21" s="243"/>
      <c r="D21" s="244"/>
      <c r="E21" s="255"/>
      <c r="F21" s="245"/>
      <c r="G21" s="245"/>
      <c r="H21" s="246"/>
      <c r="I21" s="247"/>
      <c r="J21" s="246"/>
    </row>
    <row r="22" spans="1:10" s="254" customFormat="1" ht="16.5">
      <c r="A22" s="317"/>
      <c r="B22" s="256" t="s">
        <v>326</v>
      </c>
      <c r="C22" s="257"/>
      <c r="D22" s="258"/>
      <c r="E22" s="251">
        <f>SUM(E16:E21)</f>
        <v>378392692.18911499</v>
      </c>
      <c r="F22" s="259"/>
      <c r="G22" s="259"/>
      <c r="H22" s="256"/>
      <c r="I22" s="260"/>
      <c r="J22" s="256"/>
    </row>
    <row r="23" spans="1:10" s="237" customFormat="1" ht="17.25" thickBot="1">
      <c r="A23" s="261" t="s">
        <v>327</v>
      </c>
      <c r="B23" s="262"/>
      <c r="C23" s="263"/>
      <c r="D23" s="264"/>
      <c r="E23" s="265">
        <f>E15+E22</f>
        <v>378392692.18911499</v>
      </c>
      <c r="F23" s="266"/>
      <c r="G23" s="266"/>
      <c r="H23" s="263"/>
      <c r="I23" s="267"/>
      <c r="J23" s="263"/>
    </row>
    <row r="24" spans="1:10" s="237" customFormat="1" ht="26.25" customHeight="1" thickTop="1">
      <c r="A24" s="312" t="s">
        <v>328</v>
      </c>
      <c r="B24" s="313"/>
      <c r="C24" s="312"/>
      <c r="D24" s="312"/>
      <c r="E24" s="312"/>
      <c r="F24" s="312"/>
      <c r="G24" s="312"/>
      <c r="H24" s="312"/>
      <c r="I24" s="314"/>
      <c r="J24" s="312"/>
    </row>
    <row r="25" spans="1:10" s="237" customFormat="1" ht="16.5">
      <c r="A25" s="315" t="s">
        <v>329</v>
      </c>
      <c r="B25" s="242">
        <v>1</v>
      </c>
      <c r="C25" s="243" t="s">
        <v>330</v>
      </c>
      <c r="D25" s="244" t="s">
        <v>331</v>
      </c>
      <c r="E25" s="246">
        <v>810108</v>
      </c>
      <c r="F25" s="245">
        <f t="shared" ref="F25:F29" si="0">E25/$E$40</f>
        <v>1.0349065790686484E-3</v>
      </c>
      <c r="G25" s="268"/>
      <c r="H25" s="246" t="s">
        <v>321</v>
      </c>
      <c r="I25" s="247"/>
      <c r="J25" s="246" t="s">
        <v>332</v>
      </c>
    </row>
    <row r="26" spans="1:10" s="237" customFormat="1" ht="16.5">
      <c r="A26" s="316"/>
      <c r="B26" s="242">
        <v>2</v>
      </c>
      <c r="C26" s="243" t="s">
        <v>333</v>
      </c>
      <c r="D26" s="244" t="s">
        <v>331</v>
      </c>
      <c r="E26" s="246">
        <v>2857.36</v>
      </c>
      <c r="F26" s="245">
        <f t="shared" si="0"/>
        <v>3.650254858324561E-6</v>
      </c>
      <c r="G26" s="268"/>
      <c r="H26" s="246"/>
      <c r="I26" s="247"/>
      <c r="J26" s="246" t="s">
        <v>332</v>
      </c>
    </row>
    <row r="27" spans="1:10" s="237" customFormat="1" ht="16.5">
      <c r="A27" s="316"/>
      <c r="B27" s="242">
        <v>3</v>
      </c>
      <c r="C27" s="269" t="s">
        <v>334</v>
      </c>
      <c r="D27" s="244" t="s">
        <v>331</v>
      </c>
      <c r="E27" s="246">
        <v>118854.21</v>
      </c>
      <c r="F27" s="245">
        <f t="shared" si="0"/>
        <v>1.5183531563570134E-4</v>
      </c>
      <c r="G27" s="268"/>
      <c r="H27" s="246"/>
      <c r="I27" s="247"/>
      <c r="J27" s="246" t="s">
        <v>335</v>
      </c>
    </row>
    <row r="28" spans="1:10" s="237" customFormat="1" ht="16.5">
      <c r="A28" s="316"/>
      <c r="B28" s="242">
        <v>4</v>
      </c>
      <c r="C28" s="243" t="s">
        <v>336</v>
      </c>
      <c r="D28" s="244" t="s">
        <v>331</v>
      </c>
      <c r="E28" s="246">
        <v>223706.7</v>
      </c>
      <c r="F28" s="245">
        <f t="shared" si="0"/>
        <v>2.8578354443078752E-4</v>
      </c>
      <c r="G28" s="268"/>
      <c r="H28" s="246"/>
      <c r="I28" s="247"/>
      <c r="J28" s="246" t="s">
        <v>337</v>
      </c>
    </row>
    <row r="29" spans="1:10" s="237" customFormat="1" ht="16.5">
      <c r="A29" s="316"/>
      <c r="B29" s="242">
        <v>5</v>
      </c>
      <c r="C29" s="243" t="s">
        <v>338</v>
      </c>
      <c r="D29" s="244" t="s">
        <v>331</v>
      </c>
      <c r="E29" s="246">
        <v>393734.14649999997</v>
      </c>
      <c r="F29" s="245">
        <f t="shared" si="0"/>
        <v>5.0299226599024942E-4</v>
      </c>
      <c r="G29" s="268"/>
      <c r="H29" s="246"/>
      <c r="I29" s="247"/>
      <c r="J29" s="246" t="s">
        <v>332</v>
      </c>
    </row>
    <row r="30" spans="1:10" s="237" customFormat="1" ht="16.5">
      <c r="A30" s="316"/>
      <c r="B30" s="246" t="s">
        <v>137</v>
      </c>
      <c r="C30" s="243"/>
      <c r="D30" s="244"/>
      <c r="E30" s="246"/>
      <c r="F30" s="246"/>
      <c r="G30" s="268"/>
      <c r="H30" s="246"/>
      <c r="I30" s="247"/>
      <c r="J30" s="246"/>
    </row>
    <row r="31" spans="1:10" s="254" customFormat="1" ht="16.5">
      <c r="A31" s="317"/>
      <c r="B31" s="256" t="s">
        <v>339</v>
      </c>
      <c r="C31" s="257"/>
      <c r="D31" s="258"/>
      <c r="E31" s="251">
        <f>SUM(E25:E30)</f>
        <v>1549260.4165000001</v>
      </c>
      <c r="F31" s="251"/>
      <c r="G31" s="270"/>
      <c r="H31" s="256"/>
      <c r="I31" s="260"/>
      <c r="J31" s="256"/>
    </row>
    <row r="32" spans="1:10" s="237" customFormat="1" ht="16.5">
      <c r="A32" s="315" t="s">
        <v>340</v>
      </c>
      <c r="B32" s="242">
        <v>1</v>
      </c>
      <c r="C32" s="243" t="s">
        <v>341</v>
      </c>
      <c r="D32" s="244" t="s">
        <v>331</v>
      </c>
      <c r="E32" s="246">
        <v>96577703.069999993</v>
      </c>
      <c r="F32" s="245">
        <f t="shared" ref="F32:F37" si="1">E32/$E$40</f>
        <v>0.12337725377169637</v>
      </c>
      <c r="G32" s="268"/>
      <c r="H32" s="246" t="s">
        <v>321</v>
      </c>
      <c r="I32" s="247"/>
      <c r="J32" s="246" t="s">
        <v>342</v>
      </c>
    </row>
    <row r="33" spans="1:10" s="237" customFormat="1" ht="16.5">
      <c r="A33" s="316"/>
      <c r="B33" s="242">
        <v>2</v>
      </c>
      <c r="C33" s="243" t="s">
        <v>343</v>
      </c>
      <c r="D33" s="244" t="s">
        <v>331</v>
      </c>
      <c r="E33" s="246">
        <v>78659890.900000006</v>
      </c>
      <c r="F33" s="245">
        <f t="shared" si="1"/>
        <v>0.1004873900779058</v>
      </c>
      <c r="G33" s="268"/>
      <c r="H33" s="246"/>
      <c r="I33" s="247"/>
      <c r="J33" s="246" t="s">
        <v>344</v>
      </c>
    </row>
    <row r="34" spans="1:10" s="237" customFormat="1" ht="16.5">
      <c r="A34" s="316"/>
      <c r="B34" s="242">
        <v>3</v>
      </c>
      <c r="C34" s="243" t="s">
        <v>345</v>
      </c>
      <c r="D34" s="244" t="s">
        <v>331</v>
      </c>
      <c r="E34" s="246">
        <v>78218500.760000095</v>
      </c>
      <c r="F34" s="245">
        <f t="shared" si="1"/>
        <v>9.9923517656176922E-2</v>
      </c>
      <c r="G34" s="268"/>
      <c r="H34" s="246"/>
      <c r="I34" s="247"/>
      <c r="J34" s="246" t="s">
        <v>346</v>
      </c>
    </row>
    <row r="35" spans="1:10" s="237" customFormat="1" ht="16.5">
      <c r="A35" s="316"/>
      <c r="B35" s="242">
        <v>4</v>
      </c>
      <c r="C35" s="243" t="s">
        <v>347</v>
      </c>
      <c r="D35" s="244" t="s">
        <v>331</v>
      </c>
      <c r="E35" s="246">
        <v>38067581.299999997</v>
      </c>
      <c r="F35" s="245">
        <f t="shared" si="1"/>
        <v>4.8631034796102063E-2</v>
      </c>
      <c r="G35" s="268"/>
      <c r="H35" s="246"/>
      <c r="I35" s="247"/>
      <c r="J35" s="246" t="s">
        <v>344</v>
      </c>
    </row>
    <row r="36" spans="1:10" s="237" customFormat="1" ht="16.5">
      <c r="A36" s="316"/>
      <c r="B36" s="242">
        <v>5</v>
      </c>
      <c r="C36" s="243" t="s">
        <v>348</v>
      </c>
      <c r="D36" s="244" t="s">
        <v>331</v>
      </c>
      <c r="E36" s="246">
        <v>20767406.190000001</v>
      </c>
      <c r="F36" s="245">
        <f t="shared" si="1"/>
        <v>2.6530197573930853E-2</v>
      </c>
      <c r="G36" s="268"/>
      <c r="H36" s="246"/>
      <c r="I36" s="247"/>
      <c r="J36" s="246" t="s">
        <v>349</v>
      </c>
    </row>
    <row r="37" spans="1:10" s="237" customFormat="1" ht="16.5">
      <c r="A37" s="316"/>
      <c r="B37" s="246" t="s">
        <v>137</v>
      </c>
      <c r="C37" s="243"/>
      <c r="D37" s="244"/>
      <c r="E37" s="246">
        <f>E39-E31-E32-E33-E34-E35-E36</f>
        <v>90550664.094384924</v>
      </c>
      <c r="F37" s="245">
        <f t="shared" si="1"/>
        <v>0.11567775902757928</v>
      </c>
      <c r="G37" s="268"/>
      <c r="H37" s="246"/>
      <c r="I37" s="247"/>
      <c r="J37" s="246"/>
    </row>
    <row r="38" spans="1:10" s="254" customFormat="1" ht="12" customHeight="1">
      <c r="A38" s="317"/>
      <c r="B38" s="256" t="s">
        <v>350</v>
      </c>
      <c r="C38" s="257"/>
      <c r="D38" s="258"/>
      <c r="E38" s="251">
        <f>SUM(E32:E37)</f>
        <v>402841746.314385</v>
      </c>
      <c r="F38" s="251"/>
      <c r="G38" s="270"/>
      <c r="H38" s="256"/>
      <c r="I38" s="260"/>
      <c r="J38" s="256"/>
    </row>
    <row r="39" spans="1:10" s="254" customFormat="1" ht="17.25" thickBot="1">
      <c r="A39" s="261" t="s">
        <v>351</v>
      </c>
      <c r="B39" s="271"/>
      <c r="C39" s="261"/>
      <c r="D39" s="272"/>
      <c r="E39" s="273">
        <f>E40-E23</f>
        <v>404391006.73088497</v>
      </c>
      <c r="F39" s="273"/>
      <c r="G39" s="274"/>
      <c r="H39" s="275"/>
      <c r="I39" s="276"/>
      <c r="J39" s="275"/>
    </row>
    <row r="40" spans="1:10" s="237" customFormat="1" ht="17.25" thickTop="1">
      <c r="A40" s="277" t="s">
        <v>56</v>
      </c>
      <c r="B40" s="278"/>
      <c r="C40" s="279"/>
      <c r="D40" s="280"/>
      <c r="E40" s="281">
        <v>782783698.91999996</v>
      </c>
      <c r="F40" s="281"/>
      <c r="G40" s="282"/>
      <c r="H40" s="283"/>
      <c r="I40" s="284"/>
      <c r="J40" s="283"/>
    </row>
  </sheetData>
  <mergeCells count="15">
    <mergeCell ref="A24:J24"/>
    <mergeCell ref="A25:A31"/>
    <mergeCell ref="A32:A38"/>
    <mergeCell ref="A5:J5"/>
    <mergeCell ref="A6:A7"/>
    <mergeCell ref="B6:B7"/>
    <mergeCell ref="C6:C7"/>
    <mergeCell ref="D6:D7"/>
    <mergeCell ref="E6:F6"/>
    <mergeCell ref="H6:H7"/>
    <mergeCell ref="I6:I7"/>
    <mergeCell ref="J6:J7"/>
    <mergeCell ref="A8:J8"/>
    <mergeCell ref="A9:A15"/>
    <mergeCell ref="A16:A22"/>
  </mergeCells>
  <phoneticPr fontId="75" type="noConversion"/>
  <pageMargins left="0.55118110236220497" right="0.55118110236220497" top="0.59055118110236204" bottom="0.59055118110236204" header="0.35433070866141703" footer="0.118110236220472"/>
  <pageSetup paperSize="9" scale="55" orientation="landscape"/>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rgb="FFFFFF00"/>
  </sheetPr>
  <dimension ref="A1:L59"/>
  <sheetViews>
    <sheetView zoomScaleNormal="100" zoomScaleSheetLayoutView="80" workbookViewId="0">
      <pane xSplit="4" ySplit="8" topLeftCell="E9" activePane="bottomRight" state="frozen"/>
      <selection pane="topRight"/>
      <selection pane="bottomLeft"/>
      <selection pane="bottomRight" activeCell="F54" sqref="F54"/>
    </sheetView>
  </sheetViews>
  <sheetFormatPr defaultColWidth="7" defaultRowHeight="12.75"/>
  <cols>
    <col min="1" max="1" width="14.625" style="100" customWidth="1"/>
    <col min="2" max="2" width="6.125" style="100" customWidth="1"/>
    <col min="3" max="3" width="33" style="101" customWidth="1"/>
    <col min="4" max="4" width="20.625" style="101" customWidth="1"/>
    <col min="5" max="5" width="19" style="102" customWidth="1"/>
    <col min="6" max="7" width="19" style="101" customWidth="1"/>
    <col min="8" max="10" width="23.625" style="101" customWidth="1"/>
    <col min="11" max="11" width="7" style="101"/>
    <col min="12" max="12" width="13.875" style="101"/>
    <col min="13" max="16384" width="7" style="101"/>
  </cols>
  <sheetData>
    <row r="1" spans="1:12" s="97" customFormat="1" ht="17.25">
      <c r="A1" s="103" t="str">
        <f>'1 组织结构及管理架构'!A1</f>
        <v>上海派智能源股份有限公司</v>
      </c>
      <c r="B1" s="104"/>
      <c r="C1" s="105"/>
      <c r="E1" s="106"/>
    </row>
    <row r="2" spans="1:12" s="97" customFormat="1" ht="15.75">
      <c r="A2" s="107"/>
      <c r="B2" s="107"/>
      <c r="C2" s="108"/>
      <c r="E2" s="106"/>
    </row>
    <row r="3" spans="1:12" s="97" customFormat="1" ht="17.25">
      <c r="A3" s="109" t="s">
        <v>66</v>
      </c>
      <c r="B3" s="109"/>
      <c r="E3" s="106"/>
    </row>
    <row r="4" spans="1:12" s="98" customFormat="1" ht="15.75">
      <c r="A4" s="109"/>
      <c r="B4" s="109"/>
      <c r="C4" s="97"/>
      <c r="D4" s="97"/>
      <c r="E4" s="106"/>
      <c r="F4" s="97"/>
      <c r="G4" s="97"/>
      <c r="H4" s="97"/>
      <c r="I4" s="97"/>
      <c r="J4" s="97"/>
    </row>
    <row r="5" spans="1:12" s="98" customFormat="1" ht="15.75">
      <c r="A5" s="330" t="s">
        <v>67</v>
      </c>
      <c r="B5" s="330"/>
      <c r="C5" s="330"/>
      <c r="D5" s="330"/>
      <c r="E5" s="330"/>
      <c r="F5" s="330"/>
      <c r="G5" s="330"/>
      <c r="H5" s="330"/>
      <c r="I5" s="330"/>
      <c r="J5" s="330"/>
    </row>
    <row r="6" spans="1:12" ht="23.25" customHeight="1">
      <c r="A6" s="337" t="s">
        <v>58</v>
      </c>
      <c r="B6" s="326" t="s">
        <v>59</v>
      </c>
      <c r="C6" s="328" t="s">
        <v>68</v>
      </c>
      <c r="D6" s="328" t="s">
        <v>69</v>
      </c>
      <c r="E6" s="328" t="s">
        <v>60</v>
      </c>
      <c r="F6" s="328"/>
      <c r="G6" s="110"/>
      <c r="H6" s="328" t="s">
        <v>61</v>
      </c>
      <c r="I6" s="339" t="s">
        <v>62</v>
      </c>
      <c r="J6" s="328" t="s">
        <v>63</v>
      </c>
    </row>
    <row r="7" spans="1:12" s="99" customFormat="1" ht="30" customHeight="1">
      <c r="A7" s="338"/>
      <c r="B7" s="327"/>
      <c r="C7" s="329"/>
      <c r="D7" s="329"/>
      <c r="E7" s="111" t="s">
        <v>70</v>
      </c>
      <c r="F7" s="110" t="s">
        <v>71</v>
      </c>
      <c r="G7" s="110" t="s">
        <v>72</v>
      </c>
      <c r="H7" s="329"/>
      <c r="I7" s="340"/>
      <c r="J7" s="329"/>
    </row>
    <row r="8" spans="1:12" s="99" customFormat="1" ht="27.75" customHeight="1">
      <c r="A8" s="331" t="s">
        <v>73</v>
      </c>
      <c r="B8" s="332"/>
      <c r="C8" s="331"/>
      <c r="D8" s="331"/>
      <c r="E8" s="331"/>
      <c r="F8" s="331"/>
      <c r="G8" s="331"/>
      <c r="H8" s="331"/>
      <c r="I8" s="333"/>
      <c r="J8" s="331"/>
    </row>
    <row r="9" spans="1:12">
      <c r="A9" s="323" t="s">
        <v>74</v>
      </c>
      <c r="B9" s="21">
        <v>1</v>
      </c>
      <c r="C9" s="22" t="s">
        <v>353</v>
      </c>
      <c r="D9" s="23" t="s">
        <v>357</v>
      </c>
      <c r="E9" s="24">
        <v>1167267</v>
      </c>
      <c r="F9" s="112"/>
      <c r="G9" s="112"/>
      <c r="H9" s="113"/>
      <c r="I9" s="140"/>
      <c r="J9" s="113"/>
    </row>
    <row r="10" spans="1:12">
      <c r="A10" s="324"/>
      <c r="B10" s="21">
        <v>2</v>
      </c>
      <c r="C10" s="26" t="s">
        <v>354</v>
      </c>
      <c r="D10" s="23" t="s">
        <v>358</v>
      </c>
      <c r="E10" s="25">
        <v>26143528.850000001</v>
      </c>
      <c r="F10" s="112"/>
      <c r="G10" s="112"/>
      <c r="H10" s="113"/>
      <c r="I10" s="140"/>
      <c r="J10" s="113"/>
      <c r="L10" s="141"/>
    </row>
    <row r="11" spans="1:12">
      <c r="A11" s="324"/>
      <c r="B11" s="21">
        <v>3</v>
      </c>
      <c r="C11" s="22" t="s">
        <v>355</v>
      </c>
      <c r="D11" s="23" t="s">
        <v>359</v>
      </c>
      <c r="E11" s="25">
        <v>126981413.70999999</v>
      </c>
      <c r="F11" s="112"/>
      <c r="G11" s="112"/>
      <c r="H11" s="113"/>
      <c r="I11" s="140"/>
      <c r="J11" s="113"/>
    </row>
    <row r="12" spans="1:12">
      <c r="A12" s="324"/>
      <c r="B12" s="21">
        <v>4</v>
      </c>
      <c r="C12" s="26" t="s">
        <v>356</v>
      </c>
      <c r="D12" s="23" t="s">
        <v>359</v>
      </c>
      <c r="E12" s="25">
        <v>21029103.75</v>
      </c>
      <c r="F12" s="112"/>
      <c r="G12" s="112"/>
      <c r="H12" s="113"/>
      <c r="I12" s="140"/>
      <c r="J12" s="113"/>
    </row>
    <row r="13" spans="1:12">
      <c r="A13" s="324"/>
      <c r="B13" s="21">
        <v>5</v>
      </c>
      <c r="C13" s="26"/>
      <c r="D13" s="27"/>
      <c r="E13" s="25"/>
      <c r="F13" s="112"/>
      <c r="G13" s="112"/>
      <c r="H13" s="113"/>
      <c r="I13" s="140"/>
      <c r="J13" s="113"/>
    </row>
    <row r="14" spans="1:12">
      <c r="A14" s="324"/>
      <c r="B14" s="28" t="s">
        <v>64</v>
      </c>
      <c r="C14" s="26"/>
      <c r="D14" s="27"/>
      <c r="E14" s="25"/>
      <c r="F14" s="112"/>
      <c r="G14" s="112"/>
      <c r="H14" s="113"/>
      <c r="I14" s="140"/>
      <c r="J14" s="113"/>
    </row>
    <row r="15" spans="1:12">
      <c r="A15" s="325"/>
      <c r="B15" s="29" t="s">
        <v>75</v>
      </c>
      <c r="C15" s="30"/>
      <c r="D15" s="31"/>
      <c r="E15" s="32">
        <f>SUBTOTAL(9,E9:E14)</f>
        <v>175321313.31</v>
      </c>
      <c r="F15" s="114">
        <f t="shared" ref="F15:F40" si="0">IFERROR(E15/E$40,0)</f>
        <v>0.24616551442739143</v>
      </c>
      <c r="G15" s="114">
        <f t="shared" ref="G15:G23" si="1">IFERROR(E15/E$23,0)</f>
        <v>0.52556624068665048</v>
      </c>
      <c r="H15" s="115"/>
      <c r="I15" s="142"/>
      <c r="J15" s="115"/>
    </row>
    <row r="16" spans="1:12" ht="24">
      <c r="A16" s="323" t="s">
        <v>76</v>
      </c>
      <c r="B16" s="21">
        <v>1</v>
      </c>
      <c r="C16" s="285" t="s">
        <v>360</v>
      </c>
      <c r="D16" s="23" t="s">
        <v>361</v>
      </c>
      <c r="E16" s="25">
        <v>147339311.34</v>
      </c>
      <c r="F16" s="112"/>
      <c r="G16" s="112"/>
      <c r="H16" s="113"/>
      <c r="I16" s="140"/>
      <c r="J16" s="113"/>
    </row>
    <row r="17" spans="1:10">
      <c r="A17" s="324"/>
      <c r="B17" s="21">
        <v>2</v>
      </c>
      <c r="C17" s="285" t="s">
        <v>363</v>
      </c>
      <c r="D17" s="116" t="s">
        <v>362</v>
      </c>
      <c r="E17" s="25">
        <v>10924944.09</v>
      </c>
      <c r="F17" s="112"/>
      <c r="G17" s="112"/>
      <c r="H17" s="113"/>
      <c r="I17" s="140"/>
      <c r="J17" s="113"/>
    </row>
    <row r="18" spans="1:10">
      <c r="A18" s="324"/>
      <c r="B18" s="21">
        <v>3</v>
      </c>
      <c r="C18" s="26"/>
      <c r="D18" s="27"/>
      <c r="E18" s="25"/>
      <c r="F18" s="112"/>
      <c r="G18" s="112"/>
      <c r="H18" s="113"/>
      <c r="I18" s="140"/>
      <c r="J18" s="113"/>
    </row>
    <row r="19" spans="1:10">
      <c r="A19" s="324"/>
      <c r="B19" s="21">
        <v>4</v>
      </c>
      <c r="C19" s="26"/>
      <c r="D19" s="27"/>
      <c r="E19" s="25"/>
      <c r="F19" s="112"/>
      <c r="G19" s="112"/>
      <c r="H19" s="113"/>
      <c r="I19" s="140"/>
      <c r="J19" s="113"/>
    </row>
    <row r="20" spans="1:10">
      <c r="A20" s="324"/>
      <c r="B20" s="21">
        <v>5</v>
      </c>
      <c r="C20" s="26"/>
      <c r="D20" s="27"/>
      <c r="E20" s="25"/>
      <c r="F20" s="112"/>
      <c r="G20" s="112"/>
      <c r="H20" s="113"/>
      <c r="I20" s="140"/>
      <c r="J20" s="113"/>
    </row>
    <row r="21" spans="1:10">
      <c r="A21" s="324"/>
      <c r="B21" s="28" t="s">
        <v>64</v>
      </c>
      <c r="C21" s="26"/>
      <c r="D21" s="27"/>
      <c r="E21" s="25"/>
      <c r="F21" s="112"/>
      <c r="G21" s="112"/>
      <c r="H21" s="113"/>
      <c r="I21" s="140"/>
      <c r="J21" s="113"/>
    </row>
    <row r="22" spans="1:10" ht="12" customHeight="1">
      <c r="A22" s="325"/>
      <c r="B22" s="33" t="s">
        <v>77</v>
      </c>
      <c r="C22" s="34"/>
      <c r="D22" s="31"/>
      <c r="E22" s="32">
        <f>SUBTOTAL(9,E16:E21)</f>
        <v>158264255.43000001</v>
      </c>
      <c r="F22" s="114">
        <f t="shared" si="0"/>
        <v>0.22221600510433701</v>
      </c>
      <c r="G22" s="114">
        <f t="shared" si="1"/>
        <v>0.47443375931334969</v>
      </c>
      <c r="H22" s="115"/>
      <c r="I22" s="142"/>
      <c r="J22" s="115"/>
    </row>
    <row r="23" spans="1:10">
      <c r="A23" s="117" t="s">
        <v>78</v>
      </c>
      <c r="B23" s="118"/>
      <c r="C23" s="119"/>
      <c r="D23" s="119"/>
      <c r="E23" s="120">
        <f>SUBTOTAL(9,E9:E22)</f>
        <v>333585568.73999995</v>
      </c>
      <c r="F23" s="121">
        <f t="shared" si="0"/>
        <v>0.46838151953172835</v>
      </c>
      <c r="G23" s="121">
        <f t="shared" si="1"/>
        <v>1</v>
      </c>
      <c r="H23" s="119"/>
      <c r="I23" s="119"/>
      <c r="J23" s="119"/>
    </row>
    <row r="24" spans="1:10" ht="26.25" customHeight="1">
      <c r="A24" s="334" t="s">
        <v>79</v>
      </c>
      <c r="B24" s="335"/>
      <c r="C24" s="334"/>
      <c r="D24" s="334"/>
      <c r="E24" s="334"/>
      <c r="F24" s="334"/>
      <c r="G24" s="334"/>
      <c r="H24" s="334"/>
      <c r="I24" s="336"/>
      <c r="J24" s="334"/>
    </row>
    <row r="25" spans="1:10">
      <c r="A25" s="323" t="s">
        <v>80</v>
      </c>
      <c r="B25" s="21">
        <v>1</v>
      </c>
      <c r="C25" s="26"/>
      <c r="D25" s="27"/>
      <c r="E25" s="25"/>
      <c r="F25" s="122"/>
      <c r="G25" s="122"/>
      <c r="H25" s="113"/>
      <c r="I25" s="140"/>
      <c r="J25" s="113"/>
    </row>
    <row r="26" spans="1:10">
      <c r="A26" s="324"/>
      <c r="B26" s="21">
        <v>2</v>
      </c>
      <c r="C26" s="26"/>
      <c r="D26" s="27"/>
      <c r="E26" s="25"/>
      <c r="F26" s="122"/>
      <c r="G26" s="122"/>
      <c r="H26" s="113"/>
      <c r="I26" s="140"/>
      <c r="J26" s="113"/>
    </row>
    <row r="27" spans="1:10">
      <c r="A27" s="324"/>
      <c r="B27" s="21">
        <v>3</v>
      </c>
      <c r="C27" s="26"/>
      <c r="D27" s="27"/>
      <c r="E27" s="25"/>
      <c r="F27" s="122"/>
      <c r="G27" s="122"/>
      <c r="H27" s="113"/>
      <c r="I27" s="140"/>
      <c r="J27" s="113"/>
    </row>
    <row r="28" spans="1:10">
      <c r="A28" s="324"/>
      <c r="B28" s="21">
        <v>4</v>
      </c>
      <c r="C28" s="26"/>
      <c r="D28" s="27"/>
      <c r="E28" s="25"/>
      <c r="F28" s="122"/>
      <c r="G28" s="122"/>
      <c r="H28" s="113"/>
      <c r="I28" s="140"/>
      <c r="J28" s="113"/>
    </row>
    <row r="29" spans="1:10">
      <c r="A29" s="324"/>
      <c r="B29" s="21">
        <v>5</v>
      </c>
      <c r="C29" s="26"/>
      <c r="D29" s="27"/>
      <c r="E29" s="25"/>
      <c r="F29" s="122"/>
      <c r="G29" s="122"/>
      <c r="H29" s="113"/>
      <c r="I29" s="140"/>
      <c r="J29" s="113"/>
    </row>
    <row r="30" spans="1:10">
      <c r="A30" s="324"/>
      <c r="B30" s="28" t="s">
        <v>64</v>
      </c>
      <c r="C30" s="26"/>
      <c r="D30" s="27"/>
      <c r="E30" s="25"/>
      <c r="F30" s="122"/>
      <c r="G30" s="122"/>
      <c r="H30" s="113"/>
      <c r="I30" s="140"/>
      <c r="J30" s="113"/>
    </row>
    <row r="31" spans="1:10">
      <c r="A31" s="325"/>
      <c r="B31" s="33" t="s">
        <v>81</v>
      </c>
      <c r="C31" s="34"/>
      <c r="D31" s="31"/>
      <c r="E31" s="32">
        <f>SUBTOTAL(9,E25:E30)</f>
        <v>0</v>
      </c>
      <c r="F31" s="123">
        <f t="shared" si="0"/>
        <v>0</v>
      </c>
      <c r="G31" s="123">
        <f t="shared" ref="G31:G39" si="2">IFERROR(E31/E$39,0)</f>
        <v>0</v>
      </c>
      <c r="H31" s="115"/>
      <c r="I31" s="142"/>
      <c r="J31" s="115"/>
    </row>
    <row r="32" spans="1:10" ht="24.75">
      <c r="A32" s="323" t="s">
        <v>82</v>
      </c>
      <c r="B32" s="21">
        <v>1</v>
      </c>
      <c r="C32" s="285" t="s">
        <v>242</v>
      </c>
      <c r="D32" s="287" t="s">
        <v>365</v>
      </c>
      <c r="E32" s="25">
        <v>323333968.69</v>
      </c>
      <c r="F32" s="122"/>
      <c r="G32" s="122"/>
      <c r="H32" s="113"/>
      <c r="I32" s="140"/>
      <c r="J32" s="113"/>
    </row>
    <row r="33" spans="1:10">
      <c r="A33" s="324"/>
      <c r="B33" s="21">
        <v>2</v>
      </c>
      <c r="C33" s="286" t="s">
        <v>363</v>
      </c>
      <c r="D33" s="288" t="s">
        <v>359</v>
      </c>
      <c r="E33" s="25">
        <v>55221511.5</v>
      </c>
      <c r="F33" s="122"/>
      <c r="G33" s="122"/>
      <c r="H33" s="113"/>
      <c r="I33" s="140"/>
      <c r="J33" s="113"/>
    </row>
    <row r="34" spans="1:10">
      <c r="A34" s="324"/>
      <c r="B34" s="21">
        <v>3</v>
      </c>
      <c r="C34" s="286" t="s">
        <v>364</v>
      </c>
      <c r="D34" s="288" t="s">
        <v>366</v>
      </c>
      <c r="E34" s="25">
        <v>68026</v>
      </c>
      <c r="F34" s="122"/>
      <c r="G34" s="122"/>
      <c r="H34" s="113"/>
      <c r="I34" s="140"/>
      <c r="J34" s="113"/>
    </row>
    <row r="35" spans="1:10">
      <c r="A35" s="324"/>
      <c r="B35" s="21">
        <v>4</v>
      </c>
      <c r="C35" s="26"/>
      <c r="D35" s="27"/>
      <c r="E35" s="25"/>
      <c r="F35" s="122"/>
      <c r="G35" s="122"/>
      <c r="H35" s="113"/>
      <c r="I35" s="140"/>
      <c r="J35" s="113"/>
    </row>
    <row r="36" spans="1:10">
      <c r="A36" s="324"/>
      <c r="B36" s="21">
        <v>5</v>
      </c>
      <c r="C36" s="26"/>
      <c r="D36" s="27"/>
      <c r="E36" s="25"/>
      <c r="F36" s="122"/>
      <c r="G36" s="122"/>
      <c r="H36" s="113"/>
      <c r="I36" s="140"/>
      <c r="J36" s="113"/>
    </row>
    <row r="37" spans="1:10">
      <c r="A37" s="324"/>
      <c r="B37" s="28" t="s">
        <v>64</v>
      </c>
      <c r="C37" s="26"/>
      <c r="D37" s="27"/>
      <c r="E37" s="25"/>
      <c r="F37" s="122"/>
      <c r="G37" s="122"/>
      <c r="H37" s="113"/>
      <c r="I37" s="140"/>
      <c r="J37" s="113"/>
    </row>
    <row r="38" spans="1:10">
      <c r="A38" s="325"/>
      <c r="B38" s="33" t="s">
        <v>83</v>
      </c>
      <c r="C38" s="34"/>
      <c r="D38" s="31"/>
      <c r="E38" s="32">
        <f>SUBTOTAL(9,E32:E37)</f>
        <v>378623506.19</v>
      </c>
      <c r="F38" s="123">
        <f t="shared" si="0"/>
        <v>0.53161848046827165</v>
      </c>
      <c r="G38" s="123">
        <f t="shared" si="2"/>
        <v>1</v>
      </c>
      <c r="H38" s="115"/>
      <c r="I38" s="142"/>
      <c r="J38" s="115"/>
    </row>
    <row r="39" spans="1:10">
      <c r="A39" s="124" t="s">
        <v>84</v>
      </c>
      <c r="B39" s="125"/>
      <c r="C39" s="125"/>
      <c r="D39" s="126"/>
      <c r="E39" s="120">
        <f>SUBTOTAL(9,E25:E38)</f>
        <v>378623506.19</v>
      </c>
      <c r="F39" s="127">
        <f t="shared" si="0"/>
        <v>0.53161848046827165</v>
      </c>
      <c r="G39" s="127">
        <f t="shared" si="2"/>
        <v>1</v>
      </c>
      <c r="H39" s="128"/>
      <c r="I39" s="143"/>
      <c r="J39" s="128"/>
    </row>
    <row r="40" spans="1:10">
      <c r="A40" s="129" t="s">
        <v>65</v>
      </c>
      <c r="B40" s="130"/>
      <c r="C40" s="131"/>
      <c r="D40" s="132"/>
      <c r="E40" s="133">
        <f>SUM(E23,E39)</f>
        <v>712209074.92999995</v>
      </c>
      <c r="F40" s="134">
        <f t="shared" si="0"/>
        <v>1</v>
      </c>
      <c r="G40" s="135"/>
      <c r="H40" s="136"/>
      <c r="I40" s="144"/>
      <c r="J40" s="136"/>
    </row>
    <row r="41" spans="1:10">
      <c r="D41" s="137"/>
    </row>
    <row r="42" spans="1:10">
      <c r="D42" s="137"/>
    </row>
    <row r="43" spans="1:10">
      <c r="A43" s="138"/>
      <c r="D43" s="137"/>
    </row>
    <row r="44" spans="1:10">
      <c r="D44" s="137"/>
    </row>
    <row r="45" spans="1:10">
      <c r="D45" s="137"/>
    </row>
    <row r="46" spans="1:10">
      <c r="D46" s="137"/>
    </row>
    <row r="47" spans="1:10">
      <c r="D47" s="137"/>
    </row>
    <row r="48" spans="1:10">
      <c r="D48" s="137"/>
    </row>
    <row r="49" spans="1:4">
      <c r="D49" s="137"/>
    </row>
    <row r="50" spans="1:4">
      <c r="D50" s="137"/>
    </row>
    <row r="51" spans="1:4">
      <c r="D51" s="137"/>
    </row>
    <row r="52" spans="1:4">
      <c r="D52" s="137"/>
    </row>
    <row r="53" spans="1:4">
      <c r="D53" s="137"/>
    </row>
    <row r="57" spans="1:4">
      <c r="A57" s="139"/>
    </row>
    <row r="59" spans="1:4">
      <c r="A59" s="139"/>
    </row>
  </sheetData>
  <mergeCells count="15">
    <mergeCell ref="A5:J5"/>
    <mergeCell ref="E6:F6"/>
    <mergeCell ref="A8:J8"/>
    <mergeCell ref="A24:J24"/>
    <mergeCell ref="A6:A7"/>
    <mergeCell ref="A9:A15"/>
    <mergeCell ref="A16:A22"/>
    <mergeCell ref="H6:H7"/>
    <mergeCell ref="I6:I7"/>
    <mergeCell ref="J6:J7"/>
    <mergeCell ref="A25:A31"/>
    <mergeCell ref="A32:A38"/>
    <mergeCell ref="B6:B7"/>
    <mergeCell ref="C6:C7"/>
    <mergeCell ref="D6:D7"/>
  </mergeCells>
  <phoneticPr fontId="75" type="noConversion"/>
  <pageMargins left="0.55118110236220497" right="0.55118110236220497" top="0.59055118110236204" bottom="0.59055118110236204" header="0.35433070866141703" footer="0.118110236220472"/>
  <pageSetup paperSize="9" scale="55" orientation="landscape"/>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8">
    <tabColor theme="4"/>
  </sheetPr>
  <dimension ref="A1:L38"/>
  <sheetViews>
    <sheetView workbookViewId="0">
      <selection activeCell="B3" sqref="B3"/>
    </sheetView>
  </sheetViews>
  <sheetFormatPr defaultColWidth="9" defaultRowHeight="14.25"/>
  <cols>
    <col min="1" max="1" width="4.625" style="62" customWidth="1"/>
    <col min="2" max="2" width="13.625" style="62" customWidth="1"/>
    <col min="3" max="3" width="33.5" style="62" customWidth="1"/>
    <col min="4" max="7" width="17.875" style="62" customWidth="1"/>
    <col min="8" max="11" width="9" style="62"/>
    <col min="12" max="12" width="11.375" style="62" customWidth="1"/>
    <col min="13" max="16384" width="9" style="62"/>
  </cols>
  <sheetData>
    <row r="1" spans="1:12" ht="16.5">
      <c r="A1" s="63"/>
      <c r="B1" s="64"/>
      <c r="C1" s="65"/>
      <c r="D1" s="65"/>
      <c r="E1" s="65"/>
      <c r="F1" s="65"/>
      <c r="G1" s="66"/>
    </row>
    <row r="2" spans="1:12" ht="16.5">
      <c r="A2" s="67"/>
      <c r="B2" s="67"/>
      <c r="C2" s="65"/>
      <c r="D2" s="65"/>
      <c r="E2" s="65"/>
      <c r="F2" s="65"/>
      <c r="G2" s="67"/>
    </row>
    <row r="3" spans="1:12" ht="17.25">
      <c r="A3" s="68" t="s">
        <v>85</v>
      </c>
      <c r="B3" s="69"/>
      <c r="C3" s="65"/>
      <c r="D3" s="65"/>
      <c r="E3" s="65"/>
      <c r="F3" s="65"/>
      <c r="G3" s="69"/>
    </row>
    <row r="4" spans="1:12" ht="16.5">
      <c r="A4" s="70"/>
      <c r="B4" s="70"/>
      <c r="C4" s="65"/>
      <c r="D4" s="65"/>
      <c r="E4" s="65"/>
      <c r="F4" s="65"/>
      <c r="G4" s="70"/>
    </row>
    <row r="5" spans="1:12" ht="20.25" customHeight="1">
      <c r="A5" s="349" t="s">
        <v>352</v>
      </c>
      <c r="B5" s="349"/>
      <c r="C5" s="349"/>
      <c r="D5" s="349"/>
      <c r="E5" s="349"/>
      <c r="F5" s="349"/>
      <c r="G5" s="71"/>
    </row>
    <row r="6" spans="1:12" s="61" customFormat="1" ht="14.25" customHeight="1">
      <c r="A6" s="346" t="s">
        <v>86</v>
      </c>
      <c r="B6" s="341" t="s">
        <v>47</v>
      </c>
      <c r="C6" s="341" t="s">
        <v>43</v>
      </c>
      <c r="D6" s="341" t="s">
        <v>87</v>
      </c>
      <c r="E6" s="341" t="s">
        <v>88</v>
      </c>
      <c r="F6" s="341" t="s">
        <v>89</v>
      </c>
      <c r="G6" s="341" t="s">
        <v>90</v>
      </c>
    </row>
    <row r="7" spans="1:12" s="61" customFormat="1" ht="14.25" customHeight="1">
      <c r="A7" s="346"/>
      <c r="B7" s="341"/>
      <c r="C7" s="341"/>
      <c r="D7" s="341"/>
      <c r="E7" s="341"/>
      <c r="F7" s="341"/>
      <c r="G7" s="341"/>
    </row>
    <row r="8" spans="1:12" ht="14.25" customHeight="1">
      <c r="A8" s="346"/>
      <c r="B8" s="72">
        <v>1</v>
      </c>
      <c r="C8" s="72">
        <v>2</v>
      </c>
      <c r="D8" s="72">
        <v>3</v>
      </c>
      <c r="E8" s="72">
        <v>4</v>
      </c>
      <c r="F8" s="72">
        <v>5</v>
      </c>
      <c r="G8" s="73">
        <v>6</v>
      </c>
    </row>
    <row r="9" spans="1:12" ht="14.25" customHeight="1">
      <c r="A9" s="74">
        <v>1</v>
      </c>
      <c r="B9" s="347" t="s">
        <v>91</v>
      </c>
      <c r="C9" s="75"/>
      <c r="D9" s="76"/>
      <c r="E9" s="75"/>
      <c r="F9" s="77"/>
      <c r="G9" s="78"/>
    </row>
    <row r="10" spans="1:12" ht="14.25" customHeight="1">
      <c r="A10" s="74">
        <v>2</v>
      </c>
      <c r="B10" s="348"/>
      <c r="C10" s="75"/>
      <c r="D10" s="76"/>
      <c r="E10" s="75"/>
      <c r="F10" s="77"/>
      <c r="G10" s="78"/>
      <c r="J10" s="94"/>
      <c r="K10" s="95"/>
      <c r="L10" s="96"/>
    </row>
    <row r="11" spans="1:12" ht="14.25" customHeight="1">
      <c r="A11" s="74">
        <v>3</v>
      </c>
      <c r="B11" s="348"/>
      <c r="C11" s="75"/>
      <c r="D11" s="76"/>
      <c r="E11" s="75"/>
      <c r="F11" s="77"/>
      <c r="G11" s="78"/>
      <c r="K11" s="95"/>
      <c r="L11" s="96"/>
    </row>
    <row r="12" spans="1:12" ht="14.25" customHeight="1">
      <c r="A12" s="74">
        <v>4</v>
      </c>
      <c r="B12" s="348"/>
      <c r="C12" s="75"/>
      <c r="D12" s="75"/>
      <c r="E12" s="75"/>
      <c r="F12" s="77"/>
      <c r="G12" s="78"/>
    </row>
    <row r="13" spans="1:12" ht="14.25" customHeight="1">
      <c r="A13" s="74">
        <v>5</v>
      </c>
      <c r="B13" s="348"/>
      <c r="C13" s="75"/>
      <c r="D13" s="75"/>
      <c r="E13" s="75"/>
      <c r="F13" s="77"/>
      <c r="G13" s="78"/>
    </row>
    <row r="14" spans="1:12" ht="14.25" customHeight="1">
      <c r="A14" s="74">
        <v>6</v>
      </c>
      <c r="B14" s="79" t="s">
        <v>92</v>
      </c>
      <c r="C14" s="79" t="s">
        <v>93</v>
      </c>
      <c r="D14" s="79" t="s">
        <v>92</v>
      </c>
      <c r="E14" s="75"/>
      <c r="F14" s="77"/>
      <c r="G14" s="78"/>
    </row>
    <row r="15" spans="1:12" ht="14.45" customHeight="1">
      <c r="A15" s="80">
        <v>7</v>
      </c>
      <c r="B15" s="345" t="s">
        <v>94</v>
      </c>
      <c r="C15" s="345"/>
      <c r="D15" s="345"/>
      <c r="E15" s="81">
        <f>ROUND(SUM(E9:E14),2)</f>
        <v>0</v>
      </c>
      <c r="F15" s="82"/>
      <c r="G15" s="83"/>
    </row>
    <row r="16" spans="1:12" ht="14.25" customHeight="1">
      <c r="A16" s="74">
        <v>8</v>
      </c>
      <c r="B16" s="347" t="s">
        <v>95</v>
      </c>
      <c r="C16" s="84"/>
      <c r="D16" s="84"/>
      <c r="E16" s="75"/>
      <c r="F16" s="77"/>
      <c r="G16" s="78"/>
    </row>
    <row r="17" spans="1:8" ht="14.25" customHeight="1">
      <c r="A17" s="74">
        <v>9</v>
      </c>
      <c r="B17" s="348"/>
      <c r="C17" s="84"/>
      <c r="D17" s="84"/>
      <c r="E17" s="75"/>
      <c r="F17" s="77"/>
      <c r="G17" s="78"/>
      <c r="H17" s="85"/>
    </row>
    <row r="18" spans="1:8" ht="14.45" customHeight="1">
      <c r="A18" s="74">
        <v>10</v>
      </c>
      <c r="B18" s="348"/>
      <c r="C18" s="86"/>
      <c r="D18" s="86"/>
      <c r="E18" s="75"/>
      <c r="F18" s="77"/>
      <c r="G18" s="78"/>
    </row>
    <row r="19" spans="1:8" ht="14.25" customHeight="1">
      <c r="A19" s="74">
        <v>11</v>
      </c>
      <c r="B19" s="348"/>
      <c r="C19" s="75"/>
      <c r="D19" s="75"/>
      <c r="E19" s="75"/>
      <c r="F19" s="77"/>
      <c r="G19" s="78"/>
    </row>
    <row r="20" spans="1:8" ht="14.25" customHeight="1">
      <c r="A20" s="74">
        <v>12</v>
      </c>
      <c r="B20" s="348"/>
      <c r="C20" s="75"/>
      <c r="D20" s="75"/>
      <c r="E20" s="75"/>
      <c r="F20" s="77"/>
      <c r="G20" s="78"/>
    </row>
    <row r="21" spans="1:8" ht="14.25" customHeight="1">
      <c r="A21" s="74">
        <v>13</v>
      </c>
      <c r="B21" s="79" t="s">
        <v>92</v>
      </c>
      <c r="C21" s="79" t="s">
        <v>93</v>
      </c>
      <c r="D21" s="79" t="s">
        <v>92</v>
      </c>
      <c r="E21" s="75"/>
      <c r="F21" s="77"/>
      <c r="G21" s="78"/>
    </row>
    <row r="22" spans="1:8" ht="14.45" customHeight="1">
      <c r="A22" s="80">
        <v>14</v>
      </c>
      <c r="B22" s="350" t="s">
        <v>96</v>
      </c>
      <c r="C22" s="350"/>
      <c r="D22" s="350"/>
      <c r="E22" s="81">
        <f>ROUND(SUM(E16:E21),2)</f>
        <v>0</v>
      </c>
      <c r="F22" s="82"/>
      <c r="G22" s="83"/>
    </row>
    <row r="23" spans="1:8" ht="14.25" customHeight="1">
      <c r="A23" s="80">
        <v>15</v>
      </c>
      <c r="B23" s="345" t="s">
        <v>97</v>
      </c>
      <c r="C23" s="345"/>
      <c r="D23" s="345"/>
      <c r="E23" s="87"/>
      <c r="F23" s="88"/>
      <c r="G23" s="83"/>
    </row>
    <row r="24" spans="1:8" ht="14.25" customHeight="1">
      <c r="A24" s="74">
        <v>16</v>
      </c>
      <c r="B24" s="347" t="s">
        <v>98</v>
      </c>
      <c r="C24" s="75"/>
      <c r="D24" s="76"/>
      <c r="E24" s="75"/>
      <c r="F24" s="77"/>
      <c r="G24" s="78"/>
    </row>
    <row r="25" spans="1:8" ht="14.25" customHeight="1">
      <c r="A25" s="74">
        <v>17</v>
      </c>
      <c r="B25" s="348"/>
      <c r="C25" s="75"/>
      <c r="D25" s="76"/>
      <c r="E25" s="75"/>
      <c r="F25" s="77"/>
      <c r="G25" s="78"/>
    </row>
    <row r="26" spans="1:8" ht="14.25" customHeight="1">
      <c r="A26" s="74">
        <v>18</v>
      </c>
      <c r="B26" s="348"/>
      <c r="C26" s="75"/>
      <c r="D26" s="75"/>
      <c r="E26" s="75"/>
      <c r="F26" s="77"/>
      <c r="G26" s="78"/>
    </row>
    <row r="27" spans="1:8" ht="14.25" customHeight="1">
      <c r="A27" s="74">
        <v>19</v>
      </c>
      <c r="B27" s="348"/>
      <c r="C27" s="75"/>
      <c r="D27" s="75"/>
      <c r="E27" s="75"/>
      <c r="F27" s="77"/>
      <c r="G27" s="78"/>
    </row>
    <row r="28" spans="1:8" ht="14.25" customHeight="1">
      <c r="A28" s="74">
        <v>20</v>
      </c>
      <c r="B28" s="348"/>
      <c r="C28" s="75"/>
      <c r="D28" s="75"/>
      <c r="E28" s="75"/>
      <c r="F28" s="77"/>
      <c r="G28" s="78"/>
    </row>
    <row r="29" spans="1:8" ht="14.25" customHeight="1">
      <c r="A29" s="74">
        <v>21</v>
      </c>
      <c r="B29" s="79" t="s">
        <v>92</v>
      </c>
      <c r="C29" s="79" t="s">
        <v>93</v>
      </c>
      <c r="D29" s="79" t="s">
        <v>92</v>
      </c>
      <c r="E29" s="75"/>
      <c r="F29" s="77"/>
      <c r="G29" s="78"/>
    </row>
    <row r="30" spans="1:8" ht="14.25" customHeight="1">
      <c r="A30" s="89">
        <v>22</v>
      </c>
      <c r="B30" s="345" t="s">
        <v>99</v>
      </c>
      <c r="C30" s="345"/>
      <c r="D30" s="345"/>
      <c r="E30" s="90">
        <f>ROUND(SUM(E24:E29),2)</f>
        <v>0</v>
      </c>
      <c r="F30" s="91"/>
      <c r="G30" s="92"/>
    </row>
    <row r="31" spans="1:8" ht="14.25" customHeight="1">
      <c r="A31" s="74">
        <v>23</v>
      </c>
      <c r="B31" s="347" t="s">
        <v>100</v>
      </c>
      <c r="C31" s="86"/>
      <c r="D31" s="86"/>
      <c r="E31" s="75"/>
      <c r="F31" s="77"/>
      <c r="G31" s="78"/>
    </row>
    <row r="32" spans="1:8" ht="14.25" customHeight="1">
      <c r="A32" s="74">
        <v>24</v>
      </c>
      <c r="B32" s="348"/>
      <c r="C32" s="75"/>
      <c r="D32" s="75"/>
      <c r="E32" s="75"/>
      <c r="F32" s="77"/>
      <c r="G32" s="78"/>
    </row>
    <row r="33" spans="1:7" ht="14.25" customHeight="1">
      <c r="A33" s="74">
        <v>25</v>
      </c>
      <c r="B33" s="348"/>
      <c r="C33" s="75"/>
      <c r="D33" s="75"/>
      <c r="E33" s="75"/>
      <c r="F33" s="77"/>
      <c r="G33" s="78"/>
    </row>
    <row r="34" spans="1:7" ht="14.25" customHeight="1">
      <c r="A34" s="74">
        <v>26</v>
      </c>
      <c r="B34" s="348"/>
      <c r="C34" s="75"/>
      <c r="D34" s="75"/>
      <c r="E34" s="75"/>
      <c r="F34" s="77"/>
      <c r="G34" s="78"/>
    </row>
    <row r="35" spans="1:7" ht="14.25" customHeight="1">
      <c r="A35" s="74">
        <v>27</v>
      </c>
      <c r="B35" s="348"/>
      <c r="C35" s="75"/>
      <c r="D35" s="75"/>
      <c r="E35" s="75"/>
      <c r="F35" s="77"/>
      <c r="G35" s="78"/>
    </row>
    <row r="36" spans="1:7" ht="14.25" customHeight="1">
      <c r="A36" s="74">
        <v>28</v>
      </c>
      <c r="B36" s="79" t="s">
        <v>92</v>
      </c>
      <c r="C36" s="79" t="s">
        <v>93</v>
      </c>
      <c r="D36" s="79" t="s">
        <v>92</v>
      </c>
      <c r="E36" s="75"/>
      <c r="F36" s="77"/>
      <c r="G36" s="78"/>
    </row>
    <row r="37" spans="1:7" ht="14.25" customHeight="1">
      <c r="A37" s="93">
        <v>29</v>
      </c>
      <c r="B37" s="342" t="s">
        <v>101</v>
      </c>
      <c r="C37" s="343"/>
      <c r="D37" s="344"/>
      <c r="E37" s="81">
        <f>ROUND(SUM(E31:E36),2)</f>
        <v>0</v>
      </c>
      <c r="F37" s="82"/>
      <c r="G37" s="83"/>
    </row>
    <row r="38" spans="1:7">
      <c r="A38" s="80">
        <v>30</v>
      </c>
      <c r="B38" s="345" t="s">
        <v>102</v>
      </c>
      <c r="C38" s="345"/>
      <c r="D38" s="345"/>
      <c r="E38" s="87"/>
      <c r="F38" s="88"/>
      <c r="G38" s="83"/>
    </row>
  </sheetData>
  <mergeCells count="18">
    <mergeCell ref="A5:F5"/>
    <mergeCell ref="B15:D15"/>
    <mergeCell ref="B22:D22"/>
    <mergeCell ref="B23:D23"/>
    <mergeCell ref="B30:D30"/>
    <mergeCell ref="E6:E7"/>
    <mergeCell ref="F6:F7"/>
    <mergeCell ref="G6:G7"/>
    <mergeCell ref="B37:D37"/>
    <mergeCell ref="B38:D38"/>
    <mergeCell ref="A6:A8"/>
    <mergeCell ref="B6:B7"/>
    <mergeCell ref="B9:B13"/>
    <mergeCell ref="B16:B20"/>
    <mergeCell ref="B24:B28"/>
    <mergeCell ref="B31:B35"/>
    <mergeCell ref="C6:C7"/>
    <mergeCell ref="D6:D7"/>
  </mergeCells>
  <phoneticPr fontId="75"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6"/>
  <sheetViews>
    <sheetView workbookViewId="0">
      <selection activeCell="I58" sqref="I58"/>
    </sheetView>
  </sheetViews>
  <sheetFormatPr defaultColWidth="9" defaultRowHeight="14.25"/>
  <cols>
    <col min="1" max="1" width="13.625" customWidth="1"/>
    <col min="3" max="3" width="11.5" customWidth="1"/>
  </cols>
  <sheetData>
    <row r="1" spans="1:4">
      <c r="A1" t="s">
        <v>103</v>
      </c>
      <c r="B1" t="s">
        <v>104</v>
      </c>
      <c r="C1" t="s">
        <v>105</v>
      </c>
      <c r="D1" t="s">
        <v>106</v>
      </c>
    </row>
    <row r="2" spans="1:4">
      <c r="D2" t="s">
        <v>107</v>
      </c>
    </row>
    <row r="3" spans="1:4">
      <c r="A3" t="s">
        <v>108</v>
      </c>
      <c r="B3" t="s">
        <v>109</v>
      </c>
      <c r="C3" t="s">
        <v>110</v>
      </c>
      <c r="D3" t="s">
        <v>111</v>
      </c>
    </row>
    <row r="4" spans="1:4">
      <c r="A4" t="s">
        <v>112</v>
      </c>
      <c r="B4" t="s">
        <v>109</v>
      </c>
      <c r="C4" t="s">
        <v>110</v>
      </c>
      <c r="D4" t="s">
        <v>111</v>
      </c>
    </row>
    <row r="5" spans="1:4">
      <c r="A5" t="s">
        <v>113</v>
      </c>
      <c r="B5" t="s">
        <v>114</v>
      </c>
      <c r="C5" t="s">
        <v>110</v>
      </c>
      <c r="D5" t="s">
        <v>111</v>
      </c>
    </row>
    <row r="6" spans="1:4">
      <c r="A6" s="60" t="s">
        <v>42</v>
      </c>
    </row>
  </sheetData>
  <phoneticPr fontId="7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5"/>
  <sheetViews>
    <sheetView workbookViewId="0">
      <selection activeCell="M9" sqref="M9"/>
    </sheetView>
  </sheetViews>
  <sheetFormatPr defaultColWidth="9" defaultRowHeight="14.25"/>
  <sheetData>
    <row r="1" spans="1:2">
      <c r="A1" t="s">
        <v>115</v>
      </c>
      <c r="B1" t="s">
        <v>116</v>
      </c>
    </row>
    <row r="4" spans="1:2">
      <c r="A4" t="s">
        <v>56</v>
      </c>
    </row>
    <row r="5" spans="1:2">
      <c r="A5" s="60" t="s">
        <v>42</v>
      </c>
    </row>
  </sheetData>
  <phoneticPr fontId="75"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A1:I4"/>
  <sheetViews>
    <sheetView workbookViewId="0">
      <selection activeCell="G15" sqref="G15"/>
    </sheetView>
  </sheetViews>
  <sheetFormatPr defaultColWidth="9" defaultRowHeight="14.25"/>
  <cols>
    <col min="2" max="2" width="24.625" customWidth="1"/>
  </cols>
  <sheetData>
    <row r="1" spans="1:9">
      <c r="A1" t="s">
        <v>117</v>
      </c>
      <c r="B1" t="s">
        <v>118</v>
      </c>
      <c r="C1" t="s">
        <v>119</v>
      </c>
      <c r="D1" t="s">
        <v>120</v>
      </c>
      <c r="E1" t="s">
        <v>120</v>
      </c>
      <c r="F1" t="s">
        <v>121</v>
      </c>
      <c r="G1" t="s">
        <v>122</v>
      </c>
      <c r="H1" t="s">
        <v>123</v>
      </c>
      <c r="I1" t="s">
        <v>123</v>
      </c>
    </row>
    <row r="2" spans="1:9">
      <c r="D2" t="s">
        <v>124</v>
      </c>
      <c r="E2" t="s">
        <v>125</v>
      </c>
      <c r="H2" t="s">
        <v>124</v>
      </c>
      <c r="I2" t="s">
        <v>125</v>
      </c>
    </row>
    <row r="3" spans="1:9">
      <c r="B3" t="s">
        <v>126</v>
      </c>
    </row>
    <row r="4" spans="1:9">
      <c r="A4" s="60" t="s">
        <v>42</v>
      </c>
    </row>
  </sheetData>
  <phoneticPr fontId="75"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1"/>
  <sheetViews>
    <sheetView workbookViewId="0">
      <selection activeCell="M18" sqref="M18"/>
    </sheetView>
  </sheetViews>
  <sheetFormatPr defaultColWidth="9" defaultRowHeight="14.25"/>
  <sheetData>
    <row r="1" spans="1:3">
      <c r="A1" t="s">
        <v>127</v>
      </c>
      <c r="B1" t="s">
        <v>128</v>
      </c>
      <c r="C1" t="s">
        <v>129</v>
      </c>
    </row>
    <row r="2" spans="1:3">
      <c r="A2" t="s">
        <v>130</v>
      </c>
    </row>
    <row r="3" spans="1:3">
      <c r="A3" t="s">
        <v>131</v>
      </c>
    </row>
    <row r="4" spans="1:3">
      <c r="A4" t="s">
        <v>132</v>
      </c>
    </row>
    <row r="5" spans="1:3">
      <c r="A5" t="s">
        <v>133</v>
      </c>
    </row>
    <row r="6" spans="1:3">
      <c r="A6" t="s">
        <v>134</v>
      </c>
    </row>
    <row r="7" spans="1:3">
      <c r="A7" t="s">
        <v>135</v>
      </c>
    </row>
    <row r="8" spans="1:3">
      <c r="A8" t="s">
        <v>136</v>
      </c>
    </row>
    <row r="9" spans="1:3">
      <c r="A9" t="s">
        <v>137</v>
      </c>
    </row>
    <row r="10" spans="1:3">
      <c r="A10" t="s">
        <v>56</v>
      </c>
    </row>
    <row r="11" spans="1:3">
      <c r="B11" s="60" t="s">
        <v>138</v>
      </c>
    </row>
  </sheetData>
  <phoneticPr fontId="75"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5"/>
  <sheetViews>
    <sheetView workbookViewId="0">
      <selection activeCell="B2" sqref="B2"/>
    </sheetView>
  </sheetViews>
  <sheetFormatPr defaultColWidth="9" defaultRowHeight="14.25"/>
  <cols>
    <col min="3" max="3" width="23.5" customWidth="1"/>
  </cols>
  <sheetData>
    <row r="1" spans="1:4">
      <c r="A1" t="s">
        <v>139</v>
      </c>
      <c r="B1" t="s">
        <v>140</v>
      </c>
      <c r="C1" t="s">
        <v>106</v>
      </c>
      <c r="D1" t="s">
        <v>115</v>
      </c>
    </row>
    <row r="2" spans="1:4">
      <c r="A2">
        <v>1</v>
      </c>
    </row>
    <row r="3" spans="1:4">
      <c r="A3">
        <v>2</v>
      </c>
    </row>
    <row r="4" spans="1:4">
      <c r="A4">
        <v>3</v>
      </c>
    </row>
    <row r="5" spans="1:4">
      <c r="B5" s="60" t="s">
        <v>42</v>
      </c>
    </row>
  </sheetData>
  <phoneticPr fontId="75"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7"/>
  <dimension ref="A1:K65"/>
  <sheetViews>
    <sheetView zoomScale="90" zoomScaleNormal="90" workbookViewId="0">
      <selection activeCell="C13" sqref="C13"/>
    </sheetView>
  </sheetViews>
  <sheetFormatPr defaultColWidth="8.125" defaultRowHeight="14.25"/>
  <cols>
    <col min="1" max="1" width="18.375" style="1" customWidth="1"/>
    <col min="2" max="2" width="33.625" style="1" customWidth="1"/>
    <col min="3" max="3" width="32.375" style="1" customWidth="1"/>
    <col min="4" max="6" width="15.625" style="1" customWidth="1"/>
    <col min="7" max="10" width="19.375" style="1" customWidth="1"/>
    <col min="11" max="11" width="15.375" style="1" customWidth="1"/>
    <col min="12" max="16384" width="8.125" style="1"/>
  </cols>
  <sheetData>
    <row r="1" spans="1:11" ht="15.95" customHeight="1"/>
    <row r="2" spans="1:11" ht="15" customHeight="1">
      <c r="A2" s="362" t="s">
        <v>141</v>
      </c>
      <c r="B2" s="365" t="s">
        <v>142</v>
      </c>
      <c r="C2" s="2" t="s">
        <v>143</v>
      </c>
      <c r="D2" s="353"/>
      <c r="E2" s="354"/>
      <c r="F2" s="355"/>
      <c r="G2" s="356"/>
      <c r="H2" s="357"/>
      <c r="I2" s="358"/>
      <c r="J2" s="54"/>
      <c r="K2" s="351"/>
    </row>
    <row r="3" spans="1:11" ht="15">
      <c r="A3" s="363"/>
      <c r="B3" s="366"/>
      <c r="C3" s="3">
        <v>2023</v>
      </c>
      <c r="D3" s="3"/>
      <c r="E3" s="3"/>
      <c r="F3" s="3"/>
      <c r="G3" s="4"/>
      <c r="H3" s="4"/>
      <c r="I3" s="4"/>
      <c r="J3" s="4"/>
      <c r="K3" s="352"/>
    </row>
    <row r="4" spans="1:11" ht="15.6" customHeight="1">
      <c r="A4" s="5" t="s">
        <v>144</v>
      </c>
      <c r="B4" s="6" t="s">
        <v>145</v>
      </c>
      <c r="C4" s="7">
        <v>948194916.22000003</v>
      </c>
      <c r="D4" s="8"/>
      <c r="E4" s="8"/>
      <c r="F4" s="8"/>
      <c r="G4" s="8"/>
      <c r="H4" s="8"/>
      <c r="I4" s="8"/>
      <c r="J4" s="8"/>
      <c r="K4" s="55"/>
    </row>
    <row r="5" spans="1:11" ht="16.5">
      <c r="A5" s="9" t="s">
        <v>146</v>
      </c>
      <c r="B5" s="6" t="s">
        <v>147</v>
      </c>
      <c r="C5" s="7">
        <v>804743968.37</v>
      </c>
      <c r="D5" s="8"/>
      <c r="E5" s="8"/>
      <c r="F5" s="8"/>
      <c r="G5" s="8"/>
      <c r="H5" s="8"/>
      <c r="I5" s="8"/>
      <c r="J5" s="8"/>
      <c r="K5" s="55"/>
    </row>
    <row r="6" spans="1:11" ht="16.5">
      <c r="A6" s="10" t="s">
        <v>148</v>
      </c>
      <c r="B6" s="6" t="s">
        <v>149</v>
      </c>
      <c r="C6" s="7">
        <v>3270449.93</v>
      </c>
      <c r="D6" s="8"/>
      <c r="E6" s="8"/>
      <c r="F6" s="8"/>
      <c r="G6" s="8"/>
      <c r="H6" s="8"/>
      <c r="I6" s="8"/>
      <c r="J6" s="8"/>
      <c r="K6" s="55"/>
    </row>
    <row r="7" spans="1:11" ht="16.5">
      <c r="A7" s="5" t="s">
        <v>150</v>
      </c>
      <c r="B7" s="6" t="s">
        <v>151</v>
      </c>
      <c r="C7" s="7">
        <f>C4-C5-C6</f>
        <v>140180497.92000002</v>
      </c>
      <c r="D7" s="8"/>
      <c r="E7" s="8"/>
      <c r="F7" s="8"/>
      <c r="G7" s="8"/>
      <c r="H7" s="8"/>
      <c r="I7" s="8"/>
      <c r="J7" s="8"/>
      <c r="K7" s="56"/>
    </row>
    <row r="8" spans="1:11" ht="15.6" customHeight="1">
      <c r="A8" s="9" t="s">
        <v>152</v>
      </c>
      <c r="B8" s="6" t="s">
        <v>153</v>
      </c>
      <c r="C8" s="7">
        <v>55298620.539999999</v>
      </c>
      <c r="D8" s="8"/>
      <c r="E8" s="8"/>
      <c r="F8" s="8"/>
      <c r="G8" s="8"/>
      <c r="H8" s="8"/>
      <c r="I8" s="8"/>
      <c r="J8" s="8"/>
      <c r="K8" s="55"/>
    </row>
    <row r="9" spans="1:11" ht="16.5">
      <c r="A9" s="10" t="s">
        <v>154</v>
      </c>
      <c r="B9" s="6" t="s">
        <v>155</v>
      </c>
      <c r="C9" s="7">
        <v>85657237.959999993</v>
      </c>
      <c r="D9" s="8"/>
      <c r="E9" s="8"/>
      <c r="F9" s="8"/>
      <c r="G9" s="8"/>
      <c r="H9" s="8"/>
      <c r="I9" s="8"/>
      <c r="J9" s="8"/>
      <c r="K9" s="55"/>
    </row>
    <row r="10" spans="1:11">
      <c r="A10" s="367" t="s">
        <v>367</v>
      </c>
      <c r="B10" s="6" t="s">
        <v>368</v>
      </c>
      <c r="C10" s="7">
        <v>-1388027.19</v>
      </c>
      <c r="D10" s="8"/>
      <c r="E10" s="8"/>
      <c r="F10" s="8"/>
      <c r="G10" s="8"/>
      <c r="H10" s="8"/>
      <c r="I10" s="8"/>
      <c r="J10" s="8"/>
      <c r="K10" s="55"/>
    </row>
    <row r="11" spans="1:11" ht="16.5">
      <c r="A11" s="9" t="s">
        <v>156</v>
      </c>
      <c r="B11" s="11" t="s">
        <v>369</v>
      </c>
      <c r="C11" s="7">
        <f>C4-C5-C6-C8-C9-C10</f>
        <v>612666.61000003153</v>
      </c>
      <c r="D11" s="8"/>
      <c r="E11" s="8"/>
      <c r="F11" s="8"/>
      <c r="G11" s="8"/>
      <c r="H11" s="8"/>
      <c r="I11" s="8"/>
      <c r="J11" s="8"/>
      <c r="K11" s="55"/>
    </row>
    <row r="12" spans="1:11" ht="16.5">
      <c r="A12" s="9" t="s">
        <v>157</v>
      </c>
      <c r="B12" s="11" t="s">
        <v>370</v>
      </c>
      <c r="C12" s="12">
        <f>C5+C6+C8+C9+C10</f>
        <v>947582249.6099999</v>
      </c>
      <c r="D12" s="8"/>
      <c r="E12" s="8"/>
      <c r="F12" s="8"/>
      <c r="G12" s="8"/>
      <c r="H12" s="8"/>
      <c r="I12" s="8"/>
      <c r="J12" s="8"/>
      <c r="K12" s="55"/>
    </row>
    <row r="13" spans="1:11" ht="16.5">
      <c r="A13" s="13" t="s">
        <v>158</v>
      </c>
      <c r="B13" s="14" t="s">
        <v>371</v>
      </c>
      <c r="C13" s="15">
        <f>C11/C12</f>
        <v>6.4655771069180442E-4</v>
      </c>
      <c r="D13" s="16"/>
      <c r="E13" s="16"/>
      <c r="F13" s="17"/>
      <c r="G13" s="16"/>
      <c r="H13" s="16"/>
      <c r="I13" s="57"/>
      <c r="J13" s="16"/>
      <c r="K13" s="58"/>
    </row>
    <row r="15" spans="1:11">
      <c r="H15" s="18"/>
      <c r="I15" s="18"/>
    </row>
    <row r="16" spans="1:11">
      <c r="H16" s="19"/>
      <c r="I16" s="19"/>
    </row>
    <row r="17" spans="1:9">
      <c r="A17" s="20" t="s">
        <v>159</v>
      </c>
      <c r="H17" s="19"/>
      <c r="I17" s="59"/>
    </row>
    <row r="18" spans="1:9">
      <c r="H18" s="19"/>
      <c r="I18" s="19"/>
    </row>
    <row r="19" spans="1:9">
      <c r="A19" s="323" t="s">
        <v>74</v>
      </c>
      <c r="B19" s="21">
        <v>1</v>
      </c>
      <c r="C19" s="22"/>
      <c r="D19" s="23"/>
      <c r="E19" s="24"/>
      <c r="H19" s="19"/>
      <c r="I19" s="19"/>
    </row>
    <row r="20" spans="1:9">
      <c r="A20" s="324"/>
      <c r="B20" s="21">
        <v>2</v>
      </c>
      <c r="C20" s="22"/>
      <c r="D20" s="23"/>
      <c r="E20" s="24"/>
      <c r="H20" s="19"/>
      <c r="I20" s="19"/>
    </row>
    <row r="21" spans="1:9">
      <c r="A21" s="324"/>
      <c r="B21" s="21">
        <v>3</v>
      </c>
      <c r="C21" s="22"/>
      <c r="D21" s="23"/>
      <c r="E21" s="25"/>
    </row>
    <row r="22" spans="1:9">
      <c r="A22" s="324"/>
      <c r="B22" s="21">
        <v>4</v>
      </c>
      <c r="C22" s="26"/>
      <c r="D22" s="27"/>
      <c r="E22" s="25"/>
    </row>
    <row r="23" spans="1:9">
      <c r="A23" s="324"/>
      <c r="B23" s="21">
        <v>5</v>
      </c>
      <c r="C23" s="26"/>
      <c r="D23" s="27"/>
      <c r="E23" s="25"/>
    </row>
    <row r="24" spans="1:9">
      <c r="A24" s="324"/>
      <c r="B24" s="28" t="s">
        <v>64</v>
      </c>
      <c r="C24" s="26"/>
      <c r="D24" s="27"/>
      <c r="E24" s="25"/>
    </row>
    <row r="25" spans="1:9">
      <c r="A25" s="325"/>
      <c r="B25" s="29" t="s">
        <v>75</v>
      </c>
      <c r="C25" s="30"/>
      <c r="D25" s="31"/>
      <c r="E25" s="32">
        <f>SUBTOTAL(9,E19:E24)</f>
        <v>0</v>
      </c>
    </row>
    <row r="26" spans="1:9">
      <c r="A26" s="323" t="s">
        <v>76</v>
      </c>
      <c r="B26" s="21">
        <v>1</v>
      </c>
      <c r="C26" s="26"/>
      <c r="D26" s="23"/>
      <c r="E26" s="25"/>
    </row>
    <row r="27" spans="1:9">
      <c r="A27" s="324"/>
      <c r="B27" s="21">
        <v>2</v>
      </c>
      <c r="C27" s="22"/>
      <c r="D27" s="23"/>
      <c r="E27" s="24"/>
    </row>
    <row r="28" spans="1:9">
      <c r="A28" s="324"/>
      <c r="B28" s="21">
        <v>3</v>
      </c>
      <c r="C28" s="26"/>
      <c r="D28" s="27"/>
      <c r="E28" s="25"/>
    </row>
    <row r="29" spans="1:9">
      <c r="A29" s="324"/>
      <c r="B29" s="21">
        <v>4</v>
      </c>
      <c r="C29" s="26"/>
      <c r="D29" s="27"/>
      <c r="E29" s="25"/>
    </row>
    <row r="30" spans="1:9">
      <c r="A30" s="324"/>
      <c r="B30" s="21">
        <v>5</v>
      </c>
      <c r="C30" s="26"/>
      <c r="D30" s="27"/>
      <c r="E30" s="25"/>
    </row>
    <row r="31" spans="1:9">
      <c r="A31" s="324"/>
      <c r="B31" s="28" t="s">
        <v>64</v>
      </c>
      <c r="C31" s="26"/>
      <c r="D31" s="27"/>
      <c r="E31" s="25"/>
    </row>
    <row r="32" spans="1:9">
      <c r="A32" s="325"/>
      <c r="B32" s="33" t="s">
        <v>77</v>
      </c>
      <c r="C32" s="34"/>
      <c r="D32" s="31"/>
      <c r="E32" s="32">
        <f>SUBTOTAL(9,E26:E31)</f>
        <v>0</v>
      </c>
    </row>
    <row r="48" spans="1:4">
      <c r="A48" s="364" t="s">
        <v>47</v>
      </c>
      <c r="B48" s="35" t="s">
        <v>48</v>
      </c>
      <c r="C48" s="35" t="s">
        <v>49</v>
      </c>
      <c r="D48" s="36" t="s">
        <v>50</v>
      </c>
    </row>
    <row r="49" spans="1:5" ht="16.5">
      <c r="A49" s="364"/>
      <c r="B49" s="37" t="s">
        <v>51</v>
      </c>
      <c r="C49" s="37" t="s">
        <v>52</v>
      </c>
      <c r="D49" s="38" t="s">
        <v>53</v>
      </c>
    </row>
    <row r="50" spans="1:5" ht="16.5">
      <c r="A50" s="39" t="s">
        <v>54</v>
      </c>
      <c r="B50" s="40"/>
      <c r="C50" s="41"/>
      <c r="D50" s="40"/>
    </row>
    <row r="51" spans="1:5" ht="16.5">
      <c r="A51" s="39" t="s">
        <v>55</v>
      </c>
      <c r="B51" s="40"/>
      <c r="C51" s="40"/>
      <c r="D51" s="40"/>
    </row>
    <row r="52" spans="1:5" ht="16.5">
      <c r="A52" s="42" t="s">
        <v>8</v>
      </c>
      <c r="B52" s="43">
        <f>SUM(B50:B51)</f>
        <v>0</v>
      </c>
      <c r="C52" s="43"/>
      <c r="D52" s="40"/>
      <c r="E52" s="44"/>
    </row>
    <row r="53" spans="1:5">
      <c r="E53" s="44"/>
    </row>
    <row r="54" spans="1:5">
      <c r="E54" s="44"/>
    </row>
    <row r="57" spans="1:5" ht="30">
      <c r="A57" s="359" t="s">
        <v>43</v>
      </c>
      <c r="B57" s="359"/>
      <c r="C57" s="45" t="s">
        <v>88</v>
      </c>
      <c r="D57" s="45" t="s">
        <v>160</v>
      </c>
    </row>
    <row r="58" spans="1:5" ht="16.5">
      <c r="A58" s="46" t="s">
        <v>161</v>
      </c>
      <c r="B58" s="47"/>
      <c r="C58" s="48"/>
      <c r="D58" s="49"/>
    </row>
    <row r="59" spans="1:5" ht="16.5">
      <c r="A59" s="46" t="s">
        <v>162</v>
      </c>
      <c r="B59" s="47"/>
      <c r="C59" s="48"/>
      <c r="D59" s="49"/>
    </row>
    <row r="60" spans="1:5" ht="16.5">
      <c r="A60" s="360" t="s">
        <v>163</v>
      </c>
      <c r="B60" s="360"/>
      <c r="C60" s="50"/>
      <c r="D60" s="49"/>
    </row>
    <row r="61" spans="1:5" ht="16.5">
      <c r="A61" s="46" t="s">
        <v>161</v>
      </c>
      <c r="B61" s="47"/>
      <c r="C61" s="48"/>
      <c r="D61" s="49"/>
    </row>
    <row r="62" spans="1:5" ht="16.5">
      <c r="A62" s="46" t="s">
        <v>164</v>
      </c>
      <c r="B62" s="47"/>
      <c r="C62" s="48"/>
      <c r="D62" s="49"/>
    </row>
    <row r="63" spans="1:5" ht="16.5">
      <c r="A63" s="51"/>
      <c r="B63" s="52"/>
      <c r="C63" s="53"/>
      <c r="D63" s="49"/>
    </row>
    <row r="64" spans="1:5" ht="16.5">
      <c r="A64" s="361" t="s">
        <v>165</v>
      </c>
      <c r="B64" s="361"/>
      <c r="C64" s="50"/>
      <c r="D64" s="49"/>
    </row>
    <row r="65" spans="3:3">
      <c r="C65" s="44"/>
    </row>
  </sheetData>
  <mergeCells count="11">
    <mergeCell ref="A64:B64"/>
    <mergeCell ref="A2:A3"/>
    <mergeCell ref="A19:A25"/>
    <mergeCell ref="A26:A32"/>
    <mergeCell ref="A48:A49"/>
    <mergeCell ref="B2:B3"/>
    <mergeCell ref="K2:K3"/>
    <mergeCell ref="D2:F2"/>
    <mergeCell ref="G2:I2"/>
    <mergeCell ref="A57:B57"/>
    <mergeCell ref="A60:B60"/>
  </mergeCells>
  <phoneticPr fontId="75" type="noConversion"/>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L20"/>
  <sheetViews>
    <sheetView workbookViewId="0">
      <selection activeCell="L12" sqref="L12"/>
    </sheetView>
  </sheetViews>
  <sheetFormatPr defaultColWidth="9" defaultRowHeight="14.25"/>
  <cols>
    <col min="2" max="2" width="9.5" bestFit="1" customWidth="1"/>
    <col min="3" max="4" width="13.75" bestFit="1" customWidth="1"/>
    <col min="5" max="5" width="15" bestFit="1" customWidth="1"/>
    <col min="6" max="6" width="13.375" bestFit="1" customWidth="1"/>
    <col min="7" max="7" width="15" bestFit="1" customWidth="1"/>
    <col min="8" max="8" width="14" bestFit="1" customWidth="1"/>
    <col min="9" max="9" width="7.125" bestFit="1" customWidth="1"/>
    <col min="11" max="12" width="13.75" bestFit="1" customWidth="1"/>
  </cols>
  <sheetData>
    <row r="2" spans="2:12" ht="67.5">
      <c r="B2" s="372" t="s">
        <v>309</v>
      </c>
      <c r="C2" s="373" t="s">
        <v>372</v>
      </c>
      <c r="D2" s="373" t="s">
        <v>373</v>
      </c>
      <c r="E2" s="373" t="s">
        <v>374</v>
      </c>
      <c r="F2" s="374" t="s">
        <v>375</v>
      </c>
      <c r="G2" s="374" t="s">
        <v>376</v>
      </c>
      <c r="H2" s="373" t="s">
        <v>377</v>
      </c>
      <c r="I2" s="375" t="s">
        <v>378</v>
      </c>
      <c r="J2" s="376"/>
      <c r="K2" s="373" t="s">
        <v>379</v>
      </c>
      <c r="L2" s="373" t="s">
        <v>56</v>
      </c>
    </row>
    <row r="3" spans="2:12" ht="15">
      <c r="B3" s="368" t="s">
        <v>404</v>
      </c>
      <c r="C3" s="368" t="s">
        <v>380</v>
      </c>
      <c r="D3" s="377">
        <v>681157002.43540502</v>
      </c>
      <c r="E3" s="377">
        <v>948194916.22000003</v>
      </c>
      <c r="F3" s="377"/>
      <c r="G3" s="377">
        <v>948194916.22000003</v>
      </c>
      <c r="H3" s="377">
        <v>1420306535.21</v>
      </c>
      <c r="I3" s="378">
        <v>-0.33240121571375802</v>
      </c>
      <c r="J3" s="379"/>
      <c r="K3" s="380">
        <v>267037913.78999999</v>
      </c>
      <c r="L3" s="380">
        <v>948194916.22540498</v>
      </c>
    </row>
    <row r="4" spans="2:12" ht="15">
      <c r="B4" s="369" t="s">
        <v>381</v>
      </c>
      <c r="C4" s="368" t="s">
        <v>382</v>
      </c>
      <c r="D4" s="377">
        <v>541938925.04999995</v>
      </c>
      <c r="E4" s="377">
        <v>804743968.37</v>
      </c>
      <c r="F4" s="377">
        <v>-3866383.0019757901</v>
      </c>
      <c r="G4" s="377">
        <v>800877585.36802399</v>
      </c>
      <c r="H4" s="377">
        <v>1250010712.6199999</v>
      </c>
      <c r="I4" s="378">
        <v>-0.35621034264316698</v>
      </c>
      <c r="J4" s="379"/>
      <c r="K4" s="380">
        <v>262805043.31999999</v>
      </c>
      <c r="L4" s="380">
        <v>804743968.37</v>
      </c>
    </row>
    <row r="5" spans="2:12" ht="24">
      <c r="B5" s="370" t="s">
        <v>383</v>
      </c>
      <c r="C5" s="381"/>
      <c r="D5" s="382"/>
      <c r="E5" s="382">
        <v>764558477.59000003</v>
      </c>
      <c r="F5" s="382">
        <v>0</v>
      </c>
      <c r="G5" s="382">
        <v>764558477.59000003</v>
      </c>
      <c r="H5" s="382"/>
      <c r="I5" s="379"/>
      <c r="J5" s="379"/>
      <c r="K5" s="380">
        <v>0</v>
      </c>
      <c r="L5" s="380"/>
    </row>
    <row r="6" spans="2:12" ht="15">
      <c r="B6" s="370" t="s">
        <v>384</v>
      </c>
      <c r="C6" s="381"/>
      <c r="D6" s="382"/>
      <c r="E6" s="382">
        <v>18525474.190000001</v>
      </c>
      <c r="F6" s="382">
        <v>-1845074.3004077601</v>
      </c>
      <c r="G6" s="382">
        <v>16680399.889592201</v>
      </c>
      <c r="H6" s="382"/>
      <c r="I6" s="379"/>
      <c r="J6" s="379"/>
      <c r="K6" s="380">
        <v>0</v>
      </c>
      <c r="L6" s="380"/>
    </row>
    <row r="7" spans="2:12" ht="15">
      <c r="B7" s="370" t="s">
        <v>385</v>
      </c>
      <c r="C7" s="381"/>
      <c r="D7" s="382"/>
      <c r="E7" s="382">
        <v>21660016.59</v>
      </c>
      <c r="F7" s="382">
        <v>-2021308.7015680301</v>
      </c>
      <c r="G7" s="382">
        <v>19638707.888432</v>
      </c>
      <c r="H7" s="382"/>
      <c r="I7" s="379"/>
      <c r="J7" s="379"/>
      <c r="K7" s="380">
        <v>0</v>
      </c>
      <c r="L7" s="380"/>
    </row>
    <row r="8" spans="2:12" ht="30">
      <c r="B8" s="368" t="s">
        <v>405</v>
      </c>
      <c r="C8" s="368" t="s">
        <v>386</v>
      </c>
      <c r="D8" s="377">
        <v>2349400.7748975502</v>
      </c>
      <c r="E8" s="377">
        <v>3270449.93</v>
      </c>
      <c r="F8" s="377"/>
      <c r="G8" s="377">
        <v>3270449.93</v>
      </c>
      <c r="H8" s="377">
        <v>1447219.37</v>
      </c>
      <c r="I8" s="383">
        <v>1.25981630552665</v>
      </c>
      <c r="J8" s="379"/>
      <c r="K8" s="380">
        <v>921049.15510245401</v>
      </c>
      <c r="L8" s="380">
        <v>3270449.93</v>
      </c>
    </row>
    <row r="9" spans="2:12" ht="15">
      <c r="B9" s="369" t="s">
        <v>387</v>
      </c>
      <c r="C9" s="368" t="s">
        <v>388</v>
      </c>
      <c r="D9" s="377">
        <v>39724999.530000001</v>
      </c>
      <c r="E9" s="377">
        <v>55298620.539999999</v>
      </c>
      <c r="F9" s="377">
        <v>-1973251.98</v>
      </c>
      <c r="G9" s="377">
        <v>53325368.560000002</v>
      </c>
      <c r="H9" s="377">
        <v>57609077.759999998</v>
      </c>
      <c r="I9" s="378">
        <v>-4.0105783842355303E-2</v>
      </c>
      <c r="J9" s="379"/>
      <c r="K9" s="380">
        <v>15573621.0065377</v>
      </c>
      <c r="L9" s="380">
        <v>55298620.536537699</v>
      </c>
    </row>
    <row r="10" spans="2:12" ht="15">
      <c r="B10" s="369" t="s">
        <v>389</v>
      </c>
      <c r="C10" s="368" t="s">
        <v>390</v>
      </c>
      <c r="D10" s="377">
        <v>73651557.674960598</v>
      </c>
      <c r="E10" s="377">
        <v>85657237.959999993</v>
      </c>
      <c r="F10" s="377">
        <v>-18084654.883600101</v>
      </c>
      <c r="G10" s="377">
        <v>67572583.076399893</v>
      </c>
      <c r="H10" s="377">
        <v>101989459.73999999</v>
      </c>
      <c r="I10" s="378">
        <v>-0.16013636920555799</v>
      </c>
      <c r="J10" s="379"/>
      <c r="K10" s="380">
        <v>12005680.2872668</v>
      </c>
      <c r="L10" s="380">
        <v>85657237.962227404</v>
      </c>
    </row>
    <row r="11" spans="2:12" ht="15">
      <c r="B11" s="369" t="s">
        <v>391</v>
      </c>
      <c r="C11" s="368" t="s">
        <v>392</v>
      </c>
      <c r="D11" s="377">
        <v>-997120.34293852095</v>
      </c>
      <c r="E11" s="377">
        <v>-1388027.19</v>
      </c>
      <c r="F11" s="377"/>
      <c r="G11" s="377">
        <v>-1388027.19</v>
      </c>
      <c r="H11" s="377">
        <v>0</v>
      </c>
      <c r="I11" s="378"/>
      <c r="J11" s="379"/>
      <c r="K11" s="380">
        <v>-390906.847061479</v>
      </c>
      <c r="L11" s="380">
        <v>-1388027.19</v>
      </c>
    </row>
    <row r="12" spans="2:12" ht="45">
      <c r="B12" s="368" t="s">
        <v>406</v>
      </c>
      <c r="C12" s="368" t="s">
        <v>393</v>
      </c>
      <c r="D12" s="377">
        <v>656667762.68692005</v>
      </c>
      <c r="E12" s="377">
        <v>947582249.61000001</v>
      </c>
      <c r="F12" s="377">
        <v>-21951037.885575801</v>
      </c>
      <c r="G12" s="377">
        <v>923657959.74442399</v>
      </c>
      <c r="H12" s="377">
        <v>1411056469.49</v>
      </c>
      <c r="I12" s="378">
        <v>-0.32845901627701302</v>
      </c>
      <c r="J12" s="379"/>
      <c r="K12" s="384">
        <v>290914486.92184597</v>
      </c>
      <c r="L12" s="384">
        <v>947582249.60876501</v>
      </c>
    </row>
    <row r="13" spans="2:12" ht="30">
      <c r="B13" s="368" t="s">
        <v>407</v>
      </c>
      <c r="C13" s="368" t="s">
        <v>394</v>
      </c>
      <c r="D13" s="377">
        <v>24489239.748485301</v>
      </c>
      <c r="E13" s="377">
        <v>612666.61000013398</v>
      </c>
      <c r="F13" s="377"/>
      <c r="G13" s="377">
        <v>24536956.475575998</v>
      </c>
      <c r="H13" s="377">
        <v>9250065.7200002708</v>
      </c>
      <c r="I13" s="378">
        <v>-0.93376624247377604</v>
      </c>
      <c r="J13" s="379"/>
      <c r="K13" s="384">
        <v>-23876573.131845601</v>
      </c>
      <c r="L13" s="384">
        <v>612666.61663985299</v>
      </c>
    </row>
    <row r="14" spans="2:12" ht="28.5">
      <c r="B14" s="371" t="s">
        <v>395</v>
      </c>
      <c r="C14" s="385" t="s">
        <v>396</v>
      </c>
      <c r="D14" s="386">
        <v>3.5952415758667401E-2</v>
      </c>
      <c r="E14" s="386">
        <v>6.4613994392897904E-4</v>
      </c>
      <c r="F14" s="377"/>
      <c r="G14" s="386">
        <v>2.5877544854799601E-2</v>
      </c>
      <c r="H14" s="386">
        <v>6.5127248876824997E-3</v>
      </c>
      <c r="I14" s="378"/>
      <c r="J14" s="379"/>
      <c r="K14" s="386">
        <v>-8.9412671006043998E-2</v>
      </c>
      <c r="L14" s="386">
        <v>6.4613995092777901E-4</v>
      </c>
    </row>
    <row r="15" spans="2:12" ht="40.5">
      <c r="B15" s="371" t="s">
        <v>10</v>
      </c>
      <c r="C15" s="385" t="s">
        <v>397</v>
      </c>
      <c r="D15" s="386">
        <v>3.7293196255411602E-2</v>
      </c>
      <c r="E15" s="386">
        <v>6.4655771069191197E-4</v>
      </c>
      <c r="F15" s="377"/>
      <c r="G15" s="386">
        <v>2.6564981351284399E-2</v>
      </c>
      <c r="H15" s="386">
        <v>6.5554185250598302E-3</v>
      </c>
      <c r="I15" s="378"/>
      <c r="J15" s="379"/>
      <c r="K15" s="386">
        <v>-8.2074197763345E-2</v>
      </c>
      <c r="L15" s="386">
        <v>6.4655771769976504E-4</v>
      </c>
    </row>
    <row r="16" spans="2:12" ht="30">
      <c r="B16" s="369" t="s">
        <v>398</v>
      </c>
      <c r="C16" s="368" t="s">
        <v>399</v>
      </c>
      <c r="D16" s="387">
        <v>139218077.385405</v>
      </c>
      <c r="E16" s="387">
        <v>143450947.84999999</v>
      </c>
      <c r="F16" s="377"/>
      <c r="G16" s="387">
        <v>147317330.85197601</v>
      </c>
      <c r="H16" s="387">
        <v>170295822.59</v>
      </c>
      <c r="I16" s="378"/>
      <c r="J16" s="379"/>
      <c r="K16" s="387">
        <v>4232870.4699999103</v>
      </c>
      <c r="L16" s="387">
        <v>143450947.855405</v>
      </c>
    </row>
    <row r="17" spans="2:12" ht="28.5">
      <c r="B17" s="371" t="s">
        <v>400</v>
      </c>
      <c r="C17" s="385" t="s">
        <v>401</v>
      </c>
      <c r="D17" s="388">
        <v>1.22792648513509</v>
      </c>
      <c r="E17" s="388">
        <v>1.0177012106949801</v>
      </c>
      <c r="F17" s="377"/>
      <c r="G17" s="388">
        <v>1.21852627656614</v>
      </c>
      <c r="H17" s="388">
        <v>1.06702620999895</v>
      </c>
      <c r="I17" s="378"/>
      <c r="J17" s="379"/>
      <c r="K17" s="386">
        <v>0.15347997488793499</v>
      </c>
      <c r="L17" s="386">
        <v>1.0177012107422401</v>
      </c>
    </row>
    <row r="18" spans="2:12">
      <c r="B18" s="389"/>
      <c r="C18" s="389"/>
      <c r="D18" s="389"/>
      <c r="E18" s="389"/>
      <c r="F18" s="376"/>
      <c r="G18" s="390"/>
      <c r="H18" s="376"/>
      <c r="I18" s="376"/>
      <c r="J18" s="376"/>
      <c r="K18" s="376"/>
      <c r="L18" s="376"/>
    </row>
    <row r="19" spans="2:12">
      <c r="B19" s="391" t="s">
        <v>402</v>
      </c>
      <c r="C19" s="391" t="s">
        <v>403</v>
      </c>
      <c r="D19" s="389"/>
      <c r="E19" s="389">
        <v>0.17825663004416001</v>
      </c>
      <c r="F19" s="376"/>
      <c r="G19" s="389">
        <v>0.18394487939661799</v>
      </c>
      <c r="H19" s="376"/>
      <c r="I19" s="376"/>
      <c r="J19" s="376"/>
      <c r="K19" s="376"/>
      <c r="L19" s="376"/>
    </row>
    <row r="20" spans="2:12">
      <c r="B20" s="389"/>
      <c r="C20" s="389"/>
      <c r="D20" s="389"/>
      <c r="E20" s="389"/>
      <c r="F20" s="376"/>
      <c r="G20" s="390"/>
      <c r="H20" s="376"/>
      <c r="I20" s="376"/>
      <c r="J20" s="376"/>
      <c r="K20" s="376"/>
      <c r="L20" s="376"/>
    </row>
  </sheetData>
  <phoneticPr fontId="75"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22</vt:i4>
      </vt:variant>
      <vt:variant>
        <vt:lpstr>命名范围</vt:lpstr>
      </vt:variant>
      <vt:variant>
        <vt:i4>11</vt:i4>
      </vt:variant>
    </vt:vector>
  </HeadingPairs>
  <TitlesOfParts>
    <vt:vector size="33" baseType="lpstr">
      <vt:lpstr>数据表</vt:lpstr>
      <vt:lpstr>集团背景情况</vt:lpstr>
      <vt:lpstr>公司经营背景资料</vt:lpstr>
      <vt:lpstr>行业情况</vt:lpstr>
      <vt:lpstr>被测关联交易</vt:lpstr>
      <vt:lpstr>资料清单</vt:lpstr>
      <vt:lpstr>1 组织结构及管理架构</vt:lpstr>
      <vt:lpstr>2 关联公司信息</vt:lpstr>
      <vt:lpstr>关联方个人信息</vt:lpstr>
      <vt:lpstr>关联关系变化情况</vt:lpstr>
      <vt:lpstr>3 分部财务数据</vt:lpstr>
      <vt:lpstr>关联交易汇总表</vt:lpstr>
      <vt:lpstr>4 供应商清单</vt:lpstr>
      <vt:lpstr>5 客户清单</vt:lpstr>
      <vt:lpstr>6 劳务交易表</vt:lpstr>
      <vt:lpstr>劳务成本归集</vt:lpstr>
      <vt:lpstr>资金融通</vt:lpstr>
      <vt:lpstr>公司间资金融通交易总结</vt:lpstr>
      <vt:lpstr>有形资产信息</vt:lpstr>
      <vt:lpstr>功能风险汇总表</vt:lpstr>
      <vt:lpstr>PL</vt:lpstr>
      <vt:lpstr>PL含特殊因素调整</vt:lpstr>
      <vt:lpstr>行业情况!_ftn2</vt:lpstr>
      <vt:lpstr>行业情况!_ftn3</vt:lpstr>
      <vt:lpstr>行业情况!_ftnref2</vt:lpstr>
      <vt:lpstr>行业情况!_ftnref3</vt:lpstr>
      <vt:lpstr>行业情况!_Toc106357774</vt:lpstr>
      <vt:lpstr>'2 关联公司信息'!Print_Area</vt:lpstr>
      <vt:lpstr>'3 分部财务数据'!Print_Area</vt:lpstr>
      <vt:lpstr>'4 供应商清单'!Print_Area</vt:lpstr>
      <vt:lpstr>'5 客户清单'!Print_Area</vt:lpstr>
      <vt:lpstr>资料清单!Print_Area</vt:lpstr>
      <vt:lpstr>资料清单!Print_Titles</vt:lpstr>
    </vt:vector>
  </TitlesOfParts>
  <Company>Lenovo (Beijing)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自豪 满</cp:lastModifiedBy>
  <cp:lastPrinted>2017-02-14T09:03:00Z</cp:lastPrinted>
  <dcterms:created xsi:type="dcterms:W3CDTF">2007-01-15T05:25:00Z</dcterms:created>
  <dcterms:modified xsi:type="dcterms:W3CDTF">2025-06-18T11:56:14Z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663C052AE83B4D4990C899020A981C3B_13</vt:lpwstr>
  </property>
</Properties>
</file>